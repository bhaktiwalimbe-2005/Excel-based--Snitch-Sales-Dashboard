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esktop\CLASSES\"/>
    </mc:Choice>
  </mc:AlternateContent>
  <xr:revisionPtr revIDLastSave="0" documentId="13_ncr:1_{8F49F573-2887-4CE0-B248-2E80E6DA4452}" xr6:coauthVersionLast="47" xr6:coauthVersionMax="47" xr10:uidLastSave="{00000000-0000-0000-0000-000000000000}"/>
  <bookViews>
    <workbookView xWindow="0" yWindow="360" windowWidth="20730" windowHeight="11040" activeTab="2" xr2:uid="{FD0E8B45-16F3-40EE-BD94-3428785183DD}"/>
  </bookViews>
  <sheets>
    <sheet name="Sheet1" sheetId="1" r:id="rId1"/>
    <sheet name="Sheet2" sheetId="10" r:id="rId2"/>
    <sheet name="Sheet3" sheetId="11" r:id="rId3"/>
    <sheet name="Sheet4" sheetId="13" r:id="rId4"/>
  </sheets>
  <definedNames>
    <definedName name="_xlnm.Print_Area" localSheetId="2">Sheet3!$A$1</definedName>
    <definedName name="Slicer_City">#N/A</definedName>
    <definedName name="Slicer_Months__Order_Date">#N/A</definedName>
    <definedName name="Slicer_Product_Category">#N/A</definedName>
    <definedName name="Slicer_Quarters__Order_Date">#N/A</definedName>
  </definedNames>
  <calcPr calcId="191029"/>
  <pivotCaches>
    <pivotCache cacheId="0" r:id="rId5"/>
    <pivotCache cacheId="1" r:id="rId6"/>
    <pivotCache cacheId="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 i="1" l="1"/>
  <c r="P8" i="1"/>
  <c r="P9" i="1"/>
  <c r="P10" i="1"/>
  <c r="P11" i="1"/>
  <c r="P12" i="1"/>
  <c r="P13" i="1"/>
  <c r="P14" i="1"/>
  <c r="P6" i="1"/>
  <c r="L2502" i="1"/>
  <c r="K2502" i="1"/>
  <c r="D2502" i="1"/>
  <c r="C2502" i="1"/>
  <c r="B2502" i="1"/>
  <c r="H2502" i="1"/>
  <c r="F2502" i="1"/>
  <c r="J2502" i="1"/>
  <c r="E2502" i="1"/>
  <c r="M2502" i="1"/>
  <c r="G2501" i="1"/>
  <c r="I2501" i="1" s="1"/>
  <c r="G2500" i="1"/>
  <c r="I2500" i="1" s="1"/>
  <c r="G2499" i="1"/>
  <c r="I2499" i="1" s="1"/>
  <c r="G2498" i="1"/>
  <c r="I2498" i="1" s="1"/>
  <c r="G2497" i="1"/>
  <c r="I2497" i="1" s="1"/>
  <c r="G2496" i="1"/>
  <c r="I2496" i="1" s="1"/>
  <c r="G2495" i="1"/>
  <c r="I2495" i="1" s="1"/>
  <c r="G2494" i="1"/>
  <c r="I2494" i="1" s="1"/>
  <c r="G2493" i="1"/>
  <c r="I2493" i="1" s="1"/>
  <c r="I2492" i="1"/>
  <c r="G2492" i="1"/>
  <c r="G2491" i="1"/>
  <c r="I2491" i="1" s="1"/>
  <c r="G2490" i="1"/>
  <c r="I2490" i="1" s="1"/>
  <c r="G2489" i="1"/>
  <c r="I2489" i="1" s="1"/>
  <c r="G2488" i="1"/>
  <c r="I2488" i="1" s="1"/>
  <c r="G2487" i="1"/>
  <c r="I2487" i="1" s="1"/>
  <c r="G2486" i="1"/>
  <c r="I2486" i="1" s="1"/>
  <c r="G2485" i="1"/>
  <c r="I2485" i="1" s="1"/>
  <c r="G2484" i="1"/>
  <c r="I2484" i="1" s="1"/>
  <c r="G2483" i="1"/>
  <c r="I2483" i="1" s="1"/>
  <c r="G2482" i="1"/>
  <c r="I2482" i="1" s="1"/>
  <c r="G2481" i="1"/>
  <c r="I2481" i="1" s="1"/>
  <c r="I2480" i="1"/>
  <c r="G2480" i="1"/>
  <c r="G2479" i="1"/>
  <c r="I2479" i="1" s="1"/>
  <c r="G2478" i="1"/>
  <c r="I2478" i="1" s="1"/>
  <c r="G2477" i="1"/>
  <c r="I2477" i="1" s="1"/>
  <c r="G2476" i="1"/>
  <c r="I2476" i="1" s="1"/>
  <c r="G2475" i="1"/>
  <c r="I2475" i="1" s="1"/>
  <c r="G2474" i="1"/>
  <c r="I2474" i="1" s="1"/>
  <c r="G2473" i="1"/>
  <c r="I2473" i="1" s="1"/>
  <c r="G2472" i="1"/>
  <c r="I2472" i="1" s="1"/>
  <c r="G2471" i="1"/>
  <c r="I2471" i="1" s="1"/>
  <c r="G2470" i="1"/>
  <c r="I2470" i="1" s="1"/>
  <c r="G2469" i="1"/>
  <c r="I2469" i="1" s="1"/>
  <c r="I2468" i="1"/>
  <c r="G2468" i="1"/>
  <c r="G2467" i="1"/>
  <c r="I2467" i="1" s="1"/>
  <c r="G2466" i="1"/>
  <c r="I2466" i="1" s="1"/>
  <c r="G2465" i="1"/>
  <c r="I2465" i="1" s="1"/>
  <c r="G2464" i="1"/>
  <c r="I2464" i="1" s="1"/>
  <c r="G2463" i="1"/>
  <c r="I2463" i="1" s="1"/>
  <c r="I2462" i="1"/>
  <c r="G2462" i="1"/>
  <c r="G2461" i="1"/>
  <c r="I2461" i="1" s="1"/>
  <c r="G2460" i="1"/>
  <c r="I2460" i="1" s="1"/>
  <c r="G2459" i="1"/>
  <c r="I2459" i="1" s="1"/>
  <c r="G2458" i="1"/>
  <c r="I2458" i="1" s="1"/>
  <c r="G2457" i="1"/>
  <c r="I2457" i="1" s="1"/>
  <c r="I2456" i="1"/>
  <c r="G2456" i="1"/>
  <c r="G2455" i="1"/>
  <c r="I2455" i="1" s="1"/>
  <c r="G2454" i="1"/>
  <c r="I2454" i="1" s="1"/>
  <c r="G2453" i="1"/>
  <c r="I2453" i="1" s="1"/>
  <c r="G2452" i="1"/>
  <c r="I2452" i="1" s="1"/>
  <c r="G2451" i="1"/>
  <c r="I2451" i="1" s="1"/>
  <c r="G2450" i="1"/>
  <c r="I2450" i="1" s="1"/>
  <c r="G2449" i="1"/>
  <c r="I2449" i="1" s="1"/>
  <c r="G2448" i="1"/>
  <c r="I2448" i="1" s="1"/>
  <c r="G2447" i="1"/>
  <c r="I2447" i="1" s="1"/>
  <c r="G2446" i="1"/>
  <c r="I2446" i="1" s="1"/>
  <c r="G2445" i="1"/>
  <c r="I2445" i="1" s="1"/>
  <c r="G2444" i="1"/>
  <c r="I2444" i="1" s="1"/>
  <c r="G2443" i="1"/>
  <c r="I2443" i="1" s="1"/>
  <c r="G2442" i="1"/>
  <c r="I2442" i="1" s="1"/>
  <c r="G2441" i="1"/>
  <c r="I2441" i="1" s="1"/>
  <c r="I2440" i="1"/>
  <c r="G2440" i="1"/>
  <c r="G2439" i="1"/>
  <c r="I2439" i="1" s="1"/>
  <c r="G2438" i="1"/>
  <c r="I2438" i="1" s="1"/>
  <c r="G2437" i="1"/>
  <c r="I2437" i="1" s="1"/>
  <c r="I2436" i="1"/>
  <c r="G2436" i="1"/>
  <c r="G2435" i="1"/>
  <c r="I2435" i="1" s="1"/>
  <c r="G2434" i="1"/>
  <c r="I2434" i="1" s="1"/>
  <c r="G2433" i="1"/>
  <c r="I2433" i="1" s="1"/>
  <c r="G2432" i="1"/>
  <c r="I2432" i="1" s="1"/>
  <c r="G2431" i="1"/>
  <c r="I2431" i="1" s="1"/>
  <c r="I2430" i="1"/>
  <c r="G2430" i="1"/>
  <c r="G2429" i="1"/>
  <c r="I2429" i="1" s="1"/>
  <c r="G2428" i="1"/>
  <c r="I2428" i="1" s="1"/>
  <c r="G2427" i="1"/>
  <c r="I2427" i="1" s="1"/>
  <c r="G2426" i="1"/>
  <c r="I2426" i="1" s="1"/>
  <c r="G2425" i="1"/>
  <c r="I2425" i="1" s="1"/>
  <c r="I2424" i="1"/>
  <c r="G2424" i="1"/>
  <c r="G2423" i="1"/>
  <c r="I2423" i="1" s="1"/>
  <c r="G2422" i="1"/>
  <c r="I2422" i="1" s="1"/>
  <c r="G2421" i="1"/>
  <c r="I2421" i="1" s="1"/>
  <c r="G2420" i="1"/>
  <c r="I2420" i="1" s="1"/>
  <c r="G2419" i="1"/>
  <c r="I2419" i="1" s="1"/>
  <c r="G2418" i="1"/>
  <c r="I2418" i="1" s="1"/>
  <c r="G2417" i="1"/>
  <c r="I2417" i="1" s="1"/>
  <c r="I2416" i="1"/>
  <c r="G2416" i="1"/>
  <c r="G2415" i="1"/>
  <c r="I2415" i="1" s="1"/>
  <c r="G2414" i="1"/>
  <c r="I2414" i="1" s="1"/>
  <c r="G2413" i="1"/>
  <c r="I2413" i="1" s="1"/>
  <c r="G2412" i="1"/>
  <c r="I2412" i="1" s="1"/>
  <c r="G2411" i="1"/>
  <c r="I2411" i="1" s="1"/>
  <c r="G2410" i="1"/>
  <c r="I2410" i="1" s="1"/>
  <c r="G2409" i="1"/>
  <c r="I2409" i="1" s="1"/>
  <c r="G2408" i="1"/>
  <c r="I2408" i="1" s="1"/>
  <c r="G2407" i="1"/>
  <c r="I2407" i="1" s="1"/>
  <c r="G2406" i="1"/>
  <c r="I2406" i="1" s="1"/>
  <c r="G2405" i="1"/>
  <c r="I2405" i="1" s="1"/>
  <c r="I2404" i="1"/>
  <c r="G2404" i="1"/>
  <c r="G2403" i="1"/>
  <c r="I2403" i="1" s="1"/>
  <c r="G2402" i="1"/>
  <c r="I2402" i="1" s="1"/>
  <c r="G2401" i="1"/>
  <c r="I2401" i="1" s="1"/>
  <c r="G2400" i="1"/>
  <c r="I2400" i="1" s="1"/>
  <c r="G2399" i="1"/>
  <c r="I2399" i="1" s="1"/>
  <c r="I2398" i="1"/>
  <c r="G2398" i="1"/>
  <c r="G2397" i="1"/>
  <c r="I2397" i="1" s="1"/>
  <c r="I2396" i="1"/>
  <c r="G2396" i="1"/>
  <c r="G2395" i="1"/>
  <c r="I2395" i="1" s="1"/>
  <c r="G2394" i="1"/>
  <c r="I2394" i="1" s="1"/>
  <c r="G2393" i="1"/>
  <c r="I2393" i="1" s="1"/>
  <c r="I2392" i="1"/>
  <c r="G2392" i="1"/>
  <c r="G2391" i="1"/>
  <c r="I2391" i="1" s="1"/>
  <c r="I2390" i="1"/>
  <c r="G2390" i="1"/>
  <c r="G2389" i="1"/>
  <c r="I2389" i="1" s="1"/>
  <c r="G2388" i="1"/>
  <c r="I2388" i="1" s="1"/>
  <c r="G2387" i="1"/>
  <c r="I2387" i="1" s="1"/>
  <c r="G2386" i="1"/>
  <c r="I2386" i="1" s="1"/>
  <c r="G2385" i="1"/>
  <c r="I2385" i="1" s="1"/>
  <c r="I2384" i="1"/>
  <c r="G2384" i="1"/>
  <c r="G2383" i="1"/>
  <c r="I2383" i="1" s="1"/>
  <c r="G2382" i="1"/>
  <c r="I2382" i="1" s="1"/>
  <c r="G2381" i="1"/>
  <c r="I2381" i="1" s="1"/>
  <c r="G2380" i="1"/>
  <c r="I2380" i="1" s="1"/>
  <c r="G2379" i="1"/>
  <c r="I2379" i="1" s="1"/>
  <c r="G2378" i="1"/>
  <c r="I2378" i="1" s="1"/>
  <c r="G2377" i="1"/>
  <c r="I2377" i="1" s="1"/>
  <c r="G2376" i="1"/>
  <c r="I2376" i="1" s="1"/>
  <c r="G2375" i="1"/>
  <c r="I2375" i="1" s="1"/>
  <c r="G2374" i="1"/>
  <c r="I2374" i="1" s="1"/>
  <c r="G2373" i="1"/>
  <c r="I2373" i="1" s="1"/>
  <c r="I2372" i="1"/>
  <c r="G2372" i="1"/>
  <c r="G2371" i="1"/>
  <c r="I2371" i="1" s="1"/>
  <c r="G2370" i="1"/>
  <c r="I2370" i="1" s="1"/>
  <c r="G2369" i="1"/>
  <c r="I2369" i="1" s="1"/>
  <c r="G2368" i="1"/>
  <c r="I2368" i="1" s="1"/>
  <c r="G2367" i="1"/>
  <c r="I2367" i="1" s="1"/>
  <c r="I2366" i="1"/>
  <c r="G2366" i="1"/>
  <c r="G2365" i="1"/>
  <c r="I2365" i="1" s="1"/>
  <c r="G2364" i="1"/>
  <c r="I2364" i="1" s="1"/>
  <c r="G2363" i="1"/>
  <c r="I2363" i="1" s="1"/>
  <c r="G2362" i="1"/>
  <c r="I2362" i="1" s="1"/>
  <c r="G2361" i="1"/>
  <c r="I2361" i="1" s="1"/>
  <c r="I2360" i="1"/>
  <c r="G2360" i="1"/>
  <c r="G2359" i="1"/>
  <c r="I2359" i="1" s="1"/>
  <c r="G2358" i="1"/>
  <c r="I2358" i="1" s="1"/>
  <c r="G2357" i="1"/>
  <c r="I2357" i="1" s="1"/>
  <c r="I2356" i="1"/>
  <c r="G2356" i="1"/>
  <c r="G2355" i="1"/>
  <c r="I2355" i="1" s="1"/>
  <c r="G2354" i="1"/>
  <c r="I2354" i="1" s="1"/>
  <c r="G2353" i="1"/>
  <c r="I2353" i="1" s="1"/>
  <c r="G2352" i="1"/>
  <c r="I2352" i="1" s="1"/>
  <c r="G2351" i="1"/>
  <c r="I2351" i="1" s="1"/>
  <c r="I2350" i="1"/>
  <c r="G2350" i="1"/>
  <c r="G2349" i="1"/>
  <c r="I2349" i="1" s="1"/>
  <c r="G2348" i="1"/>
  <c r="I2348" i="1" s="1"/>
  <c r="G2347" i="1"/>
  <c r="I2347" i="1" s="1"/>
  <c r="G2346" i="1"/>
  <c r="I2346" i="1" s="1"/>
  <c r="G2345" i="1"/>
  <c r="I2345" i="1" s="1"/>
  <c r="G2344" i="1"/>
  <c r="I2344" i="1" s="1"/>
  <c r="G2343" i="1"/>
  <c r="I2343" i="1" s="1"/>
  <c r="G2342" i="1"/>
  <c r="I2342" i="1" s="1"/>
  <c r="G2341" i="1"/>
  <c r="I2341" i="1" s="1"/>
  <c r="I2340" i="1"/>
  <c r="G2340" i="1"/>
  <c r="G2339" i="1"/>
  <c r="I2339" i="1" s="1"/>
  <c r="G2338" i="1"/>
  <c r="I2338" i="1" s="1"/>
  <c r="G2337" i="1"/>
  <c r="I2337" i="1" s="1"/>
  <c r="G2336" i="1"/>
  <c r="I2336" i="1" s="1"/>
  <c r="G2335" i="1"/>
  <c r="I2335" i="1" s="1"/>
  <c r="I2334" i="1"/>
  <c r="G2334" i="1"/>
  <c r="G2333" i="1"/>
  <c r="I2333" i="1" s="1"/>
  <c r="G2332" i="1"/>
  <c r="I2332" i="1" s="1"/>
  <c r="G2331" i="1"/>
  <c r="I2331" i="1" s="1"/>
  <c r="G2330" i="1"/>
  <c r="I2330" i="1" s="1"/>
  <c r="G2329" i="1"/>
  <c r="I2329" i="1" s="1"/>
  <c r="I2328" i="1"/>
  <c r="G2328" i="1"/>
  <c r="G2327" i="1"/>
  <c r="I2327" i="1" s="1"/>
  <c r="I2326" i="1"/>
  <c r="G2326" i="1"/>
  <c r="G2325" i="1"/>
  <c r="I2325" i="1" s="1"/>
  <c r="G2324" i="1"/>
  <c r="I2324" i="1" s="1"/>
  <c r="G2323" i="1"/>
  <c r="I2323" i="1" s="1"/>
  <c r="G2322" i="1"/>
  <c r="I2322" i="1" s="1"/>
  <c r="G2321" i="1"/>
  <c r="I2321" i="1" s="1"/>
  <c r="I2320" i="1"/>
  <c r="G2320" i="1"/>
  <c r="G2319" i="1"/>
  <c r="I2319" i="1" s="1"/>
  <c r="G2318" i="1"/>
  <c r="I2318" i="1" s="1"/>
  <c r="G2317" i="1"/>
  <c r="I2317" i="1" s="1"/>
  <c r="G2316" i="1"/>
  <c r="I2316" i="1" s="1"/>
  <c r="G2315" i="1"/>
  <c r="I2315" i="1" s="1"/>
  <c r="G2314" i="1"/>
  <c r="I2314" i="1" s="1"/>
  <c r="G2313" i="1"/>
  <c r="I2313" i="1" s="1"/>
  <c r="I2312" i="1"/>
  <c r="G2312" i="1"/>
  <c r="G2311" i="1"/>
  <c r="I2311" i="1" s="1"/>
  <c r="I2310" i="1"/>
  <c r="G2310" i="1"/>
  <c r="G2309" i="1"/>
  <c r="I2309" i="1" s="1"/>
  <c r="G2308" i="1"/>
  <c r="I2308" i="1" s="1"/>
  <c r="G2307" i="1"/>
  <c r="I2307" i="1" s="1"/>
  <c r="G2306" i="1"/>
  <c r="I2306" i="1" s="1"/>
  <c r="G2305" i="1"/>
  <c r="I2305" i="1" s="1"/>
  <c r="I2304" i="1"/>
  <c r="G2304" i="1"/>
  <c r="G2303" i="1"/>
  <c r="I2303" i="1" s="1"/>
  <c r="G2302" i="1"/>
  <c r="I2302" i="1" s="1"/>
  <c r="G2301" i="1"/>
  <c r="I2301" i="1" s="1"/>
  <c r="G2300" i="1"/>
  <c r="I2300" i="1" s="1"/>
  <c r="G2299" i="1"/>
  <c r="I2299" i="1" s="1"/>
  <c r="G2298" i="1"/>
  <c r="I2298" i="1" s="1"/>
  <c r="G2297" i="1"/>
  <c r="I2297" i="1" s="1"/>
  <c r="I2296" i="1"/>
  <c r="G2296" i="1"/>
  <c r="G2295" i="1"/>
  <c r="I2295" i="1" s="1"/>
  <c r="I2294" i="1"/>
  <c r="G2294" i="1"/>
  <c r="G2293" i="1"/>
  <c r="I2293" i="1" s="1"/>
  <c r="G2292" i="1"/>
  <c r="I2292" i="1" s="1"/>
  <c r="G2291" i="1"/>
  <c r="I2291" i="1" s="1"/>
  <c r="G2290" i="1"/>
  <c r="I2290" i="1" s="1"/>
  <c r="G2289" i="1"/>
  <c r="I2289" i="1" s="1"/>
  <c r="I2288" i="1"/>
  <c r="G2288" i="1"/>
  <c r="G2287" i="1"/>
  <c r="I2287" i="1" s="1"/>
  <c r="G2286" i="1"/>
  <c r="I2286" i="1" s="1"/>
  <c r="G2285" i="1"/>
  <c r="I2285" i="1" s="1"/>
  <c r="G2284" i="1"/>
  <c r="I2284" i="1" s="1"/>
  <c r="G2283" i="1"/>
  <c r="I2283" i="1" s="1"/>
  <c r="G2282" i="1"/>
  <c r="I2282" i="1" s="1"/>
  <c r="G2281" i="1"/>
  <c r="I2281" i="1" s="1"/>
  <c r="I2280" i="1"/>
  <c r="G2280" i="1"/>
  <c r="G2279" i="1"/>
  <c r="I2279" i="1" s="1"/>
  <c r="I2278" i="1"/>
  <c r="G2278" i="1"/>
  <c r="G2277" i="1"/>
  <c r="I2277" i="1" s="1"/>
  <c r="G2276" i="1"/>
  <c r="I2276" i="1" s="1"/>
  <c r="G2275" i="1"/>
  <c r="I2275" i="1" s="1"/>
  <c r="G2274" i="1"/>
  <c r="I2274" i="1" s="1"/>
  <c r="G2273" i="1"/>
  <c r="I2273" i="1" s="1"/>
  <c r="I2272" i="1"/>
  <c r="G2272" i="1"/>
  <c r="G2271" i="1"/>
  <c r="I2271" i="1" s="1"/>
  <c r="G2270" i="1"/>
  <c r="I2270" i="1" s="1"/>
  <c r="G2269" i="1"/>
  <c r="I2269" i="1" s="1"/>
  <c r="G2268" i="1"/>
  <c r="I2268" i="1" s="1"/>
  <c r="G2267" i="1"/>
  <c r="I2267" i="1" s="1"/>
  <c r="G2266" i="1"/>
  <c r="I2266" i="1" s="1"/>
  <c r="G2265" i="1"/>
  <c r="I2265" i="1" s="1"/>
  <c r="I2264" i="1"/>
  <c r="G2264" i="1"/>
  <c r="G2263" i="1"/>
  <c r="I2263" i="1" s="1"/>
  <c r="I2262" i="1"/>
  <c r="G2262" i="1"/>
  <c r="G2261" i="1"/>
  <c r="I2261" i="1" s="1"/>
  <c r="G2260" i="1"/>
  <c r="I2260" i="1" s="1"/>
  <c r="G2259" i="1"/>
  <c r="I2259" i="1" s="1"/>
  <c r="G2258" i="1"/>
  <c r="I2258" i="1" s="1"/>
  <c r="G2257" i="1"/>
  <c r="I2257" i="1" s="1"/>
  <c r="I2256" i="1"/>
  <c r="G2256" i="1"/>
  <c r="G2255" i="1"/>
  <c r="I2255" i="1" s="1"/>
  <c r="G2254" i="1"/>
  <c r="I2254" i="1" s="1"/>
  <c r="G2253" i="1"/>
  <c r="I2253" i="1" s="1"/>
  <c r="G2252" i="1"/>
  <c r="I2252" i="1" s="1"/>
  <c r="G2251" i="1"/>
  <c r="I2251" i="1" s="1"/>
  <c r="G2250" i="1"/>
  <c r="I2250" i="1" s="1"/>
  <c r="G2249" i="1"/>
  <c r="I2249" i="1" s="1"/>
  <c r="I2248" i="1"/>
  <c r="G2248" i="1"/>
  <c r="G2247" i="1"/>
  <c r="I2247" i="1" s="1"/>
  <c r="I2246" i="1"/>
  <c r="G2246" i="1"/>
  <c r="G2245" i="1"/>
  <c r="I2245" i="1" s="1"/>
  <c r="G2244" i="1"/>
  <c r="I2244" i="1" s="1"/>
  <c r="G2243" i="1"/>
  <c r="I2243" i="1" s="1"/>
  <c r="G2242" i="1"/>
  <c r="I2242" i="1" s="1"/>
  <c r="G2241" i="1"/>
  <c r="I2241" i="1" s="1"/>
  <c r="I2240" i="1"/>
  <c r="G2240" i="1"/>
  <c r="G2239" i="1"/>
  <c r="I2239" i="1" s="1"/>
  <c r="G2238" i="1"/>
  <c r="I2238" i="1" s="1"/>
  <c r="G2237" i="1"/>
  <c r="I2237" i="1" s="1"/>
  <c r="G2236" i="1"/>
  <c r="I2236" i="1" s="1"/>
  <c r="G2235" i="1"/>
  <c r="I2235" i="1" s="1"/>
  <c r="G2234" i="1"/>
  <c r="I2234" i="1" s="1"/>
  <c r="G2233" i="1"/>
  <c r="I2233" i="1" s="1"/>
  <c r="I2232" i="1"/>
  <c r="G2232" i="1"/>
  <c r="G2231" i="1"/>
  <c r="I2231" i="1" s="1"/>
  <c r="I2230" i="1"/>
  <c r="G2230" i="1"/>
  <c r="G2229" i="1"/>
  <c r="I2229" i="1" s="1"/>
  <c r="G2228" i="1"/>
  <c r="I2228" i="1" s="1"/>
  <c r="G2227" i="1"/>
  <c r="I2227" i="1" s="1"/>
  <c r="G2226" i="1"/>
  <c r="I2226" i="1" s="1"/>
  <c r="G2225" i="1"/>
  <c r="I2225" i="1" s="1"/>
  <c r="I2224" i="1"/>
  <c r="G2224" i="1"/>
  <c r="G2223" i="1"/>
  <c r="I2223" i="1" s="1"/>
  <c r="G2222" i="1"/>
  <c r="I2222" i="1" s="1"/>
  <c r="G2221" i="1"/>
  <c r="I2221" i="1" s="1"/>
  <c r="G2220" i="1"/>
  <c r="I2220" i="1" s="1"/>
  <c r="G2219" i="1"/>
  <c r="I2219" i="1" s="1"/>
  <c r="G2218" i="1"/>
  <c r="I2218" i="1" s="1"/>
  <c r="G2217" i="1"/>
  <c r="I2217" i="1" s="1"/>
  <c r="I2216" i="1"/>
  <c r="G2216" i="1"/>
  <c r="G2215" i="1"/>
  <c r="I2215" i="1" s="1"/>
  <c r="I2214" i="1"/>
  <c r="G2214" i="1"/>
  <c r="G2213" i="1"/>
  <c r="I2213" i="1" s="1"/>
  <c r="G2212" i="1"/>
  <c r="I2212" i="1" s="1"/>
  <c r="G2211" i="1"/>
  <c r="I2211" i="1" s="1"/>
  <c r="G2210" i="1"/>
  <c r="I2210" i="1" s="1"/>
  <c r="G2209" i="1"/>
  <c r="I2209" i="1" s="1"/>
  <c r="I2208" i="1"/>
  <c r="G2208" i="1"/>
  <c r="G2207" i="1"/>
  <c r="I2207" i="1" s="1"/>
  <c r="G2206" i="1"/>
  <c r="I2206" i="1" s="1"/>
  <c r="G2205" i="1"/>
  <c r="I2205" i="1" s="1"/>
  <c r="G2204" i="1"/>
  <c r="I2204" i="1" s="1"/>
  <c r="G2203" i="1"/>
  <c r="I2203" i="1" s="1"/>
  <c r="G2202" i="1"/>
  <c r="I2202" i="1" s="1"/>
  <c r="G2201" i="1"/>
  <c r="I2201" i="1" s="1"/>
  <c r="I2200" i="1"/>
  <c r="G2200" i="1"/>
  <c r="G2199" i="1"/>
  <c r="I2199" i="1" s="1"/>
  <c r="I2198" i="1"/>
  <c r="G2198" i="1"/>
  <c r="G2197" i="1"/>
  <c r="I2197" i="1" s="1"/>
  <c r="G2196" i="1"/>
  <c r="I2196" i="1" s="1"/>
  <c r="I2195" i="1"/>
  <c r="G2195" i="1"/>
  <c r="G2194" i="1"/>
  <c r="I2194" i="1" s="1"/>
  <c r="I2193" i="1"/>
  <c r="G2193" i="1"/>
  <c r="G2192" i="1"/>
  <c r="I2192" i="1" s="1"/>
  <c r="I2191" i="1"/>
  <c r="G2191" i="1"/>
  <c r="G2190" i="1"/>
  <c r="I2190" i="1" s="1"/>
  <c r="I2189" i="1"/>
  <c r="G2189" i="1"/>
  <c r="G2188" i="1"/>
  <c r="I2188" i="1" s="1"/>
  <c r="I2187" i="1"/>
  <c r="G2187" i="1"/>
  <c r="G2186" i="1"/>
  <c r="I2186" i="1" s="1"/>
  <c r="I2185" i="1"/>
  <c r="G2185" i="1"/>
  <c r="G2184" i="1"/>
  <c r="I2184" i="1" s="1"/>
  <c r="I2183" i="1"/>
  <c r="G2183" i="1"/>
  <c r="G2182" i="1"/>
  <c r="I2182" i="1" s="1"/>
  <c r="I2181" i="1"/>
  <c r="G2181" i="1"/>
  <c r="G2180" i="1"/>
  <c r="I2180" i="1" s="1"/>
  <c r="I2179" i="1"/>
  <c r="G2179" i="1"/>
  <c r="G2178" i="1"/>
  <c r="I2178" i="1" s="1"/>
  <c r="I2177" i="1"/>
  <c r="G2177" i="1"/>
  <c r="G2176" i="1"/>
  <c r="I2176" i="1" s="1"/>
  <c r="I2175" i="1"/>
  <c r="G2175" i="1"/>
  <c r="G2174" i="1"/>
  <c r="I2174" i="1" s="1"/>
  <c r="I2173" i="1"/>
  <c r="G2173" i="1"/>
  <c r="G2172" i="1"/>
  <c r="I2172" i="1" s="1"/>
  <c r="I2171" i="1"/>
  <c r="G2171" i="1"/>
  <c r="G2170" i="1"/>
  <c r="I2170" i="1" s="1"/>
  <c r="I2169" i="1"/>
  <c r="G2169" i="1"/>
  <c r="G2168" i="1"/>
  <c r="I2168" i="1" s="1"/>
  <c r="I2167" i="1"/>
  <c r="G2167" i="1"/>
  <c r="G2166" i="1"/>
  <c r="I2166" i="1" s="1"/>
  <c r="I2165" i="1"/>
  <c r="G2165" i="1"/>
  <c r="G2164" i="1"/>
  <c r="I2164" i="1" s="1"/>
  <c r="I2163" i="1"/>
  <c r="G2163" i="1"/>
  <c r="G2162" i="1"/>
  <c r="I2162" i="1" s="1"/>
  <c r="I2161" i="1"/>
  <c r="G2161" i="1"/>
  <c r="G2160" i="1"/>
  <c r="I2160" i="1" s="1"/>
  <c r="I2159" i="1"/>
  <c r="G2159" i="1"/>
  <c r="G2158" i="1"/>
  <c r="I2158" i="1" s="1"/>
  <c r="I2157" i="1"/>
  <c r="G2157" i="1"/>
  <c r="G2156" i="1"/>
  <c r="I2156" i="1" s="1"/>
  <c r="I2155" i="1"/>
  <c r="G2155" i="1"/>
  <c r="G2154" i="1"/>
  <c r="I2154" i="1" s="1"/>
  <c r="I2153" i="1"/>
  <c r="G2153" i="1"/>
  <c r="G2152" i="1"/>
  <c r="I2152" i="1" s="1"/>
  <c r="I2151" i="1"/>
  <c r="G2151" i="1"/>
  <c r="G2150" i="1"/>
  <c r="I2150" i="1" s="1"/>
  <c r="I2149" i="1"/>
  <c r="G2149" i="1"/>
  <c r="G2148" i="1"/>
  <c r="I2148" i="1" s="1"/>
  <c r="I2147" i="1"/>
  <c r="G2147" i="1"/>
  <c r="G2146" i="1"/>
  <c r="I2146" i="1" s="1"/>
  <c r="I2145" i="1"/>
  <c r="G2145" i="1"/>
  <c r="G2144" i="1"/>
  <c r="I2144" i="1" s="1"/>
  <c r="I2143" i="1"/>
  <c r="G2143" i="1"/>
  <c r="G2142" i="1"/>
  <c r="I2142" i="1" s="1"/>
  <c r="I2141" i="1"/>
  <c r="G2141" i="1"/>
  <c r="G2140" i="1"/>
  <c r="I2140" i="1" s="1"/>
  <c r="I2139" i="1"/>
  <c r="G2139" i="1"/>
  <c r="G2138" i="1"/>
  <c r="I2138" i="1" s="1"/>
  <c r="I2137" i="1"/>
  <c r="G2137" i="1"/>
  <c r="G2136" i="1"/>
  <c r="I2136" i="1" s="1"/>
  <c r="I2135" i="1"/>
  <c r="G2135" i="1"/>
  <c r="G2134" i="1"/>
  <c r="I2134" i="1" s="1"/>
  <c r="I2133" i="1"/>
  <c r="G2133" i="1"/>
  <c r="G2132" i="1"/>
  <c r="I2132" i="1" s="1"/>
  <c r="I2131" i="1"/>
  <c r="G2131" i="1"/>
  <c r="G2130" i="1"/>
  <c r="I2130" i="1" s="1"/>
  <c r="I2129" i="1"/>
  <c r="G2129" i="1"/>
  <c r="G2128" i="1"/>
  <c r="I2128" i="1" s="1"/>
  <c r="I2127" i="1"/>
  <c r="G2127" i="1"/>
  <c r="G2126" i="1"/>
  <c r="I2126" i="1" s="1"/>
  <c r="I2125" i="1"/>
  <c r="G2125" i="1"/>
  <c r="G2124" i="1"/>
  <c r="I2124" i="1" s="1"/>
  <c r="I2123" i="1"/>
  <c r="G2123" i="1"/>
  <c r="G2122" i="1"/>
  <c r="I2122" i="1" s="1"/>
  <c r="I2121" i="1"/>
  <c r="G2121" i="1"/>
  <c r="G2120" i="1"/>
  <c r="I2120" i="1" s="1"/>
  <c r="I2119" i="1"/>
  <c r="G2119" i="1"/>
  <c r="G2118" i="1"/>
  <c r="I2118" i="1" s="1"/>
  <c r="I2117" i="1"/>
  <c r="G2117" i="1"/>
  <c r="G2116" i="1"/>
  <c r="I2116" i="1" s="1"/>
  <c r="I2115" i="1"/>
  <c r="G2115" i="1"/>
  <c r="G2114" i="1"/>
  <c r="I2114" i="1" s="1"/>
  <c r="I2113" i="1"/>
  <c r="G2113" i="1"/>
  <c r="G2112" i="1"/>
  <c r="I2112" i="1" s="1"/>
  <c r="I2111" i="1"/>
  <c r="G2111" i="1"/>
  <c r="G2110" i="1"/>
  <c r="I2110" i="1" s="1"/>
  <c r="I2109" i="1"/>
  <c r="G2109" i="1"/>
  <c r="G2108" i="1"/>
  <c r="I2108" i="1" s="1"/>
  <c r="I2107" i="1"/>
  <c r="G2107" i="1"/>
  <c r="G2106" i="1"/>
  <c r="I2106" i="1" s="1"/>
  <c r="I2105" i="1"/>
  <c r="G2105" i="1"/>
  <c r="G2104" i="1"/>
  <c r="I2104" i="1" s="1"/>
  <c r="I2103" i="1"/>
  <c r="G2103" i="1"/>
  <c r="G2102" i="1"/>
  <c r="I2102" i="1" s="1"/>
  <c r="I2101" i="1"/>
  <c r="G2101" i="1"/>
  <c r="G2100" i="1"/>
  <c r="I2100" i="1" s="1"/>
  <c r="I2099" i="1"/>
  <c r="G2099" i="1"/>
  <c r="G2098" i="1"/>
  <c r="I2098" i="1" s="1"/>
  <c r="I2097" i="1"/>
  <c r="G2097" i="1"/>
  <c r="G2096" i="1"/>
  <c r="I2096" i="1" s="1"/>
  <c r="I2095" i="1"/>
  <c r="G2095" i="1"/>
  <c r="G2094" i="1"/>
  <c r="I2094" i="1" s="1"/>
  <c r="I2093" i="1"/>
  <c r="G2093" i="1"/>
  <c r="G2092" i="1"/>
  <c r="I2092" i="1" s="1"/>
  <c r="I2091" i="1"/>
  <c r="G2091" i="1"/>
  <c r="G2090" i="1"/>
  <c r="I2090" i="1" s="1"/>
  <c r="I2089" i="1"/>
  <c r="G2089" i="1"/>
  <c r="G2088" i="1"/>
  <c r="I2088" i="1" s="1"/>
  <c r="I2087" i="1"/>
  <c r="G2087" i="1"/>
  <c r="G2086" i="1"/>
  <c r="I2086" i="1" s="1"/>
  <c r="I2085" i="1"/>
  <c r="G2085" i="1"/>
  <c r="G2084" i="1"/>
  <c r="I2084" i="1" s="1"/>
  <c r="I2083" i="1"/>
  <c r="G2083" i="1"/>
  <c r="G2082" i="1"/>
  <c r="I2082" i="1" s="1"/>
  <c r="I2081" i="1"/>
  <c r="G2081" i="1"/>
  <c r="G2080" i="1"/>
  <c r="I2080" i="1" s="1"/>
  <c r="I2079" i="1"/>
  <c r="G2079" i="1"/>
  <c r="G2078" i="1"/>
  <c r="I2078" i="1" s="1"/>
  <c r="I2077" i="1"/>
  <c r="G2077" i="1"/>
  <c r="G2076" i="1"/>
  <c r="I2076" i="1" s="1"/>
  <c r="I2075" i="1"/>
  <c r="G2075" i="1"/>
  <c r="G2074" i="1"/>
  <c r="I2074" i="1" s="1"/>
  <c r="I2073" i="1"/>
  <c r="G2073" i="1"/>
  <c r="G2072" i="1"/>
  <c r="I2072" i="1" s="1"/>
  <c r="I2071" i="1"/>
  <c r="G2071" i="1"/>
  <c r="G2070" i="1"/>
  <c r="I2070" i="1" s="1"/>
  <c r="I2069" i="1"/>
  <c r="G2069" i="1"/>
  <c r="G2068" i="1"/>
  <c r="I2068" i="1" s="1"/>
  <c r="I2067" i="1"/>
  <c r="G2067" i="1"/>
  <c r="G2066" i="1"/>
  <c r="I2066" i="1" s="1"/>
  <c r="I2065" i="1"/>
  <c r="G2065" i="1"/>
  <c r="G2064" i="1"/>
  <c r="I2064" i="1" s="1"/>
  <c r="I2063" i="1"/>
  <c r="G2063" i="1"/>
  <c r="G2062" i="1"/>
  <c r="I2062" i="1" s="1"/>
  <c r="I2061" i="1"/>
  <c r="G2061" i="1"/>
  <c r="G2060" i="1"/>
  <c r="I2060" i="1" s="1"/>
  <c r="I2059" i="1"/>
  <c r="G2059" i="1"/>
  <c r="G2058" i="1"/>
  <c r="I2058" i="1" s="1"/>
  <c r="I2057" i="1"/>
  <c r="G2057" i="1"/>
  <c r="G2056" i="1"/>
  <c r="I2056" i="1" s="1"/>
  <c r="I2055" i="1"/>
  <c r="G2055" i="1"/>
  <c r="G2054" i="1"/>
  <c r="I2054" i="1" s="1"/>
  <c r="I2053" i="1"/>
  <c r="G2053" i="1"/>
  <c r="G2052" i="1"/>
  <c r="I2052" i="1" s="1"/>
  <c r="I2051" i="1"/>
  <c r="G2051" i="1"/>
  <c r="G2050" i="1"/>
  <c r="I2050" i="1" s="1"/>
  <c r="I2049" i="1"/>
  <c r="G2049" i="1"/>
  <c r="G2048" i="1"/>
  <c r="I2048" i="1" s="1"/>
  <c r="I2047" i="1"/>
  <c r="G2047" i="1"/>
  <c r="G2046" i="1"/>
  <c r="I2046" i="1" s="1"/>
  <c r="I2045" i="1"/>
  <c r="G2045" i="1"/>
  <c r="G2044" i="1"/>
  <c r="I2044" i="1" s="1"/>
  <c r="I2043" i="1"/>
  <c r="G2043" i="1"/>
  <c r="G2042" i="1"/>
  <c r="I2042" i="1" s="1"/>
  <c r="I2041" i="1"/>
  <c r="G2041" i="1"/>
  <c r="G2040" i="1"/>
  <c r="I2040" i="1" s="1"/>
  <c r="I2039" i="1"/>
  <c r="G2039" i="1"/>
  <c r="G2038" i="1"/>
  <c r="I2038" i="1" s="1"/>
  <c r="I2037" i="1"/>
  <c r="G2037" i="1"/>
  <c r="G2036" i="1"/>
  <c r="I2036" i="1" s="1"/>
  <c r="I2035" i="1"/>
  <c r="G2035" i="1"/>
  <c r="G2034" i="1"/>
  <c r="I2034" i="1" s="1"/>
  <c r="I2033" i="1"/>
  <c r="G2033" i="1"/>
  <c r="G2032" i="1"/>
  <c r="I2032" i="1" s="1"/>
  <c r="I2031" i="1"/>
  <c r="G2031" i="1"/>
  <c r="G2030" i="1"/>
  <c r="I2030" i="1" s="1"/>
  <c r="I2029" i="1"/>
  <c r="G2029" i="1"/>
  <c r="G2028" i="1"/>
  <c r="I2028" i="1" s="1"/>
  <c r="I2027" i="1"/>
  <c r="G2027" i="1"/>
  <c r="G2026" i="1"/>
  <c r="I2026" i="1" s="1"/>
  <c r="I2025" i="1"/>
  <c r="G2025" i="1"/>
  <c r="G2024" i="1"/>
  <c r="I2024" i="1" s="1"/>
  <c r="I2023" i="1"/>
  <c r="G2023" i="1"/>
  <c r="G2022" i="1"/>
  <c r="I2022" i="1" s="1"/>
  <c r="I2021" i="1"/>
  <c r="G2021" i="1"/>
  <c r="G2020" i="1"/>
  <c r="I2020" i="1" s="1"/>
  <c r="I2019" i="1"/>
  <c r="G2019" i="1"/>
  <c r="G2018" i="1"/>
  <c r="I2018" i="1" s="1"/>
  <c r="I2017" i="1"/>
  <c r="G2017" i="1"/>
  <c r="G2016" i="1"/>
  <c r="I2016" i="1" s="1"/>
  <c r="I2015" i="1"/>
  <c r="G2015" i="1"/>
  <c r="G2014" i="1"/>
  <c r="I2014" i="1" s="1"/>
  <c r="I2013" i="1"/>
  <c r="G2013" i="1"/>
  <c r="G2012" i="1"/>
  <c r="I2012" i="1" s="1"/>
  <c r="I2011" i="1"/>
  <c r="G2011" i="1"/>
  <c r="G2010" i="1"/>
  <c r="I2010" i="1" s="1"/>
  <c r="I2009" i="1"/>
  <c r="G2009" i="1"/>
  <c r="G2008" i="1"/>
  <c r="I2008" i="1" s="1"/>
  <c r="I2007" i="1"/>
  <c r="G2007" i="1"/>
  <c r="G2006" i="1"/>
  <c r="I2006" i="1" s="1"/>
  <c r="I2005" i="1"/>
  <c r="G2005" i="1"/>
  <c r="G2004" i="1"/>
  <c r="I2004" i="1" s="1"/>
  <c r="I2003" i="1"/>
  <c r="G2003" i="1"/>
  <c r="G2002" i="1"/>
  <c r="I2002" i="1" s="1"/>
  <c r="I2001" i="1"/>
  <c r="G2001" i="1"/>
  <c r="G2000" i="1"/>
  <c r="I2000" i="1" s="1"/>
  <c r="I1999" i="1"/>
  <c r="G1999" i="1"/>
  <c r="G1998" i="1"/>
  <c r="I1998" i="1" s="1"/>
  <c r="I1997" i="1"/>
  <c r="G1997" i="1"/>
  <c r="G1996" i="1"/>
  <c r="I1996" i="1" s="1"/>
  <c r="I1995" i="1"/>
  <c r="G1995" i="1"/>
  <c r="G1994" i="1"/>
  <c r="I1994" i="1" s="1"/>
  <c r="I1993" i="1"/>
  <c r="G1993" i="1"/>
  <c r="G1992" i="1"/>
  <c r="I1992" i="1" s="1"/>
  <c r="I1991" i="1"/>
  <c r="G1991" i="1"/>
  <c r="G1990" i="1"/>
  <c r="I1990" i="1" s="1"/>
  <c r="I1989" i="1"/>
  <c r="G1989" i="1"/>
  <c r="G1988" i="1"/>
  <c r="I1988" i="1" s="1"/>
  <c r="I1987" i="1"/>
  <c r="G1987" i="1"/>
  <c r="G1986" i="1"/>
  <c r="I1986" i="1" s="1"/>
  <c r="I1985" i="1"/>
  <c r="G1985" i="1"/>
  <c r="G1984" i="1"/>
  <c r="I1984" i="1" s="1"/>
  <c r="I1983" i="1"/>
  <c r="G1983" i="1"/>
  <c r="G1982" i="1"/>
  <c r="I1982" i="1" s="1"/>
  <c r="I1981" i="1"/>
  <c r="G1981" i="1"/>
  <c r="G1980" i="1"/>
  <c r="I1980" i="1" s="1"/>
  <c r="I1979" i="1"/>
  <c r="G1979" i="1"/>
  <c r="G1978" i="1"/>
  <c r="I1978" i="1" s="1"/>
  <c r="I1977" i="1"/>
  <c r="G1977" i="1"/>
  <c r="G1976" i="1"/>
  <c r="I1976" i="1" s="1"/>
  <c r="I1975" i="1"/>
  <c r="G1975" i="1"/>
  <c r="G1974" i="1"/>
  <c r="I1974" i="1" s="1"/>
  <c r="I1973" i="1"/>
  <c r="G1973" i="1"/>
  <c r="G1972" i="1"/>
  <c r="I1972" i="1" s="1"/>
  <c r="I1971" i="1"/>
  <c r="G1971" i="1"/>
  <c r="G1970" i="1"/>
  <c r="I1970" i="1" s="1"/>
  <c r="I1969" i="1"/>
  <c r="G1969" i="1"/>
  <c r="G1968" i="1"/>
  <c r="I1968" i="1" s="1"/>
  <c r="I1967" i="1"/>
  <c r="G1967" i="1"/>
  <c r="G1966" i="1"/>
  <c r="I1966" i="1" s="1"/>
  <c r="I1965" i="1"/>
  <c r="G1965" i="1"/>
  <c r="G1964" i="1"/>
  <c r="I1964" i="1" s="1"/>
  <c r="I1963" i="1"/>
  <c r="G1963" i="1"/>
  <c r="G1962" i="1"/>
  <c r="I1962" i="1" s="1"/>
  <c r="I1961" i="1"/>
  <c r="G1961" i="1"/>
  <c r="G1960" i="1"/>
  <c r="I1960" i="1" s="1"/>
  <c r="I1959" i="1"/>
  <c r="G1959" i="1"/>
  <c r="G1958" i="1"/>
  <c r="I1958" i="1" s="1"/>
  <c r="I1957" i="1"/>
  <c r="G1957" i="1"/>
  <c r="G1956" i="1"/>
  <c r="I1956" i="1" s="1"/>
  <c r="I1955" i="1"/>
  <c r="G1955" i="1"/>
  <c r="G1954" i="1"/>
  <c r="I1954" i="1" s="1"/>
  <c r="I1953" i="1"/>
  <c r="G1953" i="1"/>
  <c r="G1952" i="1"/>
  <c r="I1952" i="1" s="1"/>
  <c r="I1951" i="1"/>
  <c r="G1951" i="1"/>
  <c r="I1950" i="1"/>
  <c r="G1950" i="1"/>
  <c r="I1949" i="1"/>
  <c r="G1949" i="1"/>
  <c r="I1948" i="1"/>
  <c r="G1948" i="1"/>
  <c r="I1947" i="1"/>
  <c r="G1947" i="1"/>
  <c r="I1946" i="1"/>
  <c r="G1946" i="1"/>
  <c r="I1945" i="1"/>
  <c r="G1945" i="1"/>
  <c r="I1944" i="1"/>
  <c r="G1944" i="1"/>
  <c r="I1943" i="1"/>
  <c r="G1943" i="1"/>
  <c r="I1942" i="1"/>
  <c r="G1942" i="1"/>
  <c r="I1941" i="1"/>
  <c r="G1941" i="1"/>
  <c r="I1940" i="1"/>
  <c r="G1940" i="1"/>
  <c r="I1939" i="1"/>
  <c r="G1939" i="1"/>
  <c r="I1938" i="1"/>
  <c r="G1938" i="1"/>
  <c r="I1937" i="1"/>
  <c r="G1937" i="1"/>
  <c r="I1936" i="1"/>
  <c r="G1936" i="1"/>
  <c r="I1935" i="1"/>
  <c r="G1935" i="1"/>
  <c r="I1934" i="1"/>
  <c r="G1934" i="1"/>
  <c r="I1933" i="1"/>
  <c r="G1933" i="1"/>
  <c r="I1932" i="1"/>
  <c r="G1932" i="1"/>
  <c r="I1931" i="1"/>
  <c r="G1931" i="1"/>
  <c r="I1930" i="1"/>
  <c r="G1930" i="1"/>
  <c r="I1929" i="1"/>
  <c r="G1929" i="1"/>
  <c r="I1928" i="1"/>
  <c r="G1928" i="1"/>
  <c r="I1927" i="1"/>
  <c r="G1927" i="1"/>
  <c r="I1926" i="1"/>
  <c r="G1926" i="1"/>
  <c r="I1925" i="1"/>
  <c r="G1925" i="1"/>
  <c r="I1924" i="1"/>
  <c r="G1924" i="1"/>
  <c r="I1923" i="1"/>
  <c r="G1923" i="1"/>
  <c r="I1922" i="1"/>
  <c r="G1922" i="1"/>
  <c r="I1921" i="1"/>
  <c r="G1921" i="1"/>
  <c r="I1920" i="1"/>
  <c r="G1920" i="1"/>
  <c r="I1919" i="1"/>
  <c r="G1919" i="1"/>
  <c r="I1918" i="1"/>
  <c r="G1918" i="1"/>
  <c r="I1917" i="1"/>
  <c r="G1917" i="1"/>
  <c r="I1916" i="1"/>
  <c r="G1916" i="1"/>
  <c r="I1915" i="1"/>
  <c r="G1915" i="1"/>
  <c r="I1914" i="1"/>
  <c r="G1914" i="1"/>
  <c r="I1913" i="1"/>
  <c r="G1913" i="1"/>
  <c r="I1912" i="1"/>
  <c r="G1912" i="1"/>
  <c r="I1911" i="1"/>
  <c r="G1911" i="1"/>
  <c r="I1910" i="1"/>
  <c r="G1910" i="1"/>
  <c r="I1909" i="1"/>
  <c r="G1909" i="1"/>
  <c r="I1908" i="1"/>
  <c r="G1908" i="1"/>
  <c r="I1907" i="1"/>
  <c r="G1907" i="1"/>
  <c r="I1906" i="1"/>
  <c r="G1906" i="1"/>
  <c r="I1905" i="1"/>
  <c r="G1905" i="1"/>
  <c r="I1904" i="1"/>
  <c r="G1904" i="1"/>
  <c r="I1903" i="1"/>
  <c r="G1903" i="1"/>
  <c r="I1902" i="1"/>
  <c r="G1902" i="1"/>
  <c r="I1901" i="1"/>
  <c r="G1901" i="1"/>
  <c r="I1900" i="1"/>
  <c r="G1900" i="1"/>
  <c r="I1899" i="1"/>
  <c r="G1899" i="1"/>
  <c r="I1898" i="1"/>
  <c r="G1898" i="1"/>
  <c r="I1897" i="1"/>
  <c r="G1897" i="1"/>
  <c r="I1896" i="1"/>
  <c r="G1896" i="1"/>
  <c r="I1895" i="1"/>
  <c r="G1895" i="1"/>
  <c r="I1894" i="1"/>
  <c r="G1894" i="1"/>
  <c r="I1893" i="1"/>
  <c r="G1893" i="1"/>
  <c r="I1892" i="1"/>
  <c r="G1892" i="1"/>
  <c r="I1891" i="1"/>
  <c r="G1891" i="1"/>
  <c r="I1890" i="1"/>
  <c r="G1890" i="1"/>
  <c r="I1889" i="1"/>
  <c r="G1889" i="1"/>
  <c r="I1888" i="1"/>
  <c r="G1888" i="1"/>
  <c r="I1887" i="1"/>
  <c r="G1887" i="1"/>
  <c r="I1886" i="1"/>
  <c r="G1886" i="1"/>
  <c r="I1885" i="1"/>
  <c r="G1885" i="1"/>
  <c r="I1884" i="1"/>
  <c r="G1884" i="1"/>
  <c r="I1883" i="1"/>
  <c r="G1883" i="1"/>
  <c r="I1882" i="1"/>
  <c r="G1882" i="1"/>
  <c r="I1881" i="1"/>
  <c r="G1881" i="1"/>
  <c r="I1880" i="1"/>
  <c r="G1880" i="1"/>
  <c r="I1879" i="1"/>
  <c r="G1879" i="1"/>
  <c r="I1878" i="1"/>
  <c r="G1878" i="1"/>
  <c r="I1877" i="1"/>
  <c r="G1877" i="1"/>
  <c r="I1876" i="1"/>
  <c r="G1876" i="1"/>
  <c r="I1875" i="1"/>
  <c r="G1875" i="1"/>
  <c r="I1874" i="1"/>
  <c r="G1874" i="1"/>
  <c r="I1873" i="1"/>
  <c r="G1873" i="1"/>
  <c r="I1872" i="1"/>
  <c r="G1872" i="1"/>
  <c r="I1871" i="1"/>
  <c r="G1871" i="1"/>
  <c r="I1870" i="1"/>
  <c r="G1870" i="1"/>
  <c r="I1869" i="1"/>
  <c r="G1869" i="1"/>
  <c r="I1868" i="1"/>
  <c r="G1868" i="1"/>
  <c r="I1867" i="1"/>
  <c r="G1867" i="1"/>
  <c r="I1866" i="1"/>
  <c r="G1866" i="1"/>
  <c r="I1865" i="1"/>
  <c r="G1865" i="1"/>
  <c r="I1864" i="1"/>
  <c r="G1864" i="1"/>
  <c r="I1863" i="1"/>
  <c r="G1863" i="1"/>
  <c r="I1862" i="1"/>
  <c r="G1862" i="1"/>
  <c r="I1861" i="1"/>
  <c r="G1861" i="1"/>
  <c r="I1860" i="1"/>
  <c r="G1860" i="1"/>
  <c r="I1859" i="1"/>
  <c r="G1859" i="1"/>
  <c r="I1858" i="1"/>
  <c r="G1858" i="1"/>
  <c r="I1857" i="1"/>
  <c r="G1857" i="1"/>
  <c r="I1856" i="1"/>
  <c r="G1856" i="1"/>
  <c r="I1855" i="1"/>
  <c r="G1855" i="1"/>
  <c r="I1854" i="1"/>
  <c r="G1854" i="1"/>
  <c r="I1853" i="1"/>
  <c r="G1853" i="1"/>
  <c r="I1852" i="1"/>
  <c r="G1852" i="1"/>
  <c r="I1851" i="1"/>
  <c r="G1851" i="1"/>
  <c r="I1850" i="1"/>
  <c r="G1850" i="1"/>
  <c r="I1849" i="1"/>
  <c r="G1849" i="1"/>
  <c r="I1848" i="1"/>
  <c r="G1848" i="1"/>
  <c r="I1847" i="1"/>
  <c r="G1847" i="1"/>
  <c r="I1846" i="1"/>
  <c r="G1846" i="1"/>
  <c r="I1845" i="1"/>
  <c r="G1845" i="1"/>
  <c r="I1844" i="1"/>
  <c r="G1844" i="1"/>
  <c r="I1843" i="1"/>
  <c r="G1843" i="1"/>
  <c r="I1842" i="1"/>
  <c r="G1842" i="1"/>
  <c r="I1841" i="1"/>
  <c r="G1841" i="1"/>
  <c r="I1840" i="1"/>
  <c r="G1840" i="1"/>
  <c r="I1839" i="1"/>
  <c r="G1839" i="1"/>
  <c r="I1838" i="1"/>
  <c r="G1838" i="1"/>
  <c r="I1837" i="1"/>
  <c r="G1837" i="1"/>
  <c r="I1836" i="1"/>
  <c r="G1836" i="1"/>
  <c r="I1835" i="1"/>
  <c r="G1835" i="1"/>
  <c r="I1834" i="1"/>
  <c r="G1834" i="1"/>
  <c r="I1833" i="1"/>
  <c r="G1833" i="1"/>
  <c r="I1832" i="1"/>
  <c r="G1832" i="1"/>
  <c r="I1831" i="1"/>
  <c r="G1831" i="1"/>
  <c r="I1830" i="1"/>
  <c r="G1830" i="1"/>
  <c r="I1829" i="1"/>
  <c r="G1829" i="1"/>
  <c r="I1828" i="1"/>
  <c r="G1828" i="1"/>
  <c r="I1827" i="1"/>
  <c r="G1827" i="1"/>
  <c r="I1826" i="1"/>
  <c r="G1826" i="1"/>
  <c r="I1825" i="1"/>
  <c r="G1825" i="1"/>
  <c r="I1824" i="1"/>
  <c r="G1824" i="1"/>
  <c r="I1823" i="1"/>
  <c r="G1823" i="1"/>
  <c r="I1822" i="1"/>
  <c r="G1822" i="1"/>
  <c r="I1821" i="1"/>
  <c r="G1821" i="1"/>
  <c r="I1820" i="1"/>
  <c r="G1820" i="1"/>
  <c r="I1819" i="1"/>
  <c r="G1819" i="1"/>
  <c r="I1818" i="1"/>
  <c r="G1818" i="1"/>
  <c r="I1817" i="1"/>
  <c r="G1817" i="1"/>
  <c r="I1816" i="1"/>
  <c r="G1816" i="1"/>
  <c r="I1815" i="1"/>
  <c r="G1815" i="1"/>
  <c r="I1814" i="1"/>
  <c r="G1814" i="1"/>
  <c r="I1813" i="1"/>
  <c r="G1813" i="1"/>
  <c r="I1812" i="1"/>
  <c r="G1812" i="1"/>
  <c r="I1811" i="1"/>
  <c r="G1811" i="1"/>
  <c r="I1810" i="1"/>
  <c r="G1810" i="1"/>
  <c r="I1809" i="1"/>
  <c r="G1809" i="1"/>
  <c r="I1808" i="1"/>
  <c r="G1808" i="1"/>
  <c r="I1807" i="1"/>
  <c r="G1807" i="1"/>
  <c r="I1806" i="1"/>
  <c r="G1806" i="1"/>
  <c r="I1805" i="1"/>
  <c r="G1805" i="1"/>
  <c r="I1804" i="1"/>
  <c r="G1804" i="1"/>
  <c r="I1803" i="1"/>
  <c r="G1803" i="1"/>
  <c r="I1802" i="1"/>
  <c r="G1802" i="1"/>
  <c r="I1801" i="1"/>
  <c r="G1801" i="1"/>
  <c r="I1800" i="1"/>
  <c r="G1800" i="1"/>
  <c r="I1799" i="1"/>
  <c r="G1799" i="1"/>
  <c r="I1798" i="1"/>
  <c r="G1798" i="1"/>
  <c r="I1797" i="1"/>
  <c r="G1797" i="1"/>
  <c r="I1796" i="1"/>
  <c r="G1796" i="1"/>
  <c r="I1795" i="1"/>
  <c r="G1795" i="1"/>
  <c r="I1794" i="1"/>
  <c r="G1794" i="1"/>
  <c r="I1793" i="1"/>
  <c r="G1793" i="1"/>
  <c r="I1792" i="1"/>
  <c r="G1792" i="1"/>
  <c r="I1791" i="1"/>
  <c r="G1791" i="1"/>
  <c r="I1790" i="1"/>
  <c r="G1790" i="1"/>
  <c r="I1789" i="1"/>
  <c r="G1789" i="1"/>
  <c r="I1788" i="1"/>
  <c r="G1788" i="1"/>
  <c r="I1787" i="1"/>
  <c r="G1787" i="1"/>
  <c r="I1786" i="1"/>
  <c r="G1786" i="1"/>
  <c r="I1785" i="1"/>
  <c r="G1785" i="1"/>
  <c r="I1784" i="1"/>
  <c r="G1784" i="1"/>
  <c r="I1783" i="1"/>
  <c r="G1783" i="1"/>
  <c r="I1782" i="1"/>
  <c r="G1782" i="1"/>
  <c r="I1781" i="1"/>
  <c r="G1781" i="1"/>
  <c r="I1780" i="1"/>
  <c r="G1780" i="1"/>
  <c r="I1779" i="1"/>
  <c r="G1779" i="1"/>
  <c r="I1778" i="1"/>
  <c r="G1778" i="1"/>
  <c r="I1777" i="1"/>
  <c r="G1777" i="1"/>
  <c r="I1776" i="1"/>
  <c r="G1776" i="1"/>
  <c r="I1775" i="1"/>
  <c r="G1775" i="1"/>
  <c r="I1774" i="1"/>
  <c r="G1774" i="1"/>
  <c r="I1773" i="1"/>
  <c r="G1773" i="1"/>
  <c r="I1772" i="1"/>
  <c r="G1772" i="1"/>
  <c r="I1771" i="1"/>
  <c r="G1771" i="1"/>
  <c r="I1770" i="1"/>
  <c r="G1770" i="1"/>
  <c r="I1769" i="1"/>
  <c r="G1769" i="1"/>
  <c r="I1768" i="1"/>
  <c r="G1768" i="1"/>
  <c r="I1767" i="1"/>
  <c r="G1767" i="1"/>
  <c r="I1766" i="1"/>
  <c r="G1766" i="1"/>
  <c r="I1765" i="1"/>
  <c r="G1765" i="1"/>
  <c r="I1764" i="1"/>
  <c r="G1764" i="1"/>
  <c r="I1763" i="1"/>
  <c r="G1763" i="1"/>
  <c r="I1762" i="1"/>
  <c r="G1762" i="1"/>
  <c r="I1761" i="1"/>
  <c r="G1761" i="1"/>
  <c r="I1760" i="1"/>
  <c r="G1760" i="1"/>
  <c r="I1759" i="1"/>
  <c r="G1759" i="1"/>
  <c r="I1758" i="1"/>
  <c r="G1758" i="1"/>
  <c r="I1757" i="1"/>
  <c r="G1757" i="1"/>
  <c r="I1756" i="1"/>
  <c r="G1756" i="1"/>
  <c r="I1755" i="1"/>
  <c r="G1755" i="1"/>
  <c r="I1754" i="1"/>
  <c r="G1754" i="1"/>
  <c r="I1753" i="1"/>
  <c r="G1753" i="1"/>
  <c r="I1752" i="1"/>
  <c r="G1752" i="1"/>
  <c r="I1751" i="1"/>
  <c r="G1751" i="1"/>
  <c r="I1750" i="1"/>
  <c r="G1750" i="1"/>
  <c r="I1749" i="1"/>
  <c r="G1749" i="1"/>
  <c r="I1748" i="1"/>
  <c r="G1748" i="1"/>
  <c r="I1747" i="1"/>
  <c r="G1747" i="1"/>
  <c r="I1746" i="1"/>
  <c r="G1746" i="1"/>
  <c r="I1745" i="1"/>
  <c r="G1745" i="1"/>
  <c r="I1744" i="1"/>
  <c r="G1744" i="1"/>
  <c r="I1743" i="1"/>
  <c r="G1743" i="1"/>
  <c r="I1742" i="1"/>
  <c r="G1742" i="1"/>
  <c r="I1741" i="1"/>
  <c r="G1741" i="1"/>
  <c r="I1740" i="1"/>
  <c r="G1740" i="1"/>
  <c r="I1739" i="1"/>
  <c r="G1739" i="1"/>
  <c r="I1738" i="1"/>
  <c r="G1738" i="1"/>
  <c r="I1737" i="1"/>
  <c r="G1737" i="1"/>
  <c r="I1736" i="1"/>
  <c r="G1736" i="1"/>
  <c r="I1735" i="1"/>
  <c r="G1735" i="1"/>
  <c r="I1734" i="1"/>
  <c r="G1734" i="1"/>
  <c r="I1733" i="1"/>
  <c r="G1733" i="1"/>
  <c r="I1732" i="1"/>
  <c r="G1732" i="1"/>
  <c r="I1731" i="1"/>
  <c r="G1731" i="1"/>
  <c r="I1730" i="1"/>
  <c r="G1730" i="1"/>
  <c r="I1729" i="1"/>
  <c r="G1729" i="1"/>
  <c r="I1728" i="1"/>
  <c r="G1728" i="1"/>
  <c r="I1727" i="1"/>
  <c r="G1727" i="1"/>
  <c r="I1726" i="1"/>
  <c r="G1726" i="1"/>
  <c r="I1725" i="1"/>
  <c r="G1725" i="1"/>
  <c r="I1724" i="1"/>
  <c r="G1724" i="1"/>
  <c r="I1723" i="1"/>
  <c r="G1723" i="1"/>
  <c r="I1722" i="1"/>
  <c r="G1722" i="1"/>
  <c r="I1721" i="1"/>
  <c r="G1721" i="1"/>
  <c r="I1720" i="1"/>
  <c r="G1720" i="1"/>
  <c r="I1719" i="1"/>
  <c r="G1719" i="1"/>
  <c r="I1718" i="1"/>
  <c r="G1718" i="1"/>
  <c r="I1717" i="1"/>
  <c r="G1717" i="1"/>
  <c r="I1716" i="1"/>
  <c r="G1716" i="1"/>
  <c r="I1715" i="1"/>
  <c r="G1715" i="1"/>
  <c r="I1714" i="1"/>
  <c r="G1714" i="1"/>
  <c r="I1713" i="1"/>
  <c r="G1713" i="1"/>
  <c r="I1712" i="1"/>
  <c r="G1712" i="1"/>
  <c r="I1711" i="1"/>
  <c r="G1711" i="1"/>
  <c r="I1710" i="1"/>
  <c r="G1710" i="1"/>
  <c r="I1709" i="1"/>
  <c r="G1709" i="1"/>
  <c r="I1708" i="1"/>
  <c r="G1708" i="1"/>
  <c r="I1707" i="1"/>
  <c r="G1707" i="1"/>
  <c r="I1706" i="1"/>
  <c r="G1706" i="1"/>
  <c r="I1705" i="1"/>
  <c r="G1705" i="1"/>
  <c r="I1704" i="1"/>
  <c r="G1704" i="1"/>
  <c r="I1703" i="1"/>
  <c r="G1703" i="1"/>
  <c r="I1702" i="1"/>
  <c r="G1702" i="1"/>
  <c r="I1701" i="1"/>
  <c r="G1701" i="1"/>
  <c r="I1700" i="1"/>
  <c r="G1700" i="1"/>
  <c r="I1699" i="1"/>
  <c r="G1699" i="1"/>
  <c r="I1698" i="1"/>
  <c r="G1698" i="1"/>
  <c r="I1697" i="1"/>
  <c r="G1697" i="1"/>
  <c r="I1696" i="1"/>
  <c r="G1696" i="1"/>
  <c r="I1695" i="1"/>
  <c r="G1695" i="1"/>
  <c r="I1694" i="1"/>
  <c r="G1694" i="1"/>
  <c r="I1693" i="1"/>
  <c r="G1693" i="1"/>
  <c r="I1692" i="1"/>
  <c r="G1692" i="1"/>
  <c r="I1691" i="1"/>
  <c r="G1691" i="1"/>
  <c r="I1690" i="1"/>
  <c r="G1690" i="1"/>
  <c r="I1689" i="1"/>
  <c r="G1689" i="1"/>
  <c r="I1688" i="1"/>
  <c r="G1688" i="1"/>
  <c r="I1687" i="1"/>
  <c r="G1687" i="1"/>
  <c r="I1686" i="1"/>
  <c r="G1686" i="1"/>
  <c r="I1685" i="1"/>
  <c r="G1685" i="1"/>
  <c r="I1684" i="1"/>
  <c r="G1684" i="1"/>
  <c r="I1683" i="1"/>
  <c r="G1683" i="1"/>
  <c r="I1682" i="1"/>
  <c r="G1682" i="1"/>
  <c r="I1681" i="1"/>
  <c r="G1681" i="1"/>
  <c r="I1680" i="1"/>
  <c r="G1680" i="1"/>
  <c r="I1679" i="1"/>
  <c r="G1679" i="1"/>
  <c r="I1678" i="1"/>
  <c r="G1678" i="1"/>
  <c r="I1677" i="1"/>
  <c r="G1677" i="1"/>
  <c r="I1676" i="1"/>
  <c r="G1676" i="1"/>
  <c r="I1675" i="1"/>
  <c r="G1675" i="1"/>
  <c r="I1674" i="1"/>
  <c r="G1674" i="1"/>
  <c r="I1673" i="1"/>
  <c r="G1673" i="1"/>
  <c r="I1672" i="1"/>
  <c r="G1672" i="1"/>
  <c r="I1671" i="1"/>
  <c r="G1671" i="1"/>
  <c r="I1670" i="1"/>
  <c r="G1670" i="1"/>
  <c r="I1669" i="1"/>
  <c r="G1669" i="1"/>
  <c r="I1668" i="1"/>
  <c r="G1668" i="1"/>
  <c r="I1667" i="1"/>
  <c r="G1667" i="1"/>
  <c r="I1666" i="1"/>
  <c r="G1666" i="1"/>
  <c r="I1665" i="1"/>
  <c r="G1665" i="1"/>
  <c r="I1664" i="1"/>
  <c r="G1664" i="1"/>
  <c r="I1663" i="1"/>
  <c r="G1663" i="1"/>
  <c r="I1662" i="1"/>
  <c r="G1662" i="1"/>
  <c r="I1661" i="1"/>
  <c r="G1661" i="1"/>
  <c r="I1660" i="1"/>
  <c r="G1660" i="1"/>
  <c r="I1659" i="1"/>
  <c r="G1659" i="1"/>
  <c r="I1658" i="1"/>
  <c r="G1658" i="1"/>
  <c r="I1657" i="1"/>
  <c r="G1657" i="1"/>
  <c r="I1656" i="1"/>
  <c r="G1656" i="1"/>
  <c r="I1655" i="1"/>
  <c r="G1655" i="1"/>
  <c r="I1654" i="1"/>
  <c r="G1654" i="1"/>
  <c r="I1653" i="1"/>
  <c r="G1653" i="1"/>
  <c r="I1652" i="1"/>
  <c r="G1652" i="1"/>
  <c r="I1651" i="1"/>
  <c r="G1651" i="1"/>
  <c r="I1650" i="1"/>
  <c r="G1650" i="1"/>
  <c r="I1649" i="1"/>
  <c r="G1649" i="1"/>
  <c r="I1648" i="1"/>
  <c r="G1648" i="1"/>
  <c r="I1647" i="1"/>
  <c r="G1647" i="1"/>
  <c r="I1646" i="1"/>
  <c r="G1646" i="1"/>
  <c r="I1645" i="1"/>
  <c r="G1645" i="1"/>
  <c r="I1644" i="1"/>
  <c r="G1644" i="1"/>
  <c r="I1643" i="1"/>
  <c r="G1643" i="1"/>
  <c r="I1642" i="1"/>
  <c r="G1642" i="1"/>
  <c r="I1641" i="1"/>
  <c r="G1641" i="1"/>
  <c r="I1640" i="1"/>
  <c r="G1640" i="1"/>
  <c r="I1639" i="1"/>
  <c r="G1639" i="1"/>
  <c r="I1638" i="1"/>
  <c r="G1638" i="1"/>
  <c r="I1637" i="1"/>
  <c r="G1637" i="1"/>
  <c r="I1636" i="1"/>
  <c r="G1636" i="1"/>
  <c r="I1635" i="1"/>
  <c r="G1635" i="1"/>
  <c r="I1634" i="1"/>
  <c r="G1634" i="1"/>
  <c r="I1633" i="1"/>
  <c r="G1633" i="1"/>
  <c r="I1632" i="1"/>
  <c r="G1632" i="1"/>
  <c r="I1631" i="1"/>
  <c r="G1631" i="1"/>
  <c r="I1630" i="1"/>
  <c r="G1630" i="1"/>
  <c r="I1629" i="1"/>
  <c r="G1629" i="1"/>
  <c r="I1628" i="1"/>
  <c r="G1628" i="1"/>
  <c r="I1627" i="1"/>
  <c r="G1627" i="1"/>
  <c r="I1626" i="1"/>
  <c r="G1626" i="1"/>
  <c r="I1625" i="1"/>
  <c r="G1625" i="1"/>
  <c r="I1624" i="1"/>
  <c r="G1624" i="1"/>
  <c r="I1623" i="1"/>
  <c r="G1623" i="1"/>
  <c r="I1622" i="1"/>
  <c r="G1622" i="1"/>
  <c r="I1621" i="1"/>
  <c r="G1621" i="1"/>
  <c r="I1620" i="1"/>
  <c r="G1620" i="1"/>
  <c r="I1619" i="1"/>
  <c r="G1619" i="1"/>
  <c r="I1618" i="1"/>
  <c r="G1618" i="1"/>
  <c r="I1617" i="1"/>
  <c r="G1617" i="1"/>
  <c r="I1616" i="1"/>
  <c r="G1616" i="1"/>
  <c r="I1615" i="1"/>
  <c r="G1615" i="1"/>
  <c r="I1614" i="1"/>
  <c r="G1614" i="1"/>
  <c r="I1613" i="1"/>
  <c r="G1613" i="1"/>
  <c r="I1612" i="1"/>
  <c r="G1612" i="1"/>
  <c r="I1611" i="1"/>
  <c r="G1611" i="1"/>
  <c r="I1610" i="1"/>
  <c r="G1610" i="1"/>
  <c r="I1609" i="1"/>
  <c r="G1609" i="1"/>
  <c r="I1608" i="1"/>
  <c r="G1608" i="1"/>
  <c r="I1607" i="1"/>
  <c r="G1607" i="1"/>
  <c r="I1606" i="1"/>
  <c r="G1606" i="1"/>
  <c r="I1605" i="1"/>
  <c r="G1605" i="1"/>
  <c r="I1604" i="1"/>
  <c r="G1604" i="1"/>
  <c r="I1603" i="1"/>
  <c r="G1603" i="1"/>
  <c r="I1602" i="1"/>
  <c r="G1602" i="1"/>
  <c r="I1601" i="1"/>
  <c r="G1601" i="1"/>
  <c r="I1600" i="1"/>
  <c r="G1600" i="1"/>
  <c r="I1599" i="1"/>
  <c r="G1599" i="1"/>
  <c r="I1598" i="1"/>
  <c r="G1598" i="1"/>
  <c r="I1597" i="1"/>
  <c r="G1597" i="1"/>
  <c r="I1596" i="1"/>
  <c r="G1596" i="1"/>
  <c r="I1595" i="1"/>
  <c r="G1595" i="1"/>
  <c r="I1594" i="1"/>
  <c r="G1594" i="1"/>
  <c r="I1593" i="1"/>
  <c r="G1593" i="1"/>
  <c r="I1592" i="1"/>
  <c r="G1592" i="1"/>
  <c r="I1591" i="1"/>
  <c r="G1591" i="1"/>
  <c r="I1590" i="1"/>
  <c r="G1590" i="1"/>
  <c r="I1589" i="1"/>
  <c r="G1589" i="1"/>
  <c r="I1588" i="1"/>
  <c r="G1588" i="1"/>
  <c r="I1587" i="1"/>
  <c r="G1587" i="1"/>
  <c r="I1586" i="1"/>
  <c r="G1586" i="1"/>
  <c r="I1585" i="1"/>
  <c r="G1585" i="1"/>
  <c r="I1584" i="1"/>
  <c r="G1584" i="1"/>
  <c r="I1583" i="1"/>
  <c r="G1583" i="1"/>
  <c r="I1582" i="1"/>
  <c r="G1582" i="1"/>
  <c r="I1581" i="1"/>
  <c r="G1581" i="1"/>
  <c r="I1580" i="1"/>
  <c r="G1580" i="1"/>
  <c r="I1579" i="1"/>
  <c r="G1579" i="1"/>
  <c r="I1578" i="1"/>
  <c r="G1578" i="1"/>
  <c r="I1577" i="1"/>
  <c r="G1577" i="1"/>
  <c r="I1576" i="1"/>
  <c r="G1576" i="1"/>
  <c r="I1575" i="1"/>
  <c r="G1575" i="1"/>
  <c r="I1574" i="1"/>
  <c r="G1574" i="1"/>
  <c r="I1573" i="1"/>
  <c r="G1573" i="1"/>
  <c r="I1572" i="1"/>
  <c r="G1572" i="1"/>
  <c r="I1571" i="1"/>
  <c r="G1571" i="1"/>
  <c r="I1570" i="1"/>
  <c r="G1570" i="1"/>
  <c r="I1569" i="1"/>
  <c r="G1569" i="1"/>
  <c r="I1568" i="1"/>
  <c r="G1568" i="1"/>
  <c r="I1567" i="1"/>
  <c r="G1567" i="1"/>
  <c r="I1566" i="1"/>
  <c r="G1566" i="1"/>
  <c r="I1565" i="1"/>
  <c r="G1565" i="1"/>
  <c r="I1564" i="1"/>
  <c r="G1564" i="1"/>
  <c r="I1563" i="1"/>
  <c r="G1563" i="1"/>
  <c r="I1562" i="1"/>
  <c r="G1562" i="1"/>
  <c r="I1561" i="1"/>
  <c r="G1561" i="1"/>
  <c r="I1560" i="1"/>
  <c r="G1560" i="1"/>
  <c r="I1559" i="1"/>
  <c r="G1559" i="1"/>
  <c r="I1558" i="1"/>
  <c r="G1558" i="1"/>
  <c r="I1557" i="1"/>
  <c r="G1557" i="1"/>
  <c r="I1556" i="1"/>
  <c r="G1556" i="1"/>
  <c r="I1555" i="1"/>
  <c r="G1555" i="1"/>
  <c r="I1554" i="1"/>
  <c r="G1554" i="1"/>
  <c r="I1553" i="1"/>
  <c r="G1553" i="1"/>
  <c r="I1552" i="1"/>
  <c r="G1552" i="1"/>
  <c r="I1551" i="1"/>
  <c r="G1551" i="1"/>
  <c r="I1550" i="1"/>
  <c r="G1550" i="1"/>
  <c r="I1549" i="1"/>
  <c r="G1549" i="1"/>
  <c r="I1548" i="1"/>
  <c r="G1548" i="1"/>
  <c r="I1547" i="1"/>
  <c r="G1547" i="1"/>
  <c r="I1546" i="1"/>
  <c r="G1546" i="1"/>
  <c r="I1545" i="1"/>
  <c r="G1545" i="1"/>
  <c r="I1544" i="1"/>
  <c r="G1544" i="1"/>
  <c r="I1543" i="1"/>
  <c r="G1543" i="1"/>
  <c r="I1542" i="1"/>
  <c r="G1542" i="1"/>
  <c r="I1541" i="1"/>
  <c r="G1541" i="1"/>
  <c r="I1540" i="1"/>
  <c r="G1540" i="1"/>
  <c r="I1539" i="1"/>
  <c r="G1539" i="1"/>
  <c r="I1538" i="1"/>
  <c r="G1538" i="1"/>
  <c r="I1537" i="1"/>
  <c r="G1537" i="1"/>
  <c r="I1536" i="1"/>
  <c r="G1536" i="1"/>
  <c r="I1535" i="1"/>
  <c r="G1535" i="1"/>
  <c r="I1534" i="1"/>
  <c r="G1534" i="1"/>
  <c r="I1533" i="1"/>
  <c r="G1533" i="1"/>
  <c r="I1532" i="1"/>
  <c r="G1532" i="1"/>
  <c r="I1531" i="1"/>
  <c r="G1531" i="1"/>
  <c r="I1530" i="1"/>
  <c r="G1530" i="1"/>
  <c r="I1529" i="1"/>
  <c r="G1529" i="1"/>
  <c r="I1528" i="1"/>
  <c r="G1528" i="1"/>
  <c r="I1527" i="1"/>
  <c r="G1527" i="1"/>
  <c r="I1526" i="1"/>
  <c r="G1526" i="1"/>
  <c r="I1525" i="1"/>
  <c r="G1525" i="1"/>
  <c r="I1524" i="1"/>
  <c r="G1524" i="1"/>
  <c r="I1523" i="1"/>
  <c r="G1523" i="1"/>
  <c r="I1522" i="1"/>
  <c r="G1522" i="1"/>
  <c r="I1521" i="1"/>
  <c r="G1521" i="1"/>
  <c r="I1520" i="1"/>
  <c r="G1520" i="1"/>
  <c r="I1519" i="1"/>
  <c r="G1519" i="1"/>
  <c r="I1518" i="1"/>
  <c r="G1518" i="1"/>
  <c r="I1517" i="1"/>
  <c r="G1517" i="1"/>
  <c r="I1516" i="1"/>
  <c r="G1516" i="1"/>
  <c r="I1515" i="1"/>
  <c r="G1515" i="1"/>
  <c r="I1514" i="1"/>
  <c r="G1514" i="1"/>
  <c r="I1513" i="1"/>
  <c r="G1513" i="1"/>
  <c r="I1512" i="1"/>
  <c r="G1512" i="1"/>
  <c r="I1511" i="1"/>
  <c r="G1511" i="1"/>
  <c r="I1510" i="1"/>
  <c r="G1510" i="1"/>
  <c r="I1509" i="1"/>
  <c r="G1509" i="1"/>
  <c r="I1508" i="1"/>
  <c r="G1508" i="1"/>
  <c r="I1507" i="1"/>
  <c r="G1507" i="1"/>
  <c r="I1506" i="1"/>
  <c r="G1506" i="1"/>
  <c r="I1505" i="1"/>
  <c r="G1505" i="1"/>
  <c r="I1504" i="1"/>
  <c r="G1504" i="1"/>
  <c r="I1503" i="1"/>
  <c r="G1503" i="1"/>
  <c r="I1502" i="1"/>
  <c r="G1502" i="1"/>
  <c r="I1501" i="1"/>
  <c r="G1501" i="1"/>
  <c r="I1500" i="1"/>
  <c r="G1500" i="1"/>
  <c r="I1499" i="1"/>
  <c r="G1499" i="1"/>
  <c r="I1498" i="1"/>
  <c r="G1498" i="1"/>
  <c r="I1497" i="1"/>
  <c r="G1497" i="1"/>
  <c r="I1496" i="1"/>
  <c r="G1496" i="1"/>
  <c r="I1495" i="1"/>
  <c r="G1495" i="1"/>
  <c r="I1494" i="1"/>
  <c r="G1494" i="1"/>
  <c r="I1493" i="1"/>
  <c r="G1493" i="1"/>
  <c r="I1492" i="1"/>
  <c r="G1492" i="1"/>
  <c r="I1491" i="1"/>
  <c r="G1491" i="1"/>
  <c r="I1490" i="1"/>
  <c r="G1490" i="1"/>
  <c r="I1489" i="1"/>
  <c r="G1489" i="1"/>
  <c r="I1488" i="1"/>
  <c r="G1488" i="1"/>
  <c r="I1487" i="1"/>
  <c r="G1487" i="1"/>
  <c r="I1486" i="1"/>
  <c r="G1486" i="1"/>
  <c r="I1485" i="1"/>
  <c r="G1485" i="1"/>
  <c r="I1484" i="1"/>
  <c r="G1484" i="1"/>
  <c r="I1483" i="1"/>
  <c r="G1483" i="1"/>
  <c r="I1482" i="1"/>
  <c r="G1482" i="1"/>
  <c r="I1481" i="1"/>
  <c r="G1481" i="1"/>
  <c r="I1480" i="1"/>
  <c r="G1480" i="1"/>
  <c r="I1479" i="1"/>
  <c r="G1479" i="1"/>
  <c r="I1478" i="1"/>
  <c r="G1478" i="1"/>
  <c r="I1477" i="1"/>
  <c r="G1477" i="1"/>
  <c r="I1476" i="1"/>
  <c r="G1476" i="1"/>
  <c r="I1475" i="1"/>
  <c r="G1475" i="1"/>
  <c r="I1474" i="1"/>
  <c r="G1474" i="1"/>
  <c r="I1473" i="1"/>
  <c r="G1473" i="1"/>
  <c r="I1472" i="1"/>
  <c r="G1472" i="1"/>
  <c r="I1471" i="1"/>
  <c r="G1471" i="1"/>
  <c r="I1470" i="1"/>
  <c r="G1470" i="1"/>
  <c r="I1469" i="1"/>
  <c r="G1469" i="1"/>
  <c r="I1468" i="1"/>
  <c r="G1468" i="1"/>
  <c r="I1467" i="1"/>
  <c r="G1467" i="1"/>
  <c r="I1466" i="1"/>
  <c r="G1466" i="1"/>
  <c r="I1465" i="1"/>
  <c r="G1465" i="1"/>
  <c r="I1464" i="1"/>
  <c r="G1464" i="1"/>
  <c r="I1463" i="1"/>
  <c r="G1463" i="1"/>
  <c r="I1462" i="1"/>
  <c r="G1462" i="1"/>
  <c r="I1461" i="1"/>
  <c r="G1461" i="1"/>
  <c r="I1460" i="1"/>
  <c r="G1460" i="1"/>
  <c r="I1459" i="1"/>
  <c r="G1459" i="1"/>
  <c r="I1458" i="1"/>
  <c r="G1458" i="1"/>
  <c r="I1457" i="1"/>
  <c r="G1457" i="1"/>
  <c r="I1456" i="1"/>
  <c r="G1456" i="1"/>
  <c r="I1455" i="1"/>
  <c r="G1455" i="1"/>
  <c r="I1454" i="1"/>
  <c r="G1454" i="1"/>
  <c r="I1453" i="1"/>
  <c r="G1453" i="1"/>
  <c r="I1452" i="1"/>
  <c r="G1452" i="1"/>
  <c r="I1451" i="1"/>
  <c r="G1451" i="1"/>
  <c r="I1450" i="1"/>
  <c r="G1450" i="1"/>
  <c r="I1449" i="1"/>
  <c r="G1449" i="1"/>
  <c r="I1448" i="1"/>
  <c r="G1448" i="1"/>
  <c r="I1447" i="1"/>
  <c r="G1447" i="1"/>
  <c r="I1446" i="1"/>
  <c r="G1446" i="1"/>
  <c r="I1445" i="1"/>
  <c r="G1445" i="1"/>
  <c r="I1444" i="1"/>
  <c r="G1444" i="1"/>
  <c r="I1443" i="1"/>
  <c r="G1443" i="1"/>
  <c r="I1442" i="1"/>
  <c r="G1442" i="1"/>
  <c r="I1441" i="1"/>
  <c r="G1441" i="1"/>
  <c r="I1440" i="1"/>
  <c r="G1440" i="1"/>
  <c r="I1439" i="1"/>
  <c r="G1439" i="1"/>
  <c r="I1438" i="1"/>
  <c r="G1438" i="1"/>
  <c r="I1437" i="1"/>
  <c r="G1437" i="1"/>
  <c r="I1436" i="1"/>
  <c r="G1436" i="1"/>
  <c r="I1435" i="1"/>
  <c r="G1435" i="1"/>
  <c r="I1434" i="1"/>
  <c r="G1434" i="1"/>
  <c r="I1433" i="1"/>
  <c r="G1433" i="1"/>
  <c r="I1432" i="1"/>
  <c r="G1432" i="1"/>
  <c r="I1431" i="1"/>
  <c r="G1431" i="1"/>
  <c r="I1430" i="1"/>
  <c r="G1430" i="1"/>
  <c r="I1429" i="1"/>
  <c r="G1429" i="1"/>
  <c r="I1428" i="1"/>
  <c r="G1428" i="1"/>
  <c r="I1427" i="1"/>
  <c r="G1427" i="1"/>
  <c r="I1426" i="1"/>
  <c r="G1426" i="1"/>
  <c r="I1425" i="1"/>
  <c r="G1425" i="1"/>
  <c r="I1424" i="1"/>
  <c r="G1424" i="1"/>
  <c r="I1423" i="1"/>
  <c r="G1423" i="1"/>
  <c r="I1422" i="1"/>
  <c r="G1422" i="1"/>
  <c r="I1421" i="1"/>
  <c r="G1421" i="1"/>
  <c r="I1420" i="1"/>
  <c r="G1420" i="1"/>
  <c r="I1419" i="1"/>
  <c r="G1419" i="1"/>
  <c r="I1418" i="1"/>
  <c r="G1418" i="1"/>
  <c r="I1417" i="1"/>
  <c r="G1417" i="1"/>
  <c r="I1416" i="1"/>
  <c r="G1416" i="1"/>
  <c r="I1415" i="1"/>
  <c r="G1415" i="1"/>
  <c r="I1414" i="1"/>
  <c r="G1414" i="1"/>
  <c r="I1413" i="1"/>
  <c r="G1413" i="1"/>
  <c r="I1412" i="1"/>
  <c r="G1412" i="1"/>
  <c r="I1411" i="1"/>
  <c r="G1411" i="1"/>
  <c r="I1410" i="1"/>
  <c r="G1410" i="1"/>
  <c r="I1409" i="1"/>
  <c r="G1409" i="1"/>
  <c r="I1408" i="1"/>
  <c r="G1408" i="1"/>
  <c r="I1407" i="1"/>
  <c r="G1407" i="1"/>
  <c r="I1406" i="1"/>
  <c r="G1406" i="1"/>
  <c r="I1405" i="1"/>
  <c r="G1405" i="1"/>
  <c r="I1404" i="1"/>
  <c r="G1404" i="1"/>
  <c r="I1403" i="1"/>
  <c r="G1403" i="1"/>
  <c r="I1402" i="1"/>
  <c r="G1402" i="1"/>
  <c r="I1401" i="1"/>
  <c r="G1401" i="1"/>
  <c r="I1400" i="1"/>
  <c r="G1400" i="1"/>
  <c r="I1399" i="1"/>
  <c r="G1399" i="1"/>
  <c r="I1398" i="1"/>
  <c r="G1398" i="1"/>
  <c r="I1397" i="1"/>
  <c r="G1397" i="1"/>
  <c r="I1396" i="1"/>
  <c r="G1396" i="1"/>
  <c r="I1395" i="1"/>
  <c r="G1395" i="1"/>
  <c r="I1394" i="1"/>
  <c r="G1394" i="1"/>
  <c r="I1393" i="1"/>
  <c r="G1393" i="1"/>
  <c r="I1392" i="1"/>
  <c r="G1392" i="1"/>
  <c r="I1391" i="1"/>
  <c r="G1391" i="1"/>
  <c r="I1390" i="1"/>
  <c r="G1390" i="1"/>
  <c r="I1389" i="1"/>
  <c r="G1389" i="1"/>
  <c r="I1388" i="1"/>
  <c r="G1388" i="1"/>
  <c r="I1387" i="1"/>
  <c r="G1387" i="1"/>
  <c r="I1386" i="1"/>
  <c r="G1386" i="1"/>
  <c r="I1385" i="1"/>
  <c r="G1385" i="1"/>
  <c r="I1384" i="1"/>
  <c r="G1384" i="1"/>
  <c r="I1383" i="1"/>
  <c r="G1383" i="1"/>
  <c r="I1382" i="1"/>
  <c r="G1382" i="1"/>
  <c r="I1381" i="1"/>
  <c r="G1381" i="1"/>
  <c r="I1380" i="1"/>
  <c r="G1380" i="1"/>
  <c r="I1379" i="1"/>
  <c r="G1379" i="1"/>
  <c r="I1378" i="1"/>
  <c r="G1378" i="1"/>
  <c r="I1377" i="1"/>
  <c r="G1377" i="1"/>
  <c r="I1376" i="1"/>
  <c r="G1376" i="1"/>
  <c r="I1375" i="1"/>
  <c r="G1375" i="1"/>
  <c r="I1374" i="1"/>
  <c r="G1374" i="1"/>
  <c r="I1373" i="1"/>
  <c r="G1373" i="1"/>
  <c r="I1372" i="1"/>
  <c r="G1372" i="1"/>
  <c r="I1371" i="1"/>
  <c r="G1371" i="1"/>
  <c r="I1370" i="1"/>
  <c r="G1370" i="1"/>
  <c r="I1369" i="1"/>
  <c r="G1369" i="1"/>
  <c r="I1368" i="1"/>
  <c r="G1368" i="1"/>
  <c r="I1367" i="1"/>
  <c r="G1367" i="1"/>
  <c r="I1366" i="1"/>
  <c r="G1366" i="1"/>
  <c r="I1365" i="1"/>
  <c r="G1365" i="1"/>
  <c r="I1364" i="1"/>
  <c r="G1364" i="1"/>
  <c r="I1363" i="1"/>
  <c r="G1363" i="1"/>
  <c r="I1362" i="1"/>
  <c r="G1362" i="1"/>
  <c r="I1361" i="1"/>
  <c r="G1361" i="1"/>
  <c r="I1360" i="1"/>
  <c r="G1360" i="1"/>
  <c r="I1359" i="1"/>
  <c r="G1359" i="1"/>
  <c r="I1358" i="1"/>
  <c r="G1358" i="1"/>
  <c r="I1357" i="1"/>
  <c r="G1357" i="1"/>
  <c r="I1356" i="1"/>
  <c r="G1356" i="1"/>
  <c r="I1355" i="1"/>
  <c r="G1355" i="1"/>
  <c r="I1354" i="1"/>
  <c r="G1354" i="1"/>
  <c r="I1353" i="1"/>
  <c r="G1353" i="1"/>
  <c r="I1352" i="1"/>
  <c r="G1352" i="1"/>
  <c r="I1351" i="1"/>
  <c r="G1351" i="1"/>
  <c r="I1350" i="1"/>
  <c r="G1350" i="1"/>
  <c r="I1349" i="1"/>
  <c r="G1349" i="1"/>
  <c r="I1348" i="1"/>
  <c r="G1348" i="1"/>
  <c r="I1347" i="1"/>
  <c r="G1347" i="1"/>
  <c r="I1346" i="1"/>
  <c r="G1346" i="1"/>
  <c r="I1345" i="1"/>
  <c r="G1345" i="1"/>
  <c r="I1344" i="1"/>
  <c r="G1344" i="1"/>
  <c r="I1343" i="1"/>
  <c r="G1343" i="1"/>
  <c r="I1342" i="1"/>
  <c r="G1342" i="1"/>
  <c r="I1341" i="1"/>
  <c r="G1341" i="1"/>
  <c r="I1340" i="1"/>
  <c r="G1340" i="1"/>
  <c r="I1339" i="1"/>
  <c r="G1339" i="1"/>
  <c r="I1338" i="1"/>
  <c r="G1338" i="1"/>
  <c r="I1337" i="1"/>
  <c r="G1337" i="1"/>
  <c r="I1336" i="1"/>
  <c r="G1336" i="1"/>
  <c r="I1335" i="1"/>
  <c r="G1335" i="1"/>
  <c r="I1334" i="1"/>
  <c r="G1334" i="1"/>
  <c r="I1333" i="1"/>
  <c r="G1333" i="1"/>
  <c r="I1332" i="1"/>
  <c r="G1332" i="1"/>
  <c r="I1331" i="1"/>
  <c r="G1331" i="1"/>
  <c r="I1330" i="1"/>
  <c r="G1330" i="1"/>
  <c r="I1329" i="1"/>
  <c r="G1329" i="1"/>
  <c r="I1328" i="1"/>
  <c r="G1328" i="1"/>
  <c r="I1327" i="1"/>
  <c r="G1327" i="1"/>
  <c r="I1326" i="1"/>
  <c r="G1326" i="1"/>
  <c r="I1325" i="1"/>
  <c r="G1325" i="1"/>
  <c r="I1324" i="1"/>
  <c r="G1324" i="1"/>
  <c r="I1323" i="1"/>
  <c r="G1323" i="1"/>
  <c r="I1322" i="1"/>
  <c r="G1322" i="1"/>
  <c r="I1321" i="1"/>
  <c r="G1321" i="1"/>
  <c r="I1320" i="1"/>
  <c r="G1320" i="1"/>
  <c r="I1319" i="1"/>
  <c r="G1319" i="1"/>
  <c r="I1318" i="1"/>
  <c r="G1318" i="1"/>
  <c r="I1317" i="1"/>
  <c r="G1317" i="1"/>
  <c r="I1316" i="1"/>
  <c r="G1316" i="1"/>
  <c r="I1315" i="1"/>
  <c r="G1315" i="1"/>
  <c r="I1314" i="1"/>
  <c r="G1314" i="1"/>
  <c r="I1313" i="1"/>
  <c r="G1313" i="1"/>
  <c r="I1312" i="1"/>
  <c r="G1312" i="1"/>
  <c r="I1311" i="1"/>
  <c r="G1311" i="1"/>
  <c r="I1310" i="1"/>
  <c r="G1310" i="1"/>
  <c r="I1309" i="1"/>
  <c r="G1309" i="1"/>
  <c r="I1308" i="1"/>
  <c r="G1308" i="1"/>
  <c r="I1307" i="1"/>
  <c r="G1307" i="1"/>
  <c r="I1306" i="1"/>
  <c r="G1306" i="1"/>
  <c r="I1305" i="1"/>
  <c r="G1305" i="1"/>
  <c r="I1304" i="1"/>
  <c r="G1304" i="1"/>
  <c r="I1303" i="1"/>
  <c r="G1303" i="1"/>
  <c r="I1302" i="1"/>
  <c r="G1302" i="1"/>
  <c r="I1301" i="1"/>
  <c r="G1301" i="1"/>
  <c r="I1300" i="1"/>
  <c r="G1300" i="1"/>
  <c r="I1299" i="1"/>
  <c r="G1299" i="1"/>
  <c r="I1298" i="1"/>
  <c r="G1298" i="1"/>
  <c r="I1297" i="1"/>
  <c r="G1297" i="1"/>
  <c r="I1296" i="1"/>
  <c r="G1296" i="1"/>
  <c r="I1295" i="1"/>
  <c r="G1295" i="1"/>
  <c r="I1294" i="1"/>
  <c r="G1294" i="1"/>
  <c r="I1293" i="1"/>
  <c r="G1293" i="1"/>
  <c r="I1292" i="1"/>
  <c r="G1292" i="1"/>
  <c r="I1291" i="1"/>
  <c r="G1291" i="1"/>
  <c r="I1290" i="1"/>
  <c r="G1290" i="1"/>
  <c r="I1289" i="1"/>
  <c r="G1289" i="1"/>
  <c r="I1288" i="1"/>
  <c r="G1288" i="1"/>
  <c r="I1287" i="1"/>
  <c r="G1287" i="1"/>
  <c r="I1286" i="1"/>
  <c r="G1286" i="1"/>
  <c r="I1285" i="1"/>
  <c r="G1285" i="1"/>
  <c r="I1284" i="1"/>
  <c r="G1284" i="1"/>
  <c r="I1283" i="1"/>
  <c r="G1283" i="1"/>
  <c r="I1282" i="1"/>
  <c r="G1282" i="1"/>
  <c r="I1281" i="1"/>
  <c r="G1281" i="1"/>
  <c r="I1280" i="1"/>
  <c r="G1280" i="1"/>
  <c r="I1279" i="1"/>
  <c r="G1279" i="1"/>
  <c r="I1278" i="1"/>
  <c r="G1278" i="1"/>
  <c r="I1277" i="1"/>
  <c r="G1277" i="1"/>
  <c r="I1276" i="1"/>
  <c r="G1276" i="1"/>
  <c r="I1275" i="1"/>
  <c r="G1275" i="1"/>
  <c r="I1274" i="1"/>
  <c r="G1274" i="1"/>
  <c r="I1273" i="1"/>
  <c r="G1273" i="1"/>
  <c r="I1272" i="1"/>
  <c r="G1272" i="1"/>
  <c r="I1271" i="1"/>
  <c r="G1271" i="1"/>
  <c r="I1270" i="1"/>
  <c r="G1270" i="1"/>
  <c r="I1269" i="1"/>
  <c r="G1269" i="1"/>
  <c r="I1268" i="1"/>
  <c r="G1268" i="1"/>
  <c r="I1267" i="1"/>
  <c r="G1267" i="1"/>
  <c r="I1266" i="1"/>
  <c r="G1266" i="1"/>
  <c r="I1265" i="1"/>
  <c r="G1265" i="1"/>
  <c r="I1264" i="1"/>
  <c r="G1264" i="1"/>
  <c r="I1263" i="1"/>
  <c r="G1263" i="1"/>
  <c r="I1262" i="1"/>
  <c r="G1262" i="1"/>
  <c r="I1261" i="1"/>
  <c r="G1261" i="1"/>
  <c r="I1260" i="1"/>
  <c r="G1260" i="1"/>
  <c r="I1259" i="1"/>
  <c r="G1259" i="1"/>
  <c r="I1258" i="1"/>
  <c r="G1258" i="1"/>
  <c r="I1257" i="1"/>
  <c r="G1257" i="1"/>
  <c r="I1256" i="1"/>
  <c r="G1256" i="1"/>
  <c r="I1255" i="1"/>
  <c r="G1255" i="1"/>
  <c r="I1254" i="1"/>
  <c r="G1254" i="1"/>
  <c r="I1253" i="1"/>
  <c r="G1253" i="1"/>
  <c r="I1252" i="1"/>
  <c r="G1252" i="1"/>
  <c r="I1251" i="1"/>
  <c r="G1251" i="1"/>
  <c r="I1250" i="1"/>
  <c r="G1250" i="1"/>
  <c r="I1249" i="1"/>
  <c r="G1249" i="1"/>
  <c r="I1248" i="1"/>
  <c r="G1248" i="1"/>
  <c r="I1247" i="1"/>
  <c r="G1247" i="1"/>
  <c r="I1246" i="1"/>
  <c r="G1246" i="1"/>
  <c r="I1245" i="1"/>
  <c r="G1245" i="1"/>
  <c r="I1244" i="1"/>
  <c r="G1244" i="1"/>
  <c r="I1243" i="1"/>
  <c r="G1243" i="1"/>
  <c r="I1242" i="1"/>
  <c r="G1242" i="1"/>
  <c r="I1241" i="1"/>
  <c r="G1241" i="1"/>
  <c r="I1240" i="1"/>
  <c r="G1240" i="1"/>
  <c r="I1239" i="1"/>
  <c r="G1239" i="1"/>
  <c r="I1238" i="1"/>
  <c r="G1238" i="1"/>
  <c r="I1237" i="1"/>
  <c r="G1237" i="1"/>
  <c r="I1236" i="1"/>
  <c r="G1236" i="1"/>
  <c r="I1235" i="1"/>
  <c r="G1235" i="1"/>
  <c r="I1234" i="1"/>
  <c r="G1234" i="1"/>
  <c r="I1233" i="1"/>
  <c r="G1233" i="1"/>
  <c r="I1232" i="1"/>
  <c r="G1232" i="1"/>
  <c r="I1231" i="1"/>
  <c r="G1231" i="1"/>
  <c r="I1230" i="1"/>
  <c r="G1230" i="1"/>
  <c r="I1229" i="1"/>
  <c r="G1229" i="1"/>
  <c r="I1228" i="1"/>
  <c r="G1228" i="1"/>
  <c r="I1227" i="1"/>
  <c r="G1227" i="1"/>
  <c r="I1226" i="1"/>
  <c r="G1226" i="1"/>
  <c r="I1225" i="1"/>
  <c r="G1225" i="1"/>
  <c r="I1224" i="1"/>
  <c r="G1224" i="1"/>
  <c r="I1223" i="1"/>
  <c r="G1223" i="1"/>
  <c r="I1222" i="1"/>
  <c r="G1222" i="1"/>
  <c r="I1221" i="1"/>
  <c r="G1221" i="1"/>
  <c r="I1220" i="1"/>
  <c r="G1220" i="1"/>
  <c r="I1219" i="1"/>
  <c r="G1219" i="1"/>
  <c r="I1218" i="1"/>
  <c r="G1218" i="1"/>
  <c r="I1217" i="1"/>
  <c r="G1217" i="1"/>
  <c r="I1216" i="1"/>
  <c r="G1216" i="1"/>
  <c r="I1215" i="1"/>
  <c r="G1215" i="1"/>
  <c r="I1214" i="1"/>
  <c r="G1214" i="1"/>
  <c r="I1213" i="1"/>
  <c r="G1213" i="1"/>
  <c r="I1212" i="1"/>
  <c r="G1212" i="1"/>
  <c r="I1211" i="1"/>
  <c r="G1211" i="1"/>
  <c r="I1210" i="1"/>
  <c r="G1210" i="1"/>
  <c r="I1209" i="1"/>
  <c r="G1209" i="1"/>
  <c r="I1208" i="1"/>
  <c r="G1208" i="1"/>
  <c r="I1207" i="1"/>
  <c r="G1207" i="1"/>
  <c r="I1206" i="1"/>
  <c r="G1206" i="1"/>
  <c r="I1205" i="1"/>
  <c r="G1205" i="1"/>
  <c r="I1204" i="1"/>
  <c r="G1204" i="1"/>
  <c r="I1203" i="1"/>
  <c r="G1203" i="1"/>
  <c r="I1202" i="1"/>
  <c r="G1202" i="1"/>
  <c r="I1201" i="1"/>
  <c r="G1201" i="1"/>
  <c r="I1200" i="1"/>
  <c r="G1200" i="1"/>
  <c r="I1199" i="1"/>
  <c r="G1199" i="1"/>
  <c r="I1198" i="1"/>
  <c r="G1198" i="1"/>
  <c r="I1197" i="1"/>
  <c r="G1197" i="1"/>
  <c r="I1196" i="1"/>
  <c r="G1196" i="1"/>
  <c r="I1195" i="1"/>
  <c r="G1195" i="1"/>
  <c r="I1194" i="1"/>
  <c r="G1194" i="1"/>
  <c r="I1193" i="1"/>
  <c r="G1193" i="1"/>
  <c r="I1192" i="1"/>
  <c r="G1192" i="1"/>
  <c r="I1191" i="1"/>
  <c r="G1191" i="1"/>
  <c r="I1190" i="1"/>
  <c r="G1190" i="1"/>
  <c r="I1189" i="1"/>
  <c r="G1189" i="1"/>
  <c r="I1188" i="1"/>
  <c r="G1188" i="1"/>
  <c r="I1187" i="1"/>
  <c r="G1187" i="1"/>
  <c r="I1186" i="1"/>
  <c r="G1186" i="1"/>
  <c r="I1185" i="1"/>
  <c r="G1185" i="1"/>
  <c r="I1184" i="1"/>
  <c r="G1184" i="1"/>
  <c r="I1183" i="1"/>
  <c r="G1183" i="1"/>
  <c r="I1182" i="1"/>
  <c r="G1182" i="1"/>
  <c r="I1181" i="1"/>
  <c r="G1181" i="1"/>
  <c r="I1180" i="1"/>
  <c r="G1180" i="1"/>
  <c r="I1179" i="1"/>
  <c r="G1179" i="1"/>
  <c r="I1178" i="1"/>
  <c r="G1178" i="1"/>
  <c r="I1177" i="1"/>
  <c r="G1177" i="1"/>
  <c r="I1176" i="1"/>
  <c r="G1176" i="1"/>
  <c r="I1175" i="1"/>
  <c r="G1175" i="1"/>
  <c r="I1174" i="1"/>
  <c r="G1174" i="1"/>
  <c r="I1173" i="1"/>
  <c r="G1173" i="1"/>
  <c r="I1172" i="1"/>
  <c r="G1172" i="1"/>
  <c r="I1171" i="1"/>
  <c r="G1171" i="1"/>
  <c r="I1170" i="1"/>
  <c r="G1170" i="1"/>
  <c r="I1169" i="1"/>
  <c r="G1169" i="1"/>
  <c r="I1168" i="1"/>
  <c r="G1168" i="1"/>
  <c r="I1167" i="1"/>
  <c r="G1167" i="1"/>
  <c r="I1166" i="1"/>
  <c r="G1166" i="1"/>
  <c r="I1165" i="1"/>
  <c r="G1165" i="1"/>
  <c r="I1164" i="1"/>
  <c r="G1164" i="1"/>
  <c r="I1163" i="1"/>
  <c r="G1163" i="1"/>
  <c r="I1162" i="1"/>
  <c r="G1162" i="1"/>
  <c r="I1161" i="1"/>
  <c r="G1161" i="1"/>
  <c r="I1160" i="1"/>
  <c r="G1160" i="1"/>
  <c r="I1159" i="1"/>
  <c r="G1159" i="1"/>
  <c r="I1158" i="1"/>
  <c r="G1158" i="1"/>
  <c r="I1157" i="1"/>
  <c r="G1157" i="1"/>
  <c r="I1156" i="1"/>
  <c r="G1156" i="1"/>
  <c r="I1155" i="1"/>
  <c r="G1155" i="1"/>
  <c r="I1154" i="1"/>
  <c r="G1154" i="1"/>
  <c r="I1153" i="1"/>
  <c r="G1153" i="1"/>
  <c r="I1152" i="1"/>
  <c r="G1152" i="1"/>
  <c r="I1151" i="1"/>
  <c r="G1151" i="1"/>
  <c r="I1150" i="1"/>
  <c r="G1150" i="1"/>
  <c r="I1149" i="1"/>
  <c r="G1149" i="1"/>
  <c r="I1148" i="1"/>
  <c r="G1148" i="1"/>
  <c r="I1147" i="1"/>
  <c r="G1147" i="1"/>
  <c r="I1146" i="1"/>
  <c r="G1146" i="1"/>
  <c r="I1145" i="1"/>
  <c r="G1145" i="1"/>
  <c r="I1144" i="1"/>
  <c r="G1144" i="1"/>
  <c r="I1143" i="1"/>
  <c r="G1143" i="1"/>
  <c r="I1142" i="1"/>
  <c r="G1142" i="1"/>
  <c r="I1141" i="1"/>
  <c r="G1141" i="1"/>
  <c r="I1140" i="1"/>
  <c r="G1140" i="1"/>
  <c r="I1139" i="1"/>
  <c r="G1139" i="1"/>
  <c r="I1138" i="1"/>
  <c r="G1138" i="1"/>
  <c r="I1137" i="1"/>
  <c r="G1137" i="1"/>
  <c r="I1136" i="1"/>
  <c r="G1136" i="1"/>
  <c r="I1135" i="1"/>
  <c r="G1135" i="1"/>
  <c r="I1134" i="1"/>
  <c r="G1134" i="1"/>
  <c r="I1133" i="1"/>
  <c r="G1133" i="1"/>
  <c r="I1132" i="1"/>
  <c r="G1132" i="1"/>
  <c r="I1131" i="1"/>
  <c r="G1131" i="1"/>
  <c r="I1130" i="1"/>
  <c r="G1130" i="1"/>
  <c r="I1129" i="1"/>
  <c r="G1129" i="1"/>
  <c r="I1128" i="1"/>
  <c r="G1128" i="1"/>
  <c r="I1127" i="1"/>
  <c r="G1127" i="1"/>
  <c r="I1126" i="1"/>
  <c r="G1126" i="1"/>
  <c r="I1125" i="1"/>
  <c r="G1125" i="1"/>
  <c r="I1124" i="1"/>
  <c r="G1124" i="1"/>
  <c r="I1123" i="1"/>
  <c r="G1123" i="1"/>
  <c r="I1122" i="1"/>
  <c r="G1122" i="1"/>
  <c r="I1121" i="1"/>
  <c r="G1121" i="1"/>
  <c r="I1120" i="1"/>
  <c r="G1120" i="1"/>
  <c r="I1119" i="1"/>
  <c r="G1119" i="1"/>
  <c r="I1118" i="1"/>
  <c r="G1118" i="1"/>
  <c r="I1117" i="1"/>
  <c r="G1117" i="1"/>
  <c r="I1116" i="1"/>
  <c r="G1116" i="1"/>
  <c r="I1115" i="1"/>
  <c r="G1115" i="1"/>
  <c r="I1114" i="1"/>
  <c r="G1114" i="1"/>
  <c r="I1113" i="1"/>
  <c r="G1113" i="1"/>
  <c r="I1112" i="1"/>
  <c r="G1112" i="1"/>
  <c r="I1111" i="1"/>
  <c r="G1111" i="1"/>
  <c r="I1110" i="1"/>
  <c r="G1110" i="1"/>
  <c r="I1109" i="1"/>
  <c r="G1109" i="1"/>
  <c r="I1108" i="1"/>
  <c r="G1108" i="1"/>
  <c r="I1107" i="1"/>
  <c r="G1107" i="1"/>
  <c r="I1106" i="1"/>
  <c r="G1106" i="1"/>
  <c r="I1105" i="1"/>
  <c r="G1105" i="1"/>
  <c r="I1104" i="1"/>
  <c r="G1104" i="1"/>
  <c r="I1103" i="1"/>
  <c r="G1103" i="1"/>
  <c r="I1102" i="1"/>
  <c r="G1102" i="1"/>
  <c r="I1101" i="1"/>
  <c r="G1101" i="1"/>
  <c r="I1100" i="1"/>
  <c r="G1100" i="1"/>
  <c r="I1099" i="1"/>
  <c r="G1099" i="1"/>
  <c r="I1098" i="1"/>
  <c r="G1098" i="1"/>
  <c r="I1097" i="1"/>
  <c r="G1097" i="1"/>
  <c r="I1096" i="1"/>
  <c r="G1096" i="1"/>
  <c r="I1095" i="1"/>
  <c r="G1095" i="1"/>
  <c r="I1094" i="1"/>
  <c r="G1094" i="1"/>
  <c r="I1093" i="1"/>
  <c r="G1093" i="1"/>
  <c r="I1092" i="1"/>
  <c r="G1092" i="1"/>
  <c r="I1091" i="1"/>
  <c r="G1091" i="1"/>
  <c r="I1090" i="1"/>
  <c r="G1090" i="1"/>
  <c r="I1089" i="1"/>
  <c r="G1089" i="1"/>
  <c r="I1088" i="1"/>
  <c r="G1088" i="1"/>
  <c r="I1087" i="1"/>
  <c r="G1087" i="1"/>
  <c r="I1086" i="1"/>
  <c r="G1086" i="1"/>
  <c r="I1085" i="1"/>
  <c r="G1085" i="1"/>
  <c r="I1084" i="1"/>
  <c r="G1084" i="1"/>
  <c r="I1083" i="1"/>
  <c r="G1083" i="1"/>
  <c r="I1082" i="1"/>
  <c r="G1082" i="1"/>
  <c r="I1081" i="1"/>
  <c r="G1081" i="1"/>
  <c r="I1080" i="1"/>
  <c r="G1080" i="1"/>
  <c r="I1079" i="1"/>
  <c r="G1079" i="1"/>
  <c r="I1078" i="1"/>
  <c r="G1078" i="1"/>
  <c r="I1077" i="1"/>
  <c r="G1077" i="1"/>
  <c r="I1076" i="1"/>
  <c r="G1076" i="1"/>
  <c r="I1075" i="1"/>
  <c r="G1075" i="1"/>
  <c r="I1074" i="1"/>
  <c r="G1074" i="1"/>
  <c r="I1073" i="1"/>
  <c r="G1073" i="1"/>
  <c r="I1072" i="1"/>
  <c r="G1072" i="1"/>
  <c r="I1071" i="1"/>
  <c r="G1071" i="1"/>
  <c r="I1070" i="1"/>
  <c r="G1070" i="1"/>
  <c r="I1069" i="1"/>
  <c r="G1069" i="1"/>
  <c r="I1068" i="1"/>
  <c r="G1068" i="1"/>
  <c r="I1067" i="1"/>
  <c r="G1067" i="1"/>
  <c r="I1066" i="1"/>
  <c r="G1066" i="1"/>
  <c r="I1065" i="1"/>
  <c r="G1065" i="1"/>
  <c r="I1064" i="1"/>
  <c r="G1064" i="1"/>
  <c r="I1063" i="1"/>
  <c r="G1063" i="1"/>
  <c r="I1062" i="1"/>
  <c r="G1062" i="1"/>
  <c r="I1061" i="1"/>
  <c r="G1061" i="1"/>
  <c r="I1060" i="1"/>
  <c r="G1060" i="1"/>
  <c r="I1059" i="1"/>
  <c r="G1059" i="1"/>
  <c r="I1058" i="1"/>
  <c r="G1058" i="1"/>
  <c r="I1057" i="1"/>
  <c r="G1057" i="1"/>
  <c r="I1056" i="1"/>
  <c r="G1056" i="1"/>
  <c r="I1055" i="1"/>
  <c r="G1055" i="1"/>
  <c r="I1054" i="1"/>
  <c r="G1054" i="1"/>
  <c r="I1053" i="1"/>
  <c r="G1053" i="1"/>
  <c r="I1052" i="1"/>
  <c r="G1052" i="1"/>
  <c r="I1051" i="1"/>
  <c r="G1051" i="1"/>
  <c r="I1050" i="1"/>
  <c r="G1050" i="1"/>
  <c r="I1049" i="1"/>
  <c r="G1049" i="1"/>
  <c r="I1048" i="1"/>
  <c r="G1048" i="1"/>
  <c r="I1047" i="1"/>
  <c r="G1047" i="1"/>
  <c r="I1046" i="1"/>
  <c r="G1046" i="1"/>
  <c r="I1045" i="1"/>
  <c r="G1045" i="1"/>
  <c r="I1044" i="1"/>
  <c r="G1044" i="1"/>
  <c r="I1043" i="1"/>
  <c r="G1043" i="1"/>
  <c r="I1042" i="1"/>
  <c r="G1042" i="1"/>
  <c r="I1041" i="1"/>
  <c r="G1041" i="1"/>
  <c r="I1040" i="1"/>
  <c r="G1040" i="1"/>
  <c r="I1039" i="1"/>
  <c r="G1039" i="1"/>
  <c r="I1038" i="1"/>
  <c r="G1038" i="1"/>
  <c r="I1037" i="1"/>
  <c r="G1037" i="1"/>
  <c r="I1036" i="1"/>
  <c r="G1036" i="1"/>
  <c r="I1035" i="1"/>
  <c r="G1035" i="1"/>
  <c r="I1034" i="1"/>
  <c r="G1034" i="1"/>
  <c r="I1033" i="1"/>
  <c r="G1033" i="1"/>
  <c r="I1032" i="1"/>
  <c r="G1032" i="1"/>
  <c r="I1031" i="1"/>
  <c r="G1031" i="1"/>
  <c r="I1030" i="1"/>
  <c r="G1030" i="1"/>
  <c r="I1029" i="1"/>
  <c r="G1029" i="1"/>
  <c r="I1028" i="1"/>
  <c r="G1028" i="1"/>
  <c r="I1027" i="1"/>
  <c r="G1027" i="1"/>
  <c r="I1026" i="1"/>
  <c r="G1026" i="1"/>
  <c r="I1025" i="1"/>
  <c r="G1025" i="1"/>
  <c r="I1024" i="1"/>
  <c r="G1024" i="1"/>
  <c r="I1023" i="1"/>
  <c r="G1023" i="1"/>
  <c r="I1022" i="1"/>
  <c r="G1022" i="1"/>
  <c r="I1021" i="1"/>
  <c r="G1021" i="1"/>
  <c r="I1020" i="1"/>
  <c r="G1020" i="1"/>
  <c r="I1019" i="1"/>
  <c r="G1019" i="1"/>
  <c r="I1018" i="1"/>
  <c r="G1018" i="1"/>
  <c r="I1017" i="1"/>
  <c r="G1017" i="1"/>
  <c r="I1016" i="1"/>
  <c r="G1016" i="1"/>
  <c r="I1015" i="1"/>
  <c r="G1015" i="1"/>
  <c r="I1014" i="1"/>
  <c r="G1014" i="1"/>
  <c r="I1013" i="1"/>
  <c r="G1013" i="1"/>
  <c r="I1012" i="1"/>
  <c r="G1012" i="1"/>
  <c r="I1011" i="1"/>
  <c r="G1011" i="1"/>
  <c r="I1010" i="1"/>
  <c r="G1010" i="1"/>
  <c r="I1009" i="1"/>
  <c r="G1009" i="1"/>
  <c r="I1008" i="1"/>
  <c r="G1008" i="1"/>
  <c r="I1007" i="1"/>
  <c r="G1007" i="1"/>
  <c r="I1006" i="1"/>
  <c r="G1006" i="1"/>
  <c r="I1005" i="1"/>
  <c r="G1005" i="1"/>
  <c r="I1004" i="1"/>
  <c r="G1004" i="1"/>
  <c r="I1003" i="1"/>
  <c r="G1003" i="1"/>
  <c r="I1002" i="1"/>
  <c r="G1002" i="1"/>
  <c r="I1001" i="1"/>
  <c r="G1001" i="1"/>
  <c r="I1000" i="1"/>
  <c r="G1000" i="1"/>
  <c r="I999" i="1"/>
  <c r="G999" i="1"/>
  <c r="I998" i="1"/>
  <c r="G998" i="1"/>
  <c r="I997" i="1"/>
  <c r="G997" i="1"/>
  <c r="I996" i="1"/>
  <c r="G996" i="1"/>
  <c r="I995" i="1"/>
  <c r="G995" i="1"/>
  <c r="I994" i="1"/>
  <c r="G994" i="1"/>
  <c r="I993" i="1"/>
  <c r="G993" i="1"/>
  <c r="I992" i="1"/>
  <c r="G992" i="1"/>
  <c r="I991" i="1"/>
  <c r="G991" i="1"/>
  <c r="I990" i="1"/>
  <c r="G990" i="1"/>
  <c r="I989" i="1"/>
  <c r="G989" i="1"/>
  <c r="I988" i="1"/>
  <c r="G988" i="1"/>
  <c r="I987" i="1"/>
  <c r="G987" i="1"/>
  <c r="I986" i="1"/>
  <c r="G986" i="1"/>
  <c r="I985" i="1"/>
  <c r="G985" i="1"/>
  <c r="I984" i="1"/>
  <c r="G984" i="1"/>
  <c r="I983" i="1"/>
  <c r="G983" i="1"/>
  <c r="I982" i="1"/>
  <c r="G982" i="1"/>
  <c r="I981" i="1"/>
  <c r="G981" i="1"/>
  <c r="I980" i="1"/>
  <c r="G980" i="1"/>
  <c r="I979" i="1"/>
  <c r="G979" i="1"/>
  <c r="I978" i="1"/>
  <c r="G978" i="1"/>
  <c r="I977" i="1"/>
  <c r="G977" i="1"/>
  <c r="I976" i="1"/>
  <c r="G976" i="1"/>
  <c r="I975" i="1"/>
  <c r="G975" i="1"/>
  <c r="I974" i="1"/>
  <c r="G974" i="1"/>
  <c r="I973" i="1"/>
  <c r="G973" i="1"/>
  <c r="I972" i="1"/>
  <c r="G972" i="1"/>
  <c r="I971" i="1"/>
  <c r="G971" i="1"/>
  <c r="I970" i="1"/>
  <c r="G970" i="1"/>
  <c r="I969" i="1"/>
  <c r="G969" i="1"/>
  <c r="I968" i="1"/>
  <c r="G968" i="1"/>
  <c r="I967" i="1"/>
  <c r="G967" i="1"/>
  <c r="I966" i="1"/>
  <c r="G966" i="1"/>
  <c r="I965" i="1"/>
  <c r="G965" i="1"/>
  <c r="I964" i="1"/>
  <c r="G964" i="1"/>
  <c r="I963" i="1"/>
  <c r="G963" i="1"/>
  <c r="I962" i="1"/>
  <c r="G962" i="1"/>
  <c r="I961" i="1"/>
  <c r="G961" i="1"/>
  <c r="I960" i="1"/>
  <c r="G960" i="1"/>
  <c r="I959" i="1"/>
  <c r="G959" i="1"/>
  <c r="I958" i="1"/>
  <c r="G958" i="1"/>
  <c r="I957" i="1"/>
  <c r="G957" i="1"/>
  <c r="I956" i="1"/>
  <c r="G956" i="1"/>
  <c r="I955" i="1"/>
  <c r="G955" i="1"/>
  <c r="I954" i="1"/>
  <c r="G954" i="1"/>
  <c r="I953" i="1"/>
  <c r="G953" i="1"/>
  <c r="I952" i="1"/>
  <c r="G952" i="1"/>
  <c r="I951" i="1"/>
  <c r="G951" i="1"/>
  <c r="I950" i="1"/>
  <c r="G950" i="1"/>
  <c r="I949" i="1"/>
  <c r="G949" i="1"/>
  <c r="I948" i="1"/>
  <c r="G948" i="1"/>
  <c r="I947" i="1"/>
  <c r="G947" i="1"/>
  <c r="I946" i="1"/>
  <c r="G946" i="1"/>
  <c r="I945" i="1"/>
  <c r="G945" i="1"/>
  <c r="I944" i="1"/>
  <c r="G944" i="1"/>
  <c r="I943" i="1"/>
  <c r="G943" i="1"/>
  <c r="I942" i="1"/>
  <c r="G942" i="1"/>
  <c r="I941" i="1"/>
  <c r="G941" i="1"/>
  <c r="I940" i="1"/>
  <c r="G940" i="1"/>
  <c r="I939" i="1"/>
  <c r="G939" i="1"/>
  <c r="I938" i="1"/>
  <c r="G938" i="1"/>
  <c r="I937" i="1"/>
  <c r="G937" i="1"/>
  <c r="I936" i="1"/>
  <c r="G936" i="1"/>
  <c r="I935" i="1"/>
  <c r="G935" i="1"/>
  <c r="I934" i="1"/>
  <c r="G934" i="1"/>
  <c r="I933" i="1"/>
  <c r="G933" i="1"/>
  <c r="I932" i="1"/>
  <c r="G932" i="1"/>
  <c r="I931" i="1"/>
  <c r="G931" i="1"/>
  <c r="I930" i="1"/>
  <c r="G930" i="1"/>
  <c r="I929" i="1"/>
  <c r="G929" i="1"/>
  <c r="I928" i="1"/>
  <c r="G928" i="1"/>
  <c r="I927" i="1"/>
  <c r="G927" i="1"/>
  <c r="I926" i="1"/>
  <c r="G926" i="1"/>
  <c r="I925" i="1"/>
  <c r="G925" i="1"/>
  <c r="I924" i="1"/>
  <c r="G924" i="1"/>
  <c r="I923" i="1"/>
  <c r="G923" i="1"/>
  <c r="I922" i="1"/>
  <c r="G922" i="1"/>
  <c r="I921" i="1"/>
  <c r="G921" i="1"/>
  <c r="I920" i="1"/>
  <c r="G920" i="1"/>
  <c r="I919" i="1"/>
  <c r="G919" i="1"/>
  <c r="I918" i="1"/>
  <c r="G918" i="1"/>
  <c r="I917" i="1"/>
  <c r="G917" i="1"/>
  <c r="I916" i="1"/>
  <c r="G916" i="1"/>
  <c r="I915" i="1"/>
  <c r="G915" i="1"/>
  <c r="I914" i="1"/>
  <c r="G914" i="1"/>
  <c r="I913" i="1"/>
  <c r="G913" i="1"/>
  <c r="I912" i="1"/>
  <c r="G912" i="1"/>
  <c r="I911" i="1"/>
  <c r="G911" i="1"/>
  <c r="I910" i="1"/>
  <c r="G910" i="1"/>
  <c r="I909" i="1"/>
  <c r="G909" i="1"/>
  <c r="I908" i="1"/>
  <c r="G908" i="1"/>
  <c r="I907" i="1"/>
  <c r="G907" i="1"/>
  <c r="I906" i="1"/>
  <c r="G906" i="1"/>
  <c r="I905" i="1"/>
  <c r="G905" i="1"/>
  <c r="I904" i="1"/>
  <c r="G904" i="1"/>
  <c r="I903" i="1"/>
  <c r="G903" i="1"/>
  <c r="I902" i="1"/>
  <c r="G902" i="1"/>
  <c r="I901" i="1"/>
  <c r="G901" i="1"/>
  <c r="I900" i="1"/>
  <c r="G900" i="1"/>
  <c r="I899" i="1"/>
  <c r="G899" i="1"/>
  <c r="I898" i="1"/>
  <c r="G898" i="1"/>
  <c r="I897" i="1"/>
  <c r="G897" i="1"/>
  <c r="I896" i="1"/>
  <c r="G896" i="1"/>
  <c r="I895" i="1"/>
  <c r="G895" i="1"/>
  <c r="I894" i="1"/>
  <c r="G894" i="1"/>
  <c r="I893" i="1"/>
  <c r="G893" i="1"/>
  <c r="I892" i="1"/>
  <c r="G892" i="1"/>
  <c r="I891" i="1"/>
  <c r="G891" i="1"/>
  <c r="I890" i="1"/>
  <c r="G890" i="1"/>
  <c r="I889" i="1"/>
  <c r="G889" i="1"/>
  <c r="I888" i="1"/>
  <c r="G888" i="1"/>
  <c r="I887" i="1"/>
  <c r="G887" i="1"/>
  <c r="I886" i="1"/>
  <c r="G886" i="1"/>
  <c r="I885" i="1"/>
  <c r="G885" i="1"/>
  <c r="I884" i="1"/>
  <c r="G884" i="1"/>
  <c r="I883" i="1"/>
  <c r="G883" i="1"/>
  <c r="I882" i="1"/>
  <c r="G882" i="1"/>
  <c r="I881" i="1"/>
  <c r="G881" i="1"/>
  <c r="I880" i="1"/>
  <c r="G880" i="1"/>
  <c r="I879" i="1"/>
  <c r="G879" i="1"/>
  <c r="I878" i="1"/>
  <c r="G878" i="1"/>
  <c r="I877" i="1"/>
  <c r="G877" i="1"/>
  <c r="I876" i="1"/>
  <c r="G876" i="1"/>
  <c r="I875" i="1"/>
  <c r="G875" i="1"/>
  <c r="I874" i="1"/>
  <c r="G874" i="1"/>
  <c r="I873" i="1"/>
  <c r="G873" i="1"/>
  <c r="I872" i="1"/>
  <c r="G872" i="1"/>
  <c r="I871" i="1"/>
  <c r="G871" i="1"/>
  <c r="I870" i="1"/>
  <c r="G870" i="1"/>
  <c r="I869" i="1"/>
  <c r="G869" i="1"/>
  <c r="I868" i="1"/>
  <c r="G868" i="1"/>
  <c r="I867" i="1"/>
  <c r="G867" i="1"/>
  <c r="I866" i="1"/>
  <c r="G866" i="1"/>
  <c r="I865" i="1"/>
  <c r="G865" i="1"/>
  <c r="I864" i="1"/>
  <c r="G864" i="1"/>
  <c r="I863" i="1"/>
  <c r="G863" i="1"/>
  <c r="I862" i="1"/>
  <c r="G862" i="1"/>
  <c r="I861" i="1"/>
  <c r="G861" i="1"/>
  <c r="I860" i="1"/>
  <c r="G860" i="1"/>
  <c r="I859" i="1"/>
  <c r="G859" i="1"/>
  <c r="I858" i="1"/>
  <c r="G858" i="1"/>
  <c r="I857" i="1"/>
  <c r="G857" i="1"/>
  <c r="I856" i="1"/>
  <c r="G856" i="1"/>
  <c r="I855" i="1"/>
  <c r="G855" i="1"/>
  <c r="I854" i="1"/>
  <c r="G854" i="1"/>
  <c r="I853" i="1"/>
  <c r="G853" i="1"/>
  <c r="I852" i="1"/>
  <c r="G852" i="1"/>
  <c r="I851" i="1"/>
  <c r="G851" i="1"/>
  <c r="I850" i="1"/>
  <c r="G850" i="1"/>
  <c r="I849" i="1"/>
  <c r="G849" i="1"/>
  <c r="I848" i="1"/>
  <c r="G848" i="1"/>
  <c r="I847" i="1"/>
  <c r="G847" i="1"/>
  <c r="I846" i="1"/>
  <c r="G846" i="1"/>
  <c r="I845" i="1"/>
  <c r="G845" i="1"/>
  <c r="I844" i="1"/>
  <c r="G844" i="1"/>
  <c r="I843" i="1"/>
  <c r="G843" i="1"/>
  <c r="I842" i="1"/>
  <c r="G842" i="1"/>
  <c r="I841" i="1"/>
  <c r="G841" i="1"/>
  <c r="I840" i="1"/>
  <c r="G840" i="1"/>
  <c r="I839" i="1"/>
  <c r="G839" i="1"/>
  <c r="I838" i="1"/>
  <c r="G838" i="1"/>
  <c r="I837" i="1"/>
  <c r="G837" i="1"/>
  <c r="I836" i="1"/>
  <c r="G836" i="1"/>
  <c r="I835" i="1"/>
  <c r="G835" i="1"/>
  <c r="I834" i="1"/>
  <c r="G834" i="1"/>
  <c r="I833" i="1"/>
  <c r="G833" i="1"/>
  <c r="I832" i="1"/>
  <c r="G832" i="1"/>
  <c r="I831" i="1"/>
  <c r="G831" i="1"/>
  <c r="I830" i="1"/>
  <c r="G830" i="1"/>
  <c r="I829" i="1"/>
  <c r="G829" i="1"/>
  <c r="I828" i="1"/>
  <c r="G828" i="1"/>
  <c r="I827" i="1"/>
  <c r="G827" i="1"/>
  <c r="I826" i="1"/>
  <c r="G826" i="1"/>
  <c r="I825" i="1"/>
  <c r="G825" i="1"/>
  <c r="I824" i="1"/>
  <c r="G824" i="1"/>
  <c r="I823" i="1"/>
  <c r="G823" i="1"/>
  <c r="I822" i="1"/>
  <c r="G822" i="1"/>
  <c r="I821" i="1"/>
  <c r="G821" i="1"/>
  <c r="I820" i="1"/>
  <c r="G820" i="1"/>
  <c r="I819" i="1"/>
  <c r="G819" i="1"/>
  <c r="I818" i="1"/>
  <c r="G818" i="1"/>
  <c r="I817" i="1"/>
  <c r="G817" i="1"/>
  <c r="I816" i="1"/>
  <c r="G816" i="1"/>
  <c r="I815" i="1"/>
  <c r="G815" i="1"/>
  <c r="I814" i="1"/>
  <c r="G814" i="1"/>
  <c r="I813" i="1"/>
  <c r="G813" i="1"/>
  <c r="I812" i="1"/>
  <c r="G812" i="1"/>
  <c r="I811" i="1"/>
  <c r="G811" i="1"/>
  <c r="I810" i="1"/>
  <c r="G810" i="1"/>
  <c r="I809" i="1"/>
  <c r="G809" i="1"/>
  <c r="I808" i="1"/>
  <c r="G808" i="1"/>
  <c r="I807" i="1"/>
  <c r="G807" i="1"/>
  <c r="I806" i="1"/>
  <c r="G806" i="1"/>
  <c r="I805" i="1"/>
  <c r="G805" i="1"/>
  <c r="I804" i="1"/>
  <c r="G804" i="1"/>
  <c r="I803" i="1"/>
  <c r="G803" i="1"/>
  <c r="I802" i="1"/>
  <c r="G802" i="1"/>
  <c r="I801" i="1"/>
  <c r="G801" i="1"/>
  <c r="I800" i="1"/>
  <c r="G800" i="1"/>
  <c r="I799" i="1"/>
  <c r="G799" i="1"/>
  <c r="I798" i="1"/>
  <c r="G798" i="1"/>
  <c r="I797" i="1"/>
  <c r="G797" i="1"/>
  <c r="I796" i="1"/>
  <c r="G796" i="1"/>
  <c r="I795" i="1"/>
  <c r="G795" i="1"/>
  <c r="I794" i="1"/>
  <c r="G794" i="1"/>
  <c r="I793" i="1"/>
  <c r="G793" i="1"/>
  <c r="I792" i="1"/>
  <c r="G792" i="1"/>
  <c r="I791" i="1"/>
  <c r="G791" i="1"/>
  <c r="I790" i="1"/>
  <c r="G790" i="1"/>
  <c r="I789" i="1"/>
  <c r="G789" i="1"/>
  <c r="I788" i="1"/>
  <c r="G788" i="1"/>
  <c r="I787" i="1"/>
  <c r="G787" i="1"/>
  <c r="I786" i="1"/>
  <c r="G786" i="1"/>
  <c r="I785" i="1"/>
  <c r="G785" i="1"/>
  <c r="I784" i="1"/>
  <c r="G784" i="1"/>
  <c r="I783" i="1"/>
  <c r="G783" i="1"/>
  <c r="I782" i="1"/>
  <c r="G782" i="1"/>
  <c r="I781" i="1"/>
  <c r="G781" i="1"/>
  <c r="I780" i="1"/>
  <c r="G780" i="1"/>
  <c r="I779" i="1"/>
  <c r="G779" i="1"/>
  <c r="I778" i="1"/>
  <c r="G778" i="1"/>
  <c r="I777" i="1"/>
  <c r="G777" i="1"/>
  <c r="I776" i="1"/>
  <c r="G776" i="1"/>
  <c r="I775" i="1"/>
  <c r="G775" i="1"/>
  <c r="I774" i="1"/>
  <c r="G774" i="1"/>
  <c r="I773" i="1"/>
  <c r="G773" i="1"/>
  <c r="I772" i="1"/>
  <c r="G772" i="1"/>
  <c r="I771" i="1"/>
  <c r="G771" i="1"/>
  <c r="I770" i="1"/>
  <c r="G770" i="1"/>
  <c r="I769" i="1"/>
  <c r="G769" i="1"/>
  <c r="I768" i="1"/>
  <c r="G768" i="1"/>
  <c r="I767" i="1"/>
  <c r="G767" i="1"/>
  <c r="I766" i="1"/>
  <c r="G766" i="1"/>
  <c r="I765" i="1"/>
  <c r="G765" i="1"/>
  <c r="I764" i="1"/>
  <c r="G764" i="1"/>
  <c r="I763" i="1"/>
  <c r="G763" i="1"/>
  <c r="I762" i="1"/>
  <c r="G762" i="1"/>
  <c r="I761" i="1"/>
  <c r="G761" i="1"/>
  <c r="I760" i="1"/>
  <c r="G760" i="1"/>
  <c r="I759" i="1"/>
  <c r="G759" i="1"/>
  <c r="I758" i="1"/>
  <c r="G758" i="1"/>
  <c r="I757" i="1"/>
  <c r="G757" i="1"/>
  <c r="I756" i="1"/>
  <c r="G756" i="1"/>
  <c r="I755" i="1"/>
  <c r="G755" i="1"/>
  <c r="I754" i="1"/>
  <c r="G754" i="1"/>
  <c r="I753" i="1"/>
  <c r="G753" i="1"/>
  <c r="I752" i="1"/>
  <c r="G752" i="1"/>
  <c r="I751" i="1"/>
  <c r="G751" i="1"/>
  <c r="I750" i="1"/>
  <c r="G750" i="1"/>
  <c r="I749" i="1"/>
  <c r="G749" i="1"/>
  <c r="I748" i="1"/>
  <c r="G748" i="1"/>
  <c r="I747" i="1"/>
  <c r="G747" i="1"/>
  <c r="I746" i="1"/>
  <c r="G746" i="1"/>
  <c r="I745" i="1"/>
  <c r="G745" i="1"/>
  <c r="I744" i="1"/>
  <c r="G744" i="1"/>
  <c r="I743" i="1"/>
  <c r="G743" i="1"/>
  <c r="I742" i="1"/>
  <c r="G742" i="1"/>
  <c r="I741" i="1"/>
  <c r="G741" i="1"/>
  <c r="I740" i="1"/>
  <c r="G740" i="1"/>
  <c r="I739" i="1"/>
  <c r="G739" i="1"/>
  <c r="I738" i="1"/>
  <c r="G738" i="1"/>
  <c r="I737" i="1"/>
  <c r="G737" i="1"/>
  <c r="I736" i="1"/>
  <c r="G736" i="1"/>
  <c r="I735" i="1"/>
  <c r="G735" i="1"/>
  <c r="I734" i="1"/>
  <c r="G734" i="1"/>
  <c r="I733" i="1"/>
  <c r="G733" i="1"/>
  <c r="I732" i="1"/>
  <c r="G732" i="1"/>
  <c r="I731" i="1"/>
  <c r="G731" i="1"/>
  <c r="I730" i="1"/>
  <c r="G730" i="1"/>
  <c r="I729" i="1"/>
  <c r="G729" i="1"/>
  <c r="I728" i="1"/>
  <c r="G728" i="1"/>
  <c r="I727" i="1"/>
  <c r="G727" i="1"/>
  <c r="I726" i="1"/>
  <c r="G726" i="1"/>
  <c r="I725" i="1"/>
  <c r="G725" i="1"/>
  <c r="I724" i="1"/>
  <c r="G724" i="1"/>
  <c r="I723" i="1"/>
  <c r="G723" i="1"/>
  <c r="I722" i="1"/>
  <c r="G722" i="1"/>
  <c r="I721" i="1"/>
  <c r="G721" i="1"/>
  <c r="I720" i="1"/>
  <c r="G720" i="1"/>
  <c r="I719" i="1"/>
  <c r="G719" i="1"/>
  <c r="I718" i="1"/>
  <c r="G718" i="1"/>
  <c r="I717" i="1"/>
  <c r="G717" i="1"/>
  <c r="I716" i="1"/>
  <c r="G716" i="1"/>
  <c r="I715" i="1"/>
  <c r="G715" i="1"/>
  <c r="I714" i="1"/>
  <c r="G714" i="1"/>
  <c r="I713" i="1"/>
  <c r="G713" i="1"/>
  <c r="I712" i="1"/>
  <c r="G712" i="1"/>
  <c r="I711" i="1"/>
  <c r="G711" i="1"/>
  <c r="I710" i="1"/>
  <c r="G710" i="1"/>
  <c r="I709" i="1"/>
  <c r="G709" i="1"/>
  <c r="I708" i="1"/>
  <c r="G708" i="1"/>
  <c r="I707" i="1"/>
  <c r="G707" i="1"/>
  <c r="I706" i="1"/>
  <c r="G706" i="1"/>
  <c r="I705" i="1"/>
  <c r="G705" i="1"/>
  <c r="I704" i="1"/>
  <c r="G704" i="1"/>
  <c r="I703" i="1"/>
  <c r="G703" i="1"/>
  <c r="I702" i="1"/>
  <c r="G702" i="1"/>
  <c r="I701" i="1"/>
  <c r="G701" i="1"/>
  <c r="I700" i="1"/>
  <c r="G700" i="1"/>
  <c r="I699" i="1"/>
  <c r="G699" i="1"/>
  <c r="I698" i="1"/>
  <c r="G698" i="1"/>
  <c r="I697" i="1"/>
  <c r="G697" i="1"/>
  <c r="I696" i="1"/>
  <c r="G696" i="1"/>
  <c r="I695" i="1"/>
  <c r="G695" i="1"/>
  <c r="I694" i="1"/>
  <c r="G694" i="1"/>
  <c r="I693" i="1"/>
  <c r="G693" i="1"/>
  <c r="I692" i="1"/>
  <c r="G692" i="1"/>
  <c r="I691" i="1"/>
  <c r="G691" i="1"/>
  <c r="I690" i="1"/>
  <c r="G690" i="1"/>
  <c r="I689" i="1"/>
  <c r="G689" i="1"/>
  <c r="I688" i="1"/>
  <c r="G688" i="1"/>
  <c r="I687" i="1"/>
  <c r="G687" i="1"/>
  <c r="I686" i="1"/>
  <c r="G686" i="1"/>
  <c r="I685" i="1"/>
  <c r="G685" i="1"/>
  <c r="I684" i="1"/>
  <c r="G684" i="1"/>
  <c r="I683" i="1"/>
  <c r="G683" i="1"/>
  <c r="I682" i="1"/>
  <c r="G682" i="1"/>
  <c r="I681" i="1"/>
  <c r="G681" i="1"/>
  <c r="I680" i="1"/>
  <c r="G680" i="1"/>
  <c r="I679" i="1"/>
  <c r="G679" i="1"/>
  <c r="I678" i="1"/>
  <c r="G678" i="1"/>
  <c r="I677" i="1"/>
  <c r="G677" i="1"/>
  <c r="I676" i="1"/>
  <c r="G676" i="1"/>
  <c r="I675" i="1"/>
  <c r="G675" i="1"/>
  <c r="I674" i="1"/>
  <c r="G674" i="1"/>
  <c r="I673" i="1"/>
  <c r="G673" i="1"/>
  <c r="I672" i="1"/>
  <c r="G672" i="1"/>
  <c r="I671" i="1"/>
  <c r="G671" i="1"/>
  <c r="I670" i="1"/>
  <c r="G670" i="1"/>
  <c r="I669" i="1"/>
  <c r="G669" i="1"/>
  <c r="I668" i="1"/>
  <c r="G668" i="1"/>
  <c r="I667" i="1"/>
  <c r="G667" i="1"/>
  <c r="I666" i="1"/>
  <c r="G666" i="1"/>
  <c r="I665" i="1"/>
  <c r="G665" i="1"/>
  <c r="I664" i="1"/>
  <c r="G664" i="1"/>
  <c r="I663" i="1"/>
  <c r="G663" i="1"/>
  <c r="I662" i="1"/>
  <c r="G662" i="1"/>
  <c r="I661" i="1"/>
  <c r="G661" i="1"/>
  <c r="I660" i="1"/>
  <c r="G660" i="1"/>
  <c r="I659" i="1"/>
  <c r="G659" i="1"/>
  <c r="I658" i="1"/>
  <c r="G658" i="1"/>
  <c r="I657" i="1"/>
  <c r="G657" i="1"/>
  <c r="I656" i="1"/>
  <c r="G656" i="1"/>
  <c r="I655" i="1"/>
  <c r="G655" i="1"/>
  <c r="I654" i="1"/>
  <c r="G654" i="1"/>
  <c r="I653" i="1"/>
  <c r="G653" i="1"/>
  <c r="I652" i="1"/>
  <c r="G652" i="1"/>
  <c r="I651" i="1"/>
  <c r="G651" i="1"/>
  <c r="I650" i="1"/>
  <c r="G650" i="1"/>
  <c r="I649" i="1"/>
  <c r="G649" i="1"/>
  <c r="I648" i="1"/>
  <c r="G648" i="1"/>
  <c r="I647" i="1"/>
  <c r="G647" i="1"/>
  <c r="I646" i="1"/>
  <c r="G646" i="1"/>
  <c r="I645" i="1"/>
  <c r="G645" i="1"/>
  <c r="I644" i="1"/>
  <c r="G644" i="1"/>
  <c r="I643" i="1"/>
  <c r="G643" i="1"/>
  <c r="I642" i="1"/>
  <c r="G642" i="1"/>
  <c r="I641" i="1"/>
  <c r="G641" i="1"/>
  <c r="I640" i="1"/>
  <c r="G640" i="1"/>
  <c r="I639" i="1"/>
  <c r="G639" i="1"/>
  <c r="I638" i="1"/>
  <c r="G638" i="1"/>
  <c r="I637" i="1"/>
  <c r="G637" i="1"/>
  <c r="I636" i="1"/>
  <c r="G636" i="1"/>
  <c r="I635" i="1"/>
  <c r="G635" i="1"/>
  <c r="I634" i="1"/>
  <c r="G634" i="1"/>
  <c r="I633" i="1"/>
  <c r="G633" i="1"/>
  <c r="I632" i="1"/>
  <c r="G632" i="1"/>
  <c r="I631" i="1"/>
  <c r="G631" i="1"/>
  <c r="I630" i="1"/>
  <c r="G630" i="1"/>
  <c r="I629" i="1"/>
  <c r="G629" i="1"/>
  <c r="I628" i="1"/>
  <c r="G628" i="1"/>
  <c r="I627" i="1"/>
  <c r="G627" i="1"/>
  <c r="I626" i="1"/>
  <c r="G626" i="1"/>
  <c r="I625" i="1"/>
  <c r="G625" i="1"/>
  <c r="I624" i="1"/>
  <c r="G624" i="1"/>
  <c r="I623" i="1"/>
  <c r="G623" i="1"/>
  <c r="I622" i="1"/>
  <c r="G622" i="1"/>
  <c r="I621" i="1"/>
  <c r="G621" i="1"/>
  <c r="I620" i="1"/>
  <c r="G620" i="1"/>
  <c r="I619" i="1"/>
  <c r="G619" i="1"/>
  <c r="I618" i="1"/>
  <c r="G618" i="1"/>
  <c r="I617" i="1"/>
  <c r="G617" i="1"/>
  <c r="I616" i="1"/>
  <c r="G616" i="1"/>
  <c r="I615" i="1"/>
  <c r="G615" i="1"/>
  <c r="I614" i="1"/>
  <c r="G614" i="1"/>
  <c r="I613" i="1"/>
  <c r="G613" i="1"/>
  <c r="I612" i="1"/>
  <c r="G612" i="1"/>
  <c r="I611" i="1"/>
  <c r="G611" i="1"/>
  <c r="I610" i="1"/>
  <c r="G610" i="1"/>
  <c r="I609" i="1"/>
  <c r="G609" i="1"/>
  <c r="I608" i="1"/>
  <c r="G608" i="1"/>
  <c r="I607" i="1"/>
  <c r="G607" i="1"/>
  <c r="I606" i="1"/>
  <c r="G606" i="1"/>
  <c r="I605" i="1"/>
  <c r="G605" i="1"/>
  <c r="I604" i="1"/>
  <c r="G604" i="1"/>
  <c r="I603" i="1"/>
  <c r="G603" i="1"/>
  <c r="I602" i="1"/>
  <c r="G602" i="1"/>
  <c r="I601" i="1"/>
  <c r="G601" i="1"/>
  <c r="I600" i="1"/>
  <c r="G600" i="1"/>
  <c r="I599" i="1"/>
  <c r="G599" i="1"/>
  <c r="I598" i="1"/>
  <c r="G598" i="1"/>
  <c r="I597" i="1"/>
  <c r="G597" i="1"/>
  <c r="I596" i="1"/>
  <c r="G596" i="1"/>
  <c r="I595" i="1"/>
  <c r="G595" i="1"/>
  <c r="I594" i="1"/>
  <c r="G594" i="1"/>
  <c r="I593" i="1"/>
  <c r="G593" i="1"/>
  <c r="I592" i="1"/>
  <c r="G592" i="1"/>
  <c r="I591" i="1"/>
  <c r="G591" i="1"/>
  <c r="I590" i="1"/>
  <c r="G590" i="1"/>
  <c r="I589" i="1"/>
  <c r="G589" i="1"/>
  <c r="I588" i="1"/>
  <c r="G588" i="1"/>
  <c r="I587" i="1"/>
  <c r="G587" i="1"/>
  <c r="I586" i="1"/>
  <c r="G586" i="1"/>
  <c r="I585" i="1"/>
  <c r="G585" i="1"/>
  <c r="I584" i="1"/>
  <c r="G584" i="1"/>
  <c r="I583" i="1"/>
  <c r="G583" i="1"/>
  <c r="I582" i="1"/>
  <c r="G582" i="1"/>
  <c r="I581" i="1"/>
  <c r="G581" i="1"/>
  <c r="I580" i="1"/>
  <c r="G580" i="1"/>
  <c r="I579" i="1"/>
  <c r="G579" i="1"/>
  <c r="I578" i="1"/>
  <c r="G578" i="1"/>
  <c r="I577" i="1"/>
  <c r="G577" i="1"/>
  <c r="I576" i="1"/>
  <c r="G576" i="1"/>
  <c r="I575" i="1"/>
  <c r="G575" i="1"/>
  <c r="I574" i="1"/>
  <c r="G574" i="1"/>
  <c r="I573" i="1"/>
  <c r="G573" i="1"/>
  <c r="I572" i="1"/>
  <c r="G572" i="1"/>
  <c r="I571" i="1"/>
  <c r="G571" i="1"/>
  <c r="I570" i="1"/>
  <c r="G570" i="1"/>
  <c r="I569" i="1"/>
  <c r="G569" i="1"/>
  <c r="I568" i="1"/>
  <c r="G568" i="1"/>
  <c r="I567" i="1"/>
  <c r="G567" i="1"/>
  <c r="I566" i="1"/>
  <c r="G566" i="1"/>
  <c r="I565" i="1"/>
  <c r="G565" i="1"/>
  <c r="I564" i="1"/>
  <c r="G564" i="1"/>
  <c r="I563" i="1"/>
  <c r="G563" i="1"/>
  <c r="I562" i="1"/>
  <c r="G562" i="1"/>
  <c r="I561" i="1"/>
  <c r="G561" i="1"/>
  <c r="I560" i="1"/>
  <c r="G560" i="1"/>
  <c r="I559" i="1"/>
  <c r="G559" i="1"/>
  <c r="I558" i="1"/>
  <c r="G558" i="1"/>
  <c r="I557" i="1"/>
  <c r="G557" i="1"/>
  <c r="I556" i="1"/>
  <c r="G556" i="1"/>
  <c r="I555" i="1"/>
  <c r="G555" i="1"/>
  <c r="I554" i="1"/>
  <c r="G554" i="1"/>
  <c r="I553" i="1"/>
  <c r="G553" i="1"/>
  <c r="I552" i="1"/>
  <c r="G552" i="1"/>
  <c r="I551" i="1"/>
  <c r="G551" i="1"/>
  <c r="I550" i="1"/>
  <c r="G550" i="1"/>
  <c r="I549" i="1"/>
  <c r="G549" i="1"/>
  <c r="I548" i="1"/>
  <c r="G548" i="1"/>
  <c r="I547" i="1"/>
  <c r="G547" i="1"/>
  <c r="I546" i="1"/>
  <c r="G546" i="1"/>
  <c r="I545" i="1"/>
  <c r="G545" i="1"/>
  <c r="I544" i="1"/>
  <c r="G544" i="1"/>
  <c r="I543" i="1"/>
  <c r="G543" i="1"/>
  <c r="I542" i="1"/>
  <c r="G542" i="1"/>
  <c r="I541" i="1"/>
  <c r="G541" i="1"/>
  <c r="I540" i="1"/>
  <c r="G540" i="1"/>
  <c r="I539" i="1"/>
  <c r="G539" i="1"/>
  <c r="I538" i="1"/>
  <c r="G538" i="1"/>
  <c r="I537" i="1"/>
  <c r="G537" i="1"/>
  <c r="I536" i="1"/>
  <c r="G536" i="1"/>
  <c r="I535" i="1"/>
  <c r="G535" i="1"/>
  <c r="I534" i="1"/>
  <c r="G534" i="1"/>
  <c r="I533" i="1"/>
  <c r="G533" i="1"/>
  <c r="I532" i="1"/>
  <c r="G532" i="1"/>
  <c r="I531" i="1"/>
  <c r="G531" i="1"/>
  <c r="I530" i="1"/>
  <c r="G530" i="1"/>
  <c r="I529" i="1"/>
  <c r="G529" i="1"/>
  <c r="I528" i="1"/>
  <c r="G528" i="1"/>
  <c r="I527" i="1"/>
  <c r="G527" i="1"/>
  <c r="I526" i="1"/>
  <c r="G526" i="1"/>
  <c r="I525" i="1"/>
  <c r="G525" i="1"/>
  <c r="I524" i="1"/>
  <c r="G524" i="1"/>
  <c r="I523" i="1"/>
  <c r="G523" i="1"/>
  <c r="I522" i="1"/>
  <c r="G522" i="1"/>
  <c r="I521" i="1"/>
  <c r="G521" i="1"/>
  <c r="I520" i="1"/>
  <c r="G520" i="1"/>
  <c r="I519" i="1"/>
  <c r="G519" i="1"/>
  <c r="I518" i="1"/>
  <c r="G518" i="1"/>
  <c r="I517" i="1"/>
  <c r="G517" i="1"/>
  <c r="I516" i="1"/>
  <c r="G516" i="1"/>
  <c r="I515" i="1"/>
  <c r="G515" i="1"/>
  <c r="I514" i="1"/>
  <c r="G514" i="1"/>
  <c r="I513" i="1"/>
  <c r="G513" i="1"/>
  <c r="I512" i="1"/>
  <c r="G512" i="1"/>
  <c r="I511" i="1"/>
  <c r="G511" i="1"/>
  <c r="I510" i="1"/>
  <c r="G510" i="1"/>
  <c r="I509" i="1"/>
  <c r="G509" i="1"/>
  <c r="I508" i="1"/>
  <c r="G508" i="1"/>
  <c r="I507" i="1"/>
  <c r="G507" i="1"/>
  <c r="I506" i="1"/>
  <c r="G506" i="1"/>
  <c r="I505" i="1"/>
  <c r="G505" i="1"/>
  <c r="I504" i="1"/>
  <c r="G504" i="1"/>
  <c r="I503" i="1"/>
  <c r="G503" i="1"/>
  <c r="I502" i="1"/>
  <c r="G502" i="1"/>
  <c r="I501" i="1"/>
  <c r="G501" i="1"/>
  <c r="I500" i="1"/>
  <c r="G500" i="1"/>
  <c r="I499" i="1"/>
  <c r="G499" i="1"/>
  <c r="I498" i="1"/>
  <c r="G498" i="1"/>
  <c r="I497" i="1"/>
  <c r="G497" i="1"/>
  <c r="I496" i="1"/>
  <c r="G496" i="1"/>
  <c r="I495" i="1"/>
  <c r="G495" i="1"/>
  <c r="I494" i="1"/>
  <c r="G494" i="1"/>
  <c r="I493" i="1"/>
  <c r="G493" i="1"/>
  <c r="I492" i="1"/>
  <c r="G492" i="1"/>
  <c r="I491" i="1"/>
  <c r="G491" i="1"/>
  <c r="I490" i="1"/>
  <c r="G490" i="1"/>
  <c r="I489" i="1"/>
  <c r="G489" i="1"/>
  <c r="I488" i="1"/>
  <c r="G488" i="1"/>
  <c r="I487" i="1"/>
  <c r="G487" i="1"/>
  <c r="I486" i="1"/>
  <c r="G486" i="1"/>
  <c r="I485" i="1"/>
  <c r="G485" i="1"/>
  <c r="I484" i="1"/>
  <c r="G484" i="1"/>
  <c r="I483" i="1"/>
  <c r="G483" i="1"/>
  <c r="I482" i="1"/>
  <c r="G482" i="1"/>
  <c r="I481" i="1"/>
  <c r="G481" i="1"/>
  <c r="I480" i="1"/>
  <c r="G480" i="1"/>
  <c r="I479" i="1"/>
  <c r="G479" i="1"/>
  <c r="I478" i="1"/>
  <c r="G478" i="1"/>
  <c r="I477" i="1"/>
  <c r="G477" i="1"/>
  <c r="I476" i="1"/>
  <c r="G476" i="1"/>
  <c r="I475" i="1"/>
  <c r="G475" i="1"/>
  <c r="I474" i="1"/>
  <c r="G474" i="1"/>
  <c r="I473" i="1"/>
  <c r="G473" i="1"/>
  <c r="I472" i="1"/>
  <c r="G472" i="1"/>
  <c r="I471" i="1"/>
  <c r="G471" i="1"/>
  <c r="I470" i="1"/>
  <c r="G470" i="1"/>
  <c r="I469" i="1"/>
  <c r="G469" i="1"/>
  <c r="I468" i="1"/>
  <c r="G468" i="1"/>
  <c r="I467" i="1"/>
  <c r="G467" i="1"/>
  <c r="I466" i="1"/>
  <c r="G466" i="1"/>
  <c r="I465" i="1"/>
  <c r="G465" i="1"/>
  <c r="I464" i="1"/>
  <c r="G464" i="1"/>
  <c r="I463" i="1"/>
  <c r="G463" i="1"/>
  <c r="I462" i="1"/>
  <c r="G462" i="1"/>
  <c r="I461" i="1"/>
  <c r="G461" i="1"/>
  <c r="I460" i="1"/>
  <c r="G460" i="1"/>
  <c r="I459" i="1"/>
  <c r="G459" i="1"/>
  <c r="I458" i="1"/>
  <c r="G458" i="1"/>
  <c r="I457" i="1"/>
  <c r="G457" i="1"/>
  <c r="I456" i="1"/>
  <c r="G456" i="1"/>
  <c r="I455" i="1"/>
  <c r="G455" i="1"/>
  <c r="I454" i="1"/>
  <c r="G454" i="1"/>
  <c r="I453" i="1"/>
  <c r="G453" i="1"/>
  <c r="I452" i="1"/>
  <c r="G452" i="1"/>
  <c r="I451" i="1"/>
  <c r="G451" i="1"/>
  <c r="I450" i="1"/>
  <c r="G450" i="1"/>
  <c r="I449" i="1"/>
  <c r="G449" i="1"/>
  <c r="I448" i="1"/>
  <c r="G448" i="1"/>
  <c r="I447" i="1"/>
  <c r="G447" i="1"/>
  <c r="I446" i="1"/>
  <c r="G446" i="1"/>
  <c r="I445" i="1"/>
  <c r="G445" i="1"/>
  <c r="I444" i="1"/>
  <c r="G444" i="1"/>
  <c r="I443" i="1"/>
  <c r="G443" i="1"/>
  <c r="I442" i="1"/>
  <c r="G442" i="1"/>
  <c r="I441" i="1"/>
  <c r="G441" i="1"/>
  <c r="I440" i="1"/>
  <c r="G440" i="1"/>
  <c r="I439" i="1"/>
  <c r="G439" i="1"/>
  <c r="I438" i="1"/>
  <c r="G438" i="1"/>
  <c r="I437" i="1"/>
  <c r="G437" i="1"/>
  <c r="I436" i="1"/>
  <c r="G436" i="1"/>
  <c r="I435" i="1"/>
  <c r="G435" i="1"/>
  <c r="I434" i="1"/>
  <c r="G434" i="1"/>
  <c r="I433" i="1"/>
  <c r="G433" i="1"/>
  <c r="I432" i="1"/>
  <c r="G432" i="1"/>
  <c r="I431" i="1"/>
  <c r="G431" i="1"/>
  <c r="I430" i="1"/>
  <c r="G430" i="1"/>
  <c r="I429" i="1"/>
  <c r="G429" i="1"/>
  <c r="I428" i="1"/>
  <c r="G428" i="1"/>
  <c r="I427" i="1"/>
  <c r="G427" i="1"/>
  <c r="I426" i="1"/>
  <c r="G426" i="1"/>
  <c r="I425" i="1"/>
  <c r="G425" i="1"/>
  <c r="I424" i="1"/>
  <c r="G424" i="1"/>
  <c r="I423" i="1"/>
  <c r="G423" i="1"/>
  <c r="I422" i="1"/>
  <c r="G422" i="1"/>
  <c r="I421" i="1"/>
  <c r="G421" i="1"/>
  <c r="I420" i="1"/>
  <c r="G420" i="1"/>
  <c r="I419" i="1"/>
  <c r="G419" i="1"/>
  <c r="I418" i="1"/>
  <c r="G418" i="1"/>
  <c r="I417" i="1"/>
  <c r="G417" i="1"/>
  <c r="I416" i="1"/>
  <c r="G416" i="1"/>
  <c r="I415" i="1"/>
  <c r="G415" i="1"/>
  <c r="I414" i="1"/>
  <c r="G414" i="1"/>
  <c r="I413" i="1"/>
  <c r="G413" i="1"/>
  <c r="I412" i="1"/>
  <c r="G412" i="1"/>
  <c r="I411" i="1"/>
  <c r="G411" i="1"/>
  <c r="I410" i="1"/>
  <c r="G410" i="1"/>
  <c r="I409" i="1"/>
  <c r="G409" i="1"/>
  <c r="I408" i="1"/>
  <c r="G408" i="1"/>
  <c r="I407" i="1"/>
  <c r="G407" i="1"/>
  <c r="I406" i="1"/>
  <c r="G406" i="1"/>
  <c r="I405" i="1"/>
  <c r="G405" i="1"/>
  <c r="I404" i="1"/>
  <c r="G404" i="1"/>
  <c r="I403" i="1"/>
  <c r="G403" i="1"/>
  <c r="I402" i="1"/>
  <c r="G402" i="1"/>
  <c r="I401" i="1"/>
  <c r="G401" i="1"/>
  <c r="I400" i="1"/>
  <c r="G400" i="1"/>
  <c r="I399" i="1"/>
  <c r="G399" i="1"/>
  <c r="I398" i="1"/>
  <c r="G398" i="1"/>
  <c r="I397" i="1"/>
  <c r="G397" i="1"/>
  <c r="I396" i="1"/>
  <c r="G396" i="1"/>
  <c r="I395" i="1"/>
  <c r="G395" i="1"/>
  <c r="I394" i="1"/>
  <c r="G394" i="1"/>
  <c r="I393" i="1"/>
  <c r="G393" i="1"/>
  <c r="I392" i="1"/>
  <c r="G392" i="1"/>
  <c r="I391" i="1"/>
  <c r="G391" i="1"/>
  <c r="I390" i="1"/>
  <c r="G390" i="1"/>
  <c r="I389" i="1"/>
  <c r="G389" i="1"/>
  <c r="I388" i="1"/>
  <c r="G388" i="1"/>
  <c r="I387" i="1"/>
  <c r="G387" i="1"/>
  <c r="I386" i="1"/>
  <c r="G386" i="1"/>
  <c r="I385" i="1"/>
  <c r="G385" i="1"/>
  <c r="I384" i="1"/>
  <c r="G384" i="1"/>
  <c r="I383" i="1"/>
  <c r="G383" i="1"/>
  <c r="I382" i="1"/>
  <c r="G382" i="1"/>
  <c r="I381" i="1"/>
  <c r="G381" i="1"/>
  <c r="I380" i="1"/>
  <c r="G380" i="1"/>
  <c r="I379" i="1"/>
  <c r="G379" i="1"/>
  <c r="I378" i="1"/>
  <c r="G378" i="1"/>
  <c r="I377" i="1"/>
  <c r="G377" i="1"/>
  <c r="I376" i="1"/>
  <c r="G376" i="1"/>
  <c r="I375" i="1"/>
  <c r="G375" i="1"/>
  <c r="I374" i="1"/>
  <c r="G374" i="1"/>
  <c r="I373" i="1"/>
  <c r="G373" i="1"/>
  <c r="I372" i="1"/>
  <c r="G372" i="1"/>
  <c r="I371" i="1"/>
  <c r="G371" i="1"/>
  <c r="I370" i="1"/>
  <c r="G370" i="1"/>
  <c r="I369" i="1"/>
  <c r="G369" i="1"/>
  <c r="I368" i="1"/>
  <c r="G368" i="1"/>
  <c r="I367" i="1"/>
  <c r="G367" i="1"/>
  <c r="I366" i="1"/>
  <c r="G366" i="1"/>
  <c r="I365" i="1"/>
  <c r="G365" i="1"/>
  <c r="I364" i="1"/>
  <c r="G364" i="1"/>
  <c r="I363" i="1"/>
  <c r="G363" i="1"/>
  <c r="I362" i="1"/>
  <c r="G362" i="1"/>
  <c r="I361" i="1"/>
  <c r="G361" i="1"/>
  <c r="I360" i="1"/>
  <c r="G360" i="1"/>
  <c r="I359" i="1"/>
  <c r="G359" i="1"/>
  <c r="I358" i="1"/>
  <c r="G358" i="1"/>
  <c r="I357" i="1"/>
  <c r="G357" i="1"/>
  <c r="I356" i="1"/>
  <c r="G356" i="1"/>
  <c r="I355" i="1"/>
  <c r="G355" i="1"/>
  <c r="I354" i="1"/>
  <c r="G354" i="1"/>
  <c r="I353" i="1"/>
  <c r="G353" i="1"/>
  <c r="I352" i="1"/>
  <c r="G352" i="1"/>
  <c r="I351" i="1"/>
  <c r="G351" i="1"/>
  <c r="I350" i="1"/>
  <c r="G350" i="1"/>
  <c r="I349" i="1"/>
  <c r="G349" i="1"/>
  <c r="I348" i="1"/>
  <c r="G348" i="1"/>
  <c r="I347" i="1"/>
  <c r="G347" i="1"/>
  <c r="I346" i="1"/>
  <c r="G346" i="1"/>
  <c r="I345" i="1"/>
  <c r="G345" i="1"/>
  <c r="I344" i="1"/>
  <c r="G344" i="1"/>
  <c r="I343" i="1"/>
  <c r="G343" i="1"/>
  <c r="I342" i="1"/>
  <c r="G342" i="1"/>
  <c r="I341" i="1"/>
  <c r="G341" i="1"/>
  <c r="I340" i="1"/>
  <c r="G340" i="1"/>
  <c r="I339" i="1"/>
  <c r="G339" i="1"/>
  <c r="I338" i="1"/>
  <c r="G338" i="1"/>
  <c r="I337" i="1"/>
  <c r="G337" i="1"/>
  <c r="I336" i="1"/>
  <c r="G336" i="1"/>
  <c r="I335" i="1"/>
  <c r="G335" i="1"/>
  <c r="I334" i="1"/>
  <c r="G334" i="1"/>
  <c r="I333" i="1"/>
  <c r="G333" i="1"/>
  <c r="I332" i="1"/>
  <c r="G332" i="1"/>
  <c r="I331" i="1"/>
  <c r="G331" i="1"/>
  <c r="I330" i="1"/>
  <c r="G330" i="1"/>
  <c r="I329" i="1"/>
  <c r="G329" i="1"/>
  <c r="I328" i="1"/>
  <c r="G328" i="1"/>
  <c r="I327" i="1"/>
  <c r="G327" i="1"/>
  <c r="I326" i="1"/>
  <c r="G326" i="1"/>
  <c r="I325" i="1"/>
  <c r="G325" i="1"/>
  <c r="I324" i="1"/>
  <c r="G324" i="1"/>
  <c r="I323" i="1"/>
  <c r="G323" i="1"/>
  <c r="I322" i="1"/>
  <c r="G322" i="1"/>
  <c r="I321" i="1"/>
  <c r="G321" i="1"/>
  <c r="I320" i="1"/>
  <c r="G320" i="1"/>
  <c r="I319" i="1"/>
  <c r="G319" i="1"/>
  <c r="I318" i="1"/>
  <c r="G318" i="1"/>
  <c r="I317" i="1"/>
  <c r="G317" i="1"/>
  <c r="I316" i="1"/>
  <c r="G316" i="1"/>
  <c r="I315" i="1"/>
  <c r="G315" i="1"/>
  <c r="I314" i="1"/>
  <c r="G314" i="1"/>
  <c r="I313" i="1"/>
  <c r="G313" i="1"/>
  <c r="I312" i="1"/>
  <c r="G312" i="1"/>
  <c r="I311" i="1"/>
  <c r="G311" i="1"/>
  <c r="I310" i="1"/>
  <c r="G310" i="1"/>
  <c r="I309" i="1"/>
  <c r="G309" i="1"/>
  <c r="I308" i="1"/>
  <c r="G308" i="1"/>
  <c r="I307" i="1"/>
  <c r="G307" i="1"/>
  <c r="I306" i="1"/>
  <c r="G306" i="1"/>
  <c r="I305" i="1"/>
  <c r="G305" i="1"/>
  <c r="I304" i="1"/>
  <c r="G304" i="1"/>
  <c r="I303" i="1"/>
  <c r="G303" i="1"/>
  <c r="I302" i="1"/>
  <c r="G302" i="1"/>
  <c r="I301" i="1"/>
  <c r="G301" i="1"/>
  <c r="I300" i="1"/>
  <c r="G300" i="1"/>
  <c r="I299" i="1"/>
  <c r="G299" i="1"/>
  <c r="I298" i="1"/>
  <c r="G298" i="1"/>
  <c r="I297" i="1"/>
  <c r="G297" i="1"/>
  <c r="I296" i="1"/>
  <c r="G296" i="1"/>
  <c r="I295" i="1"/>
  <c r="G295" i="1"/>
  <c r="I294" i="1"/>
  <c r="G294" i="1"/>
  <c r="I293" i="1"/>
  <c r="G293" i="1"/>
  <c r="I292" i="1"/>
  <c r="G292" i="1"/>
  <c r="I291" i="1"/>
  <c r="G291" i="1"/>
  <c r="I290" i="1"/>
  <c r="G290" i="1"/>
  <c r="I289" i="1"/>
  <c r="G289" i="1"/>
  <c r="I288" i="1"/>
  <c r="G288" i="1"/>
  <c r="I287" i="1"/>
  <c r="G287" i="1"/>
  <c r="I286" i="1"/>
  <c r="G286" i="1"/>
  <c r="I285" i="1"/>
  <c r="G285" i="1"/>
  <c r="I284" i="1"/>
  <c r="G284" i="1"/>
  <c r="I283" i="1"/>
  <c r="G283" i="1"/>
  <c r="I282" i="1"/>
  <c r="G282" i="1"/>
  <c r="I281" i="1"/>
  <c r="G281" i="1"/>
  <c r="I280" i="1"/>
  <c r="G280" i="1"/>
  <c r="I279" i="1"/>
  <c r="G279" i="1"/>
  <c r="I278" i="1"/>
  <c r="G278" i="1"/>
  <c r="I277" i="1"/>
  <c r="G277" i="1"/>
  <c r="I276" i="1"/>
  <c r="G276" i="1"/>
  <c r="I275" i="1"/>
  <c r="G275" i="1"/>
  <c r="I274" i="1"/>
  <c r="G274" i="1"/>
  <c r="I273" i="1"/>
  <c r="G273" i="1"/>
  <c r="I272" i="1"/>
  <c r="G272" i="1"/>
  <c r="I271" i="1"/>
  <c r="G271" i="1"/>
  <c r="I270" i="1"/>
  <c r="G270" i="1"/>
  <c r="I269" i="1"/>
  <c r="G269" i="1"/>
  <c r="I268" i="1"/>
  <c r="G268" i="1"/>
  <c r="I267" i="1"/>
  <c r="G267" i="1"/>
  <c r="I266" i="1"/>
  <c r="G266" i="1"/>
  <c r="I265" i="1"/>
  <c r="G265" i="1"/>
  <c r="I264" i="1"/>
  <c r="G264" i="1"/>
  <c r="I263" i="1"/>
  <c r="G263" i="1"/>
  <c r="I262" i="1"/>
  <c r="G262" i="1"/>
  <c r="I261" i="1"/>
  <c r="G261" i="1"/>
  <c r="I260" i="1"/>
  <c r="G260" i="1"/>
  <c r="I259" i="1"/>
  <c r="G259" i="1"/>
  <c r="I258" i="1"/>
  <c r="G258" i="1"/>
  <c r="I257" i="1"/>
  <c r="G257" i="1"/>
  <c r="I256" i="1"/>
  <c r="G256" i="1"/>
  <c r="I255" i="1"/>
  <c r="G255" i="1"/>
  <c r="I254" i="1"/>
  <c r="G254" i="1"/>
  <c r="I253" i="1"/>
  <c r="G253" i="1"/>
  <c r="I252" i="1"/>
  <c r="G252" i="1"/>
  <c r="I251" i="1"/>
  <c r="G251" i="1"/>
  <c r="I250" i="1"/>
  <c r="G250" i="1"/>
  <c r="I249" i="1"/>
  <c r="G249" i="1"/>
  <c r="I248" i="1"/>
  <c r="G248" i="1"/>
  <c r="I247" i="1"/>
  <c r="G247" i="1"/>
  <c r="I246" i="1"/>
  <c r="G246" i="1"/>
  <c r="I245" i="1"/>
  <c r="G245" i="1"/>
  <c r="I244" i="1"/>
  <c r="G244" i="1"/>
  <c r="I243" i="1"/>
  <c r="G243" i="1"/>
  <c r="I242" i="1"/>
  <c r="G242" i="1"/>
  <c r="I241" i="1"/>
  <c r="G241" i="1"/>
  <c r="I240" i="1"/>
  <c r="G240" i="1"/>
  <c r="I239" i="1"/>
  <c r="G239" i="1"/>
  <c r="I238" i="1"/>
  <c r="G238" i="1"/>
  <c r="I237" i="1"/>
  <c r="G237" i="1"/>
  <c r="I236" i="1"/>
  <c r="G236" i="1"/>
  <c r="I235" i="1"/>
  <c r="G235" i="1"/>
  <c r="I234" i="1"/>
  <c r="G234" i="1"/>
  <c r="I233" i="1"/>
  <c r="G233" i="1"/>
  <c r="I232" i="1"/>
  <c r="G232" i="1"/>
  <c r="I231" i="1"/>
  <c r="G231" i="1"/>
  <c r="I230" i="1"/>
  <c r="G230" i="1"/>
  <c r="I229" i="1"/>
  <c r="G229" i="1"/>
  <c r="I228" i="1"/>
  <c r="G228" i="1"/>
  <c r="I227" i="1"/>
  <c r="G227" i="1"/>
  <c r="I226" i="1"/>
  <c r="G226" i="1"/>
  <c r="I225" i="1"/>
  <c r="G225" i="1"/>
  <c r="I224" i="1"/>
  <c r="G224" i="1"/>
  <c r="I223" i="1"/>
  <c r="G223" i="1"/>
  <c r="I222" i="1"/>
  <c r="G222" i="1"/>
  <c r="I221" i="1"/>
  <c r="G221" i="1"/>
  <c r="I220" i="1"/>
  <c r="G220" i="1"/>
  <c r="I219" i="1"/>
  <c r="G219" i="1"/>
  <c r="I218" i="1"/>
  <c r="G218" i="1"/>
  <c r="I217" i="1"/>
  <c r="G217" i="1"/>
  <c r="I216" i="1"/>
  <c r="G216" i="1"/>
  <c r="I215" i="1"/>
  <c r="G215" i="1"/>
  <c r="I214" i="1"/>
  <c r="G214" i="1"/>
  <c r="I213" i="1"/>
  <c r="G213" i="1"/>
  <c r="I212" i="1"/>
  <c r="G212" i="1"/>
  <c r="I211" i="1"/>
  <c r="G211" i="1"/>
  <c r="I210" i="1"/>
  <c r="G210" i="1"/>
  <c r="I209" i="1"/>
  <c r="G209" i="1"/>
  <c r="I208" i="1"/>
  <c r="G208" i="1"/>
  <c r="I207" i="1"/>
  <c r="G207" i="1"/>
  <c r="I206" i="1"/>
  <c r="G206" i="1"/>
  <c r="I205" i="1"/>
  <c r="G205" i="1"/>
  <c r="I204" i="1"/>
  <c r="G204" i="1"/>
  <c r="I203" i="1"/>
  <c r="G203" i="1"/>
  <c r="I202" i="1"/>
  <c r="G202" i="1"/>
  <c r="I201" i="1"/>
  <c r="G201" i="1"/>
  <c r="I200" i="1"/>
  <c r="G200" i="1"/>
  <c r="I199" i="1"/>
  <c r="G199" i="1"/>
  <c r="I198" i="1"/>
  <c r="G198" i="1"/>
  <c r="I197" i="1"/>
  <c r="G197" i="1"/>
  <c r="I196" i="1"/>
  <c r="G196" i="1"/>
  <c r="I195" i="1"/>
  <c r="G195" i="1"/>
  <c r="I194" i="1"/>
  <c r="G194" i="1"/>
  <c r="I193" i="1"/>
  <c r="G193" i="1"/>
  <c r="I192" i="1"/>
  <c r="G192" i="1"/>
  <c r="I191" i="1"/>
  <c r="G191" i="1"/>
  <c r="I190" i="1"/>
  <c r="G190" i="1"/>
  <c r="I189" i="1"/>
  <c r="G189" i="1"/>
  <c r="I188" i="1"/>
  <c r="G188" i="1"/>
  <c r="I187" i="1"/>
  <c r="G187" i="1"/>
  <c r="I186" i="1"/>
  <c r="G186" i="1"/>
  <c r="I185" i="1"/>
  <c r="G185" i="1"/>
  <c r="I184" i="1"/>
  <c r="G184" i="1"/>
  <c r="I183" i="1"/>
  <c r="G183" i="1"/>
  <c r="I182" i="1"/>
  <c r="G182" i="1"/>
  <c r="I181" i="1"/>
  <c r="G181" i="1"/>
  <c r="I180" i="1"/>
  <c r="G180" i="1"/>
  <c r="I179" i="1"/>
  <c r="G179" i="1"/>
  <c r="I178" i="1"/>
  <c r="G178" i="1"/>
  <c r="I177" i="1"/>
  <c r="G177" i="1"/>
  <c r="I176" i="1"/>
  <c r="G176" i="1"/>
  <c r="I175" i="1"/>
  <c r="G175" i="1"/>
  <c r="I174" i="1"/>
  <c r="G174" i="1"/>
  <c r="I173" i="1"/>
  <c r="G173" i="1"/>
  <c r="I172" i="1"/>
  <c r="G172" i="1"/>
  <c r="I171" i="1"/>
  <c r="G171" i="1"/>
  <c r="I170" i="1"/>
  <c r="G170" i="1"/>
  <c r="I169" i="1"/>
  <c r="G169" i="1"/>
  <c r="I168" i="1"/>
  <c r="G168" i="1"/>
  <c r="I167" i="1"/>
  <c r="G167" i="1"/>
  <c r="I166" i="1"/>
  <c r="G166" i="1"/>
  <c r="I165" i="1"/>
  <c r="G165" i="1"/>
  <c r="I164" i="1"/>
  <c r="G164" i="1"/>
  <c r="I163" i="1"/>
  <c r="G163" i="1"/>
  <c r="I162" i="1"/>
  <c r="G162" i="1"/>
  <c r="I161" i="1"/>
  <c r="G161" i="1"/>
  <c r="I160" i="1"/>
  <c r="G160" i="1"/>
  <c r="I159" i="1"/>
  <c r="G159" i="1"/>
  <c r="I158" i="1"/>
  <c r="G158" i="1"/>
  <c r="I157" i="1"/>
  <c r="G157" i="1"/>
  <c r="I156" i="1"/>
  <c r="G156" i="1"/>
  <c r="I155" i="1"/>
  <c r="G155" i="1"/>
  <c r="I154" i="1"/>
  <c r="G154" i="1"/>
  <c r="I153" i="1"/>
  <c r="G153" i="1"/>
  <c r="I152" i="1"/>
  <c r="G152" i="1"/>
  <c r="I151" i="1"/>
  <c r="G151" i="1"/>
  <c r="I150" i="1"/>
  <c r="G150" i="1"/>
  <c r="I149" i="1"/>
  <c r="G149" i="1"/>
  <c r="I148" i="1"/>
  <c r="G148" i="1"/>
  <c r="I147" i="1"/>
  <c r="G147" i="1"/>
  <c r="I146" i="1"/>
  <c r="G146" i="1"/>
  <c r="I145" i="1"/>
  <c r="G145" i="1"/>
  <c r="I144" i="1"/>
  <c r="G144" i="1"/>
  <c r="I143" i="1"/>
  <c r="G143" i="1"/>
  <c r="I142" i="1"/>
  <c r="G142" i="1"/>
  <c r="I141" i="1"/>
  <c r="G141" i="1"/>
  <c r="I140" i="1"/>
  <c r="G140" i="1"/>
  <c r="I139" i="1"/>
  <c r="G139" i="1"/>
  <c r="I138" i="1"/>
  <c r="G138" i="1"/>
  <c r="I137" i="1"/>
  <c r="G137" i="1"/>
  <c r="I136" i="1"/>
  <c r="G136" i="1"/>
  <c r="I135" i="1"/>
  <c r="G135" i="1"/>
  <c r="I134" i="1"/>
  <c r="G134" i="1"/>
  <c r="I133" i="1"/>
  <c r="G133" i="1"/>
  <c r="I132" i="1"/>
  <c r="G132" i="1"/>
  <c r="I131" i="1"/>
  <c r="G131" i="1"/>
  <c r="I130" i="1"/>
  <c r="G130" i="1"/>
  <c r="I129" i="1"/>
  <c r="G129" i="1"/>
  <c r="I128" i="1"/>
  <c r="G128" i="1"/>
  <c r="I127" i="1"/>
  <c r="G127" i="1"/>
  <c r="I126" i="1"/>
  <c r="G126" i="1"/>
  <c r="I125" i="1"/>
  <c r="G125" i="1"/>
  <c r="I124" i="1"/>
  <c r="G124" i="1"/>
  <c r="I123" i="1"/>
  <c r="G123" i="1"/>
  <c r="I122" i="1"/>
  <c r="G122" i="1"/>
  <c r="I121" i="1"/>
  <c r="G121" i="1"/>
  <c r="I120" i="1"/>
  <c r="G120" i="1"/>
  <c r="I119" i="1"/>
  <c r="G119" i="1"/>
  <c r="I118" i="1"/>
  <c r="G118" i="1"/>
  <c r="I117" i="1"/>
  <c r="G117" i="1"/>
  <c r="I116" i="1"/>
  <c r="G116" i="1"/>
  <c r="I115" i="1"/>
  <c r="G115" i="1"/>
  <c r="I114" i="1"/>
  <c r="G114" i="1"/>
  <c r="I113" i="1"/>
  <c r="G113" i="1"/>
  <c r="I112" i="1"/>
  <c r="G112" i="1"/>
  <c r="I111" i="1"/>
  <c r="G111" i="1"/>
  <c r="I110" i="1"/>
  <c r="G110" i="1"/>
  <c r="I109" i="1"/>
  <c r="G109" i="1"/>
  <c r="I108" i="1"/>
  <c r="G108" i="1"/>
  <c r="I107" i="1"/>
  <c r="G107" i="1"/>
  <c r="I106" i="1"/>
  <c r="G106" i="1"/>
  <c r="I105" i="1"/>
  <c r="G105" i="1"/>
  <c r="I104" i="1"/>
  <c r="G104" i="1"/>
  <c r="I103" i="1"/>
  <c r="G103" i="1"/>
  <c r="I102" i="1"/>
  <c r="G102" i="1"/>
  <c r="I101" i="1"/>
  <c r="G101" i="1"/>
  <c r="I100" i="1"/>
  <c r="G100" i="1"/>
  <c r="I99" i="1"/>
  <c r="G99" i="1"/>
  <c r="I98" i="1"/>
  <c r="G98" i="1"/>
  <c r="I97" i="1"/>
  <c r="G97" i="1"/>
  <c r="I96" i="1"/>
  <c r="G96" i="1"/>
  <c r="I95" i="1"/>
  <c r="G95" i="1"/>
  <c r="I94" i="1"/>
  <c r="G94" i="1"/>
  <c r="I93" i="1"/>
  <c r="G93" i="1"/>
  <c r="I92" i="1"/>
  <c r="G92" i="1"/>
  <c r="I91" i="1"/>
  <c r="G91" i="1"/>
  <c r="I90" i="1"/>
  <c r="G90" i="1"/>
  <c r="I89" i="1"/>
  <c r="G89" i="1"/>
  <c r="I88" i="1"/>
  <c r="G88" i="1"/>
  <c r="I87" i="1"/>
  <c r="G87" i="1"/>
  <c r="I86" i="1"/>
  <c r="G86" i="1"/>
  <c r="I85" i="1"/>
  <c r="G85" i="1"/>
  <c r="I84" i="1"/>
  <c r="G84" i="1"/>
  <c r="I83" i="1"/>
  <c r="G83" i="1"/>
  <c r="I82" i="1"/>
  <c r="G82" i="1"/>
  <c r="I81" i="1"/>
  <c r="G81" i="1"/>
  <c r="I80" i="1"/>
  <c r="G80" i="1"/>
  <c r="I79" i="1"/>
  <c r="G79" i="1"/>
  <c r="I78" i="1"/>
  <c r="G78" i="1"/>
  <c r="I77" i="1"/>
  <c r="G77" i="1"/>
  <c r="I76" i="1"/>
  <c r="G76" i="1"/>
  <c r="I75" i="1"/>
  <c r="G75" i="1"/>
  <c r="I74" i="1"/>
  <c r="G74" i="1"/>
  <c r="I73" i="1"/>
  <c r="G73" i="1"/>
  <c r="I72" i="1"/>
  <c r="G72" i="1"/>
  <c r="I71" i="1"/>
  <c r="G71" i="1"/>
  <c r="I70" i="1"/>
  <c r="G70" i="1"/>
  <c r="I69" i="1"/>
  <c r="G69" i="1"/>
  <c r="I68" i="1"/>
  <c r="G68" i="1"/>
  <c r="I67" i="1"/>
  <c r="G67" i="1"/>
  <c r="I66" i="1"/>
  <c r="G66" i="1"/>
  <c r="I65" i="1"/>
  <c r="G65" i="1"/>
  <c r="I64" i="1"/>
  <c r="G64" i="1"/>
  <c r="I63" i="1"/>
  <c r="G63" i="1"/>
  <c r="I62" i="1"/>
  <c r="G62" i="1"/>
  <c r="I61" i="1"/>
  <c r="G61" i="1"/>
  <c r="I60" i="1"/>
  <c r="G60" i="1"/>
  <c r="I59" i="1"/>
  <c r="G59" i="1"/>
  <c r="I58" i="1"/>
  <c r="G58" i="1"/>
  <c r="I57" i="1"/>
  <c r="G57" i="1"/>
  <c r="I56" i="1"/>
  <c r="G56" i="1"/>
  <c r="I55" i="1"/>
  <c r="G55" i="1"/>
  <c r="I54" i="1"/>
  <c r="G54" i="1"/>
  <c r="I53" i="1"/>
  <c r="G53" i="1"/>
  <c r="I52" i="1"/>
  <c r="G52" i="1"/>
  <c r="I51" i="1"/>
  <c r="G51" i="1"/>
  <c r="I50" i="1"/>
  <c r="G50" i="1"/>
  <c r="I49" i="1"/>
  <c r="G49" i="1"/>
  <c r="I48" i="1"/>
  <c r="G48" i="1"/>
  <c r="I47" i="1"/>
  <c r="G47" i="1"/>
  <c r="I46" i="1"/>
  <c r="G46" i="1"/>
  <c r="I45" i="1"/>
  <c r="G45" i="1"/>
  <c r="I44" i="1"/>
  <c r="G44" i="1"/>
  <c r="I43" i="1"/>
  <c r="G43" i="1"/>
  <c r="I42" i="1"/>
  <c r="G42" i="1"/>
  <c r="I41" i="1"/>
  <c r="G41" i="1"/>
  <c r="I40" i="1"/>
  <c r="G40" i="1"/>
  <c r="I39" i="1"/>
  <c r="G39" i="1"/>
  <c r="I38" i="1"/>
  <c r="G38" i="1"/>
  <c r="I37" i="1"/>
  <c r="G37" i="1"/>
  <c r="I36" i="1"/>
  <c r="G36" i="1"/>
  <c r="I35" i="1"/>
  <c r="G35" i="1"/>
  <c r="I34" i="1"/>
  <c r="G34" i="1"/>
  <c r="I33" i="1"/>
  <c r="G33" i="1"/>
  <c r="I32" i="1"/>
  <c r="G32" i="1"/>
  <c r="I31" i="1"/>
  <c r="G31" i="1"/>
  <c r="I30" i="1"/>
  <c r="G30" i="1"/>
  <c r="I29" i="1"/>
  <c r="G29" i="1"/>
  <c r="I28" i="1"/>
  <c r="G28" i="1"/>
  <c r="I27" i="1"/>
  <c r="G27" i="1"/>
  <c r="I26" i="1"/>
  <c r="G26" i="1"/>
  <c r="I25" i="1"/>
  <c r="G25" i="1"/>
  <c r="I24" i="1"/>
  <c r="G24" i="1"/>
  <c r="I23" i="1"/>
  <c r="G23" i="1"/>
  <c r="I22" i="1"/>
  <c r="G22" i="1"/>
  <c r="I21" i="1"/>
  <c r="G21" i="1"/>
  <c r="I20" i="1"/>
  <c r="G20" i="1"/>
  <c r="I19" i="1"/>
  <c r="G19" i="1"/>
  <c r="I18" i="1"/>
  <c r="G18" i="1"/>
  <c r="I17" i="1"/>
  <c r="G17" i="1"/>
  <c r="I16" i="1"/>
  <c r="G16" i="1"/>
  <c r="I15" i="1"/>
  <c r="G15" i="1"/>
  <c r="I14" i="1"/>
  <c r="G14" i="1"/>
  <c r="I13" i="1"/>
  <c r="G13" i="1"/>
  <c r="I12" i="1"/>
  <c r="G12" i="1"/>
  <c r="I11" i="1"/>
  <c r="G11" i="1"/>
  <c r="I10" i="1"/>
  <c r="G10" i="1"/>
  <c r="I9" i="1"/>
  <c r="G9" i="1"/>
  <c r="I8" i="1"/>
  <c r="G8" i="1"/>
  <c r="I7" i="1"/>
  <c r="G7" i="1"/>
  <c r="I6" i="1"/>
  <c r="G6" i="1"/>
  <c r="I5" i="1"/>
  <c r="G5" i="1"/>
  <c r="I4" i="1"/>
  <c r="G4" i="1"/>
  <c r="I3" i="1"/>
  <c r="G3" i="1"/>
  <c r="I2" i="1"/>
  <c r="G2" i="1"/>
  <c r="D9" i="10"/>
  <c r="C9" i="10"/>
  <c r="B9" i="10"/>
  <c r="B7" i="13"/>
  <c r="B26" i="10"/>
  <c r="C7" i="13"/>
  <c r="D7" i="13"/>
  <c r="B36" i="10"/>
  <c r="I2502" i="1" l="1"/>
  <c r="D8" i="13"/>
  <c r="G2502" i="1"/>
</calcChain>
</file>

<file path=xl/sharedStrings.xml><?xml version="1.0" encoding="utf-8"?>
<sst xmlns="http://schemas.openxmlformats.org/spreadsheetml/2006/main" count="12668" uniqueCount="2523">
  <si>
    <t>Order_ID</t>
  </si>
  <si>
    <t>Customer_Name</t>
  </si>
  <si>
    <t>Product_Category</t>
  </si>
  <si>
    <t>Product_Name</t>
  </si>
  <si>
    <t>Units_Sold</t>
  </si>
  <si>
    <t>Unit_Price</t>
  </si>
  <si>
    <t>Discount_%</t>
  </si>
  <si>
    <t>Sales_Amount</t>
  </si>
  <si>
    <t>Order_Date</t>
  </si>
  <si>
    <t>City</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</si>
  <si>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</si>
  <si>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</si>
  <si>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</si>
  <si>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</si>
  <si>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</si>
  <si>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</si>
  <si>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</si>
  <si>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</si>
  <si>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</si>
  <si>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</si>
  <si>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</si>
  <si>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</si>
  <si>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</si>
  <si>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</si>
  <si>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</si>
  <si>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</si>
  <si>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</si>
  <si>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Maria Blake</t>
  </si>
  <si>
    <t>Accessories</t>
  </si>
  <si>
    <t>Belts</t>
  </si>
  <si>
    <t>Samuel Miller</t>
  </si>
  <si>
    <t>T-Shirts</t>
  </si>
  <si>
    <t>Crop Top</t>
  </si>
  <si>
    <t>John Mclean</t>
  </si>
  <si>
    <t>Boyfriend Jeans</t>
  </si>
  <si>
    <t>Dr. Kathryn Bass PhD</t>
  </si>
  <si>
    <t>Dresses</t>
  </si>
  <si>
    <t>Casual Midi</t>
  </si>
  <si>
    <t>Bangalore</t>
  </si>
  <si>
    <t>Marie Fisher</t>
  </si>
  <si>
    <t>Sunglasses</t>
  </si>
  <si>
    <t>Dale Perry</t>
  </si>
  <si>
    <t>Oversized T-shirt</t>
  </si>
  <si>
    <t>Oscar Turner</t>
  </si>
  <si>
    <t>Pune</t>
  </si>
  <si>
    <t>Jacob Sanchez</t>
  </si>
  <si>
    <t>Valerie Hampton</t>
  </si>
  <si>
    <t>Straight Cut</t>
  </si>
  <si>
    <t>James Delgado</t>
  </si>
  <si>
    <t>Richard Hood</t>
  </si>
  <si>
    <t>Julie Fox</t>
  </si>
  <si>
    <t>Sneakers</t>
  </si>
  <si>
    <t>Valerie Garner</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</si>
  <si>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</si>
  <si>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</si>
  <si>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</si>
  <si>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</si>
  <si>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</si>
  <si>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</si>
  <si>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</si>
  <si>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</si>
  <si>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</si>
  <si>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</si>
  <si>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</si>
  <si>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</si>
  <si>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</si>
  <si>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</si>
  <si>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</si>
  <si>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</si>
  <si>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</si>
  <si>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</si>
  <si>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</si>
  <si>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</si>
  <si>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</si>
  <si>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</si>
  <si>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</si>
  <si>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</si>
  <si>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</si>
  <si>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</si>
  <si>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</si>
  <si>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</si>
  <si>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</si>
  <si>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</si>
  <si>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</si>
  <si>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</si>
  <si>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</si>
  <si>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</si>
  <si>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</si>
  <si>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</si>
  <si>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</si>
  <si>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</si>
  <si>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</si>
  <si>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</si>
  <si>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</si>
  <si>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</si>
  <si>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</si>
  <si>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</si>
  <si>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</si>
  <si>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</si>
  <si>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</si>
  <si>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</si>
  <si>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</si>
  <si>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</si>
  <si>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</si>
  <si>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</si>
  <si>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</si>
  <si>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</si>
  <si>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</si>
  <si>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</si>
  <si>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</si>
  <si>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</si>
  <si>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</si>
  <si>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</si>
  <si>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</si>
  <si>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</si>
  <si>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</si>
  <si>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</si>
  <si>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</si>
  <si>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</si>
  <si>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</si>
  <si>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</si>
  <si>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</si>
  <si>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</si>
  <si>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</si>
  <si>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</si>
  <si>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</si>
  <si>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</si>
  <si>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</si>
  <si>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</si>
  <si>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</si>
  <si>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</si>
  <si>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</si>
  <si>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</si>
  <si>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</si>
  <si>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</si>
  <si>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</si>
  <si>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</si>
  <si>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</si>
  <si>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</si>
  <si>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</si>
  <si>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</si>
  <si>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</si>
  <si>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</si>
  <si>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</si>
  <si>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</si>
  <si>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</si>
  <si>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</si>
  <si>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</si>
  <si>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</si>
  <si>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</si>
  <si>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</si>
  <si>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</si>
  <si>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</si>
  <si>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</si>
  <si>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</si>
  <si>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</si>
  <si>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</si>
  <si>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</si>
  <si>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</si>
  <si>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</si>
  <si>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</si>
  <si>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</si>
  <si>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</si>
  <si>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</si>
  <si>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</si>
  <si>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</si>
  <si>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</si>
  <si>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</si>
  <si>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</si>
  <si>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</si>
  <si>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</si>
  <si>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</si>
  <si>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</si>
  <si>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</si>
  <si>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</si>
  <si>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</si>
  <si>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</si>
  <si>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</si>
  <si>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</si>
  <si>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</si>
  <si>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</si>
  <si>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</si>
  <si>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</si>
  <si>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</si>
  <si>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</si>
  <si>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</si>
  <si>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</si>
  <si>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</si>
  <si>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</si>
  <si>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</si>
  <si>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</si>
  <si>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</si>
  <si>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</si>
  <si>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</si>
  <si>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</si>
  <si>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</si>
  <si>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</si>
  <si>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</si>
  <si>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</si>
  <si>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</si>
  <si>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</si>
  <si>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</si>
  <si>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</si>
  <si>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</si>
  <si>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</si>
  <si>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</si>
  <si>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</si>
  <si>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</si>
  <si>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</si>
  <si>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</si>
  <si>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</si>
  <si>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</si>
  <si>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</si>
  <si>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</si>
  <si>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</si>
  <si>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</si>
  <si>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</si>
  <si>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</si>
  <si>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</si>
  <si>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</si>
  <si>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</si>
  <si>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</si>
  <si>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</si>
  <si>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</si>
  <si>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</si>
  <si>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</si>
  <si>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</si>
  <si>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</si>
  <si>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</si>
  <si>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</si>
  <si>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</si>
  <si>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</si>
  <si>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</si>
  <si>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</si>
  <si>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</si>
  <si>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</si>
  <si>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</si>
  <si>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</si>
  <si>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</si>
  <si>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</si>
  <si>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</si>
  <si>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</si>
  <si>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</si>
  <si>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</si>
  <si>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</si>
  <si>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</si>
  <si>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</si>
  <si>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</si>
  <si>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</si>
  <si>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</si>
  <si>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</si>
  <si>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</si>
  <si>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</si>
  <si>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</si>
  <si>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</si>
  <si>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</si>
  <si>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</si>
  <si>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</si>
  <si>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</si>
  <si>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</si>
  <si>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</si>
  <si>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</si>
  <si>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</si>
  <si>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</si>
  <si>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</si>
  <si>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</si>
  <si>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</si>
  <si>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</si>
  <si>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</si>
  <si>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</si>
  <si>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</si>
  <si>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</si>
  <si>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</si>
  <si>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</si>
  <si>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</si>
  <si>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</si>
  <si>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</si>
  <si>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</si>
  <si>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</si>
  <si>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</si>
  <si>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</si>
  <si>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</si>
  <si>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</si>
  <si>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</si>
  <si>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</si>
  <si>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</si>
  <si>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</si>
  <si>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</si>
  <si>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</si>
  <si>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</si>
  <si>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</si>
  <si>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</si>
  <si>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</si>
  <si>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</si>
  <si>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</si>
  <si>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</si>
  <si>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</si>
  <si>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</si>
  <si>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</si>
  <si>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</si>
  <si>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</si>
  <si>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</si>
  <si>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</si>
  <si>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</si>
  <si>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</si>
  <si>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</si>
  <si>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</si>
  <si>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</si>
  <si>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</si>
  <si>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</si>
  <si>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</si>
  <si>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</si>
  <si>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</si>
  <si>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</si>
  <si>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</si>
  <si>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</si>
  <si>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</si>
  <si>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</si>
  <si>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</si>
  <si>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</si>
  <si>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</si>
  <si>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</si>
  <si>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</si>
  <si>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</si>
  <si>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</si>
  <si>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</si>
  <si>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</si>
  <si>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</si>
  <si>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</si>
  <si>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</si>
  <si>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</si>
  <si>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</si>
  <si>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</si>
  <si>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</si>
  <si>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</si>
  <si>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</si>
  <si>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</si>
  <si>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</si>
  <si>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</si>
  <si>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</si>
  <si>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</si>
  <si>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</si>
  <si>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</si>
  <si>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</si>
  <si>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</si>
  <si>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</si>
  <si>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</si>
  <si>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</si>
  <si>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</si>
  <si>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</si>
  <si>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</si>
  <si>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</si>
  <si>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</si>
  <si>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</si>
  <si>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</si>
  <si>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</si>
  <si>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</si>
  <si>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</si>
  <si>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</si>
  <si>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</si>
  <si>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</si>
  <si>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</si>
  <si>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</si>
  <si>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</si>
  <si>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</si>
  <si>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</si>
  <si>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</si>
  <si>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</si>
  <si>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</si>
  <si>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</si>
  <si>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</si>
  <si>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</si>
  <si>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</si>
  <si>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</si>
  <si>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</si>
  <si>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</si>
  <si>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</si>
  <si>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</si>
  <si>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</si>
  <si>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</si>
  <si>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</si>
  <si>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</si>
  <si>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</si>
  <si>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</si>
  <si>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</si>
  <si>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</si>
  <si>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</si>
  <si>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</si>
  <si>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</si>
  <si>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</si>
  <si>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</si>
  <si>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</si>
  <si>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</si>
  <si>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</si>
  <si>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</si>
  <si>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</si>
  <si>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</si>
  <si>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</si>
  <si>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</si>
  <si>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</si>
  <si>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</si>
  <si>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</si>
  <si>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</si>
  <si>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</si>
  <si>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</si>
  <si>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</si>
  <si>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</si>
  <si>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</si>
  <si>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</si>
  <si>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</si>
  <si>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</si>
  <si>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</si>
  <si>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</si>
  <si>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</si>
  <si>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</si>
  <si>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</si>
  <si>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</si>
  <si>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</si>
  <si>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</si>
  <si>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</si>
  <si>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</si>
  <si>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</si>
  <si>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</si>
  <si>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</si>
  <si>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</si>
  <si>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</si>
  <si>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</si>
  <si>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</si>
  <si>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</si>
  <si>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</si>
  <si>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</si>
  <si>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</si>
  <si>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</si>
  <si>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</si>
  <si>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</si>
  <si>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</si>
  <si>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</si>
  <si>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</si>
  <si>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</si>
  <si>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</si>
  <si>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</si>
  <si>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</si>
  <si>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</si>
  <si>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</si>
  <si>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</si>
  <si>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</si>
  <si>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</si>
  <si>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</si>
  <si>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</si>
  <si>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</si>
  <si>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</si>
  <si>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</si>
  <si>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</si>
  <si>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</si>
  <si>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</si>
  <si>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</si>
  <si>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</si>
  <si>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</si>
  <si>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</si>
  <si>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</si>
  <si>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</si>
  <si>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</si>
  <si>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</si>
  <si>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</si>
  <si>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</si>
  <si>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</si>
  <si>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</si>
  <si>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</si>
  <si>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</si>
  <si>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</si>
  <si>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</si>
  <si>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</si>
  <si>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</si>
  <si>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</si>
  <si>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</si>
  <si>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</si>
  <si>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</si>
  <si>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</si>
  <si>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</si>
  <si>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</si>
  <si>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</si>
  <si>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</si>
  <si>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</si>
  <si>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</si>
  <si>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</si>
  <si>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</si>
  <si>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</si>
  <si>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</si>
  <si>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</si>
  <si>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</si>
  <si>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</si>
  <si>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</si>
  <si>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</si>
  <si>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</si>
  <si>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</si>
  <si>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</si>
  <si>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</si>
  <si>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</si>
  <si>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</si>
  <si>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</si>
  <si>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</si>
  <si>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</si>
  <si>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</si>
  <si>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</si>
  <si>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</si>
  <si>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</si>
  <si>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</si>
  <si>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</si>
  <si>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</si>
  <si>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</si>
  <si>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</si>
  <si>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</si>
  <si>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</si>
  <si>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</si>
  <si>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</si>
  <si>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</si>
  <si>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</si>
  <si>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</si>
  <si>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</si>
  <si>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</si>
  <si>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</si>
  <si>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</si>
  <si>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</si>
  <si>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</si>
  <si>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</si>
  <si>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</si>
  <si>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</si>
  <si>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</si>
  <si>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</si>
  <si>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</si>
  <si>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</si>
  <si>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</si>
  <si>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</si>
  <si>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</si>
  <si>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</si>
  <si>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</si>
  <si>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</si>
  <si>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</si>
  <si>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</si>
  <si>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</si>
  <si>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</si>
  <si>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</si>
  <si>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</si>
  <si>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</si>
  <si>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</si>
  <si>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</si>
  <si>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</si>
  <si>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</si>
  <si>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</si>
  <si>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Brian Maldonado</t>
  </si>
  <si>
    <t>Randy Robertson</t>
  </si>
  <si>
    <t>Linda Allen</t>
  </si>
  <si>
    <t>James Matthews</t>
  </si>
  <si>
    <t>Angela Newman</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</si>
  <si>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</si>
  <si>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</si>
  <si>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</si>
  <si>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</si>
  <si>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</si>
  <si>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</si>
  <si>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</si>
  <si>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</si>
  <si>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</si>
  <si>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</si>
  <si>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</si>
  <si>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</si>
  <si>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</si>
  <si>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</si>
  <si>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</si>
  <si>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</si>
  <si>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</si>
  <si>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</si>
  <si>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</si>
  <si>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</si>
  <si>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</si>
  <si>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</si>
  <si>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Jacob Morris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</si>
  <si>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</si>
  <si>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</si>
  <si>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</si>
  <si>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</si>
  <si>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</si>
  <si>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</si>
  <si>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</si>
  <si>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</si>
  <si>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</si>
  <si>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</si>
  <si>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</si>
  <si>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</si>
  <si>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</si>
  <si>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</si>
  <si>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</si>
  <si>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</si>
  <si>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</si>
  <si>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</si>
  <si>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</si>
  <si>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</si>
  <si>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</si>
  <si>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</si>
  <si>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</si>
  <si>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</si>
  <si>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</si>
  <si>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</si>
  <si>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</si>
  <si>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</si>
  <si>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</si>
  <si>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</si>
  <si>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</si>
  <si>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</si>
  <si>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</si>
  <si>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</si>
  <si>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</si>
  <si>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</si>
  <si>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</si>
  <si>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</si>
  <si>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</si>
  <si>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</si>
  <si>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</si>
  <si>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</si>
  <si>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</si>
  <si>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</si>
  <si>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</si>
  <si>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</si>
  <si>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</si>
  <si>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</si>
  <si>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Dalton Logan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</si>
  <si>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</si>
  <si>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</si>
  <si>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</si>
  <si>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</si>
  <si>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</si>
  <si>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</si>
  <si>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</si>
  <si>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</si>
  <si>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</si>
  <si>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</si>
  <si>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</si>
  <si>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</si>
  <si>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</si>
  <si>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</si>
  <si>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</si>
  <si>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</si>
  <si>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</si>
  <si>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</si>
  <si>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</si>
  <si>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</si>
  <si>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</si>
  <si>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</si>
  <si>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</si>
  <si>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</si>
  <si>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</si>
  <si>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</si>
  <si>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</si>
  <si>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</si>
  <si>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</si>
  <si>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</si>
  <si>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</si>
  <si>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</si>
  <si>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</si>
  <si>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</si>
  <si>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</si>
  <si>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</si>
  <si>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</si>
  <si>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</si>
  <si>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</si>
  <si>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</si>
  <si>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</si>
  <si>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</si>
  <si>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</si>
  <si>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</si>
  <si>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</si>
  <si>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Kimberly Gomez</t>
  </si>
  <si>
    <t>Mark Mendoza</t>
  </si>
  <si>
    <t>Edwin Brennan</t>
  </si>
  <si>
    <t>Jennifer Olsen</t>
  </si>
  <si>
    <t>Heather Gordon</t>
  </si>
  <si>
    <t>Gary Simon</t>
  </si>
  <si>
    <t>Dr. Daniel Sanchez</t>
  </si>
  <si>
    <t>Taylor Duran</t>
  </si>
  <si>
    <t>Michelle French</t>
  </si>
  <si>
    <t>Wesley Brown</t>
  </si>
  <si>
    <t>Ryan Taylor</t>
  </si>
  <si>
    <t>Catherine Brock</t>
  </si>
  <si>
    <t>David Stuart</t>
  </si>
  <si>
    <t>Ryan Griffin</t>
  </si>
  <si>
    <t>Mr. 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</si>
  <si>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</si>
  <si>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</si>
  <si>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</si>
  <si>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</si>
  <si>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</si>
  <si>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</si>
  <si>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</si>
  <si>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</si>
  <si>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</si>
  <si>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</si>
  <si>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</si>
  <si>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</si>
  <si>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</si>
  <si>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</si>
  <si>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</si>
  <si>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</si>
  <si>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Anthony Kent</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</si>
  <si>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</si>
  <si>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</si>
  <si>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</si>
  <si>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</si>
  <si>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</si>
  <si>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</si>
  <si>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</si>
  <si>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</si>
  <si>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</si>
  <si>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</si>
  <si>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</si>
  <si>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</si>
  <si>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</si>
  <si>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</si>
  <si>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</si>
  <si>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</si>
  <si>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</si>
  <si>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</si>
  <si>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</si>
  <si>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</si>
  <si>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</si>
  <si>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</si>
  <si>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Michael Keller</t>
  </si>
  <si>
    <t>Justin Rose</t>
  </si>
  <si>
    <t>Ryan Becker</t>
  </si>
  <si>
    <t>Jessica Lara</t>
  </si>
  <si>
    <t>Sophia Fischer</t>
  </si>
  <si>
    <t>Tracy Taylor</t>
  </si>
  <si>
    <t>Mark Silva</t>
  </si>
  <si>
    <t>Johnny Berg</t>
  </si>
  <si>
    <t>Christine Cox</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</si>
  <si>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</si>
  <si>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</si>
  <si>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</si>
  <si>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</si>
  <si>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</si>
  <si>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</si>
  <si>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</si>
  <si>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</si>
  <si>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</si>
  <si>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</si>
  <si>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</si>
  <si>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</si>
  <si>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</si>
  <si>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</si>
  <si>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</si>
  <si>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</si>
  <si>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</si>
  <si>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</si>
  <si>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</si>
  <si>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</si>
  <si>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</si>
  <si>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</si>
  <si>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</si>
  <si>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</si>
  <si>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</si>
  <si>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</si>
  <si>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Ms. 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</si>
  <si>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</si>
  <si>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</si>
  <si>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</si>
  <si>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</si>
  <si>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</si>
  <si>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</si>
  <si>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</si>
  <si>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</si>
  <si>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</si>
  <si>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</si>
  <si>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</si>
  <si>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</si>
  <si>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</si>
  <si>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</si>
  <si>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</si>
  <si>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</si>
  <si>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</si>
  <si>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</si>
  <si>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</si>
  <si>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</si>
  <si>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Mr. 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</si>
  <si>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</si>
  <si>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</si>
  <si>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</si>
  <si>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</si>
  <si>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</si>
  <si>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</si>
  <si>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</si>
  <si>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</si>
  <si>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</si>
  <si>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</si>
  <si>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</si>
  <si>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</si>
  <si>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</si>
  <si>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</si>
  <si>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</si>
  <si>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</si>
  <si>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</si>
  <si>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</si>
  <si>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</si>
  <si>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</si>
  <si>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</si>
  <si>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</si>
  <si>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</si>
  <si>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Dustin Blackburn</t>
  </si>
  <si>
    <t>Richard Anderson</t>
  </si>
  <si>
    <t>Richard Santiago</t>
  </si>
  <si>
    <t>William Reyes</t>
  </si>
  <si>
    <t>Lisa Moss</t>
  </si>
  <si>
    <t>Patrick Chen</t>
  </si>
  <si>
    <t>David Wilson</t>
  </si>
  <si>
    <t>Cynthia Mullen</t>
  </si>
  <si>
    <t>Sandra Jensen</t>
  </si>
  <si>
    <t>John Sanders</t>
  </si>
  <si>
    <t>Shannon Lee</t>
  </si>
  <si>
    <t>Ruth Bennett</t>
  </si>
  <si>
    <t>Jack Romero</t>
  </si>
  <si>
    <t>Glen Anderson</t>
  </si>
  <si>
    <t>Robert Hunter DDS</t>
  </si>
  <si>
    <t>Michael Sullivan</t>
  </si>
  <si>
    <t>Martin White</t>
  </si>
  <si>
    <t>Emma Sharp</t>
  </si>
  <si>
    <t>Dr. Brandi Stone</t>
  </si>
  <si>
    <t>Roger Hall</t>
  </si>
  <si>
    <t>Roberta Thompson</t>
  </si>
  <si>
    <t>Jacqueline Ward</t>
  </si>
  <si>
    <t>Mrs. Denise Solis DDS</t>
  </si>
  <si>
    <t>Matthew Barajas</t>
  </si>
  <si>
    <t>Jeffery Hoover</t>
  </si>
  <si>
    <t>Johnny George</t>
  </si>
  <si>
    <t>Pamela Johnson</t>
  </si>
  <si>
    <t>Gregory Palmer</t>
  </si>
  <si>
    <t>Douglas Lane</t>
  </si>
  <si>
    <t>April Delgado</t>
  </si>
  <si>
    <t>Felicia Fox</t>
  </si>
  <si>
    <t>Tammy Deleon</t>
  </si>
  <si>
    <t>Maria Krueger</t>
  </si>
  <si>
    <t>Grant Juarez</t>
  </si>
  <si>
    <t>Brandon Davis</t>
  </si>
  <si>
    <t>Thomas Hawkins</t>
  </si>
  <si>
    <t>Dr. Emily Thomas</t>
  </si>
  <si>
    <t>Kendra Herman</t>
  </si>
  <si>
    <t>Karen Hunt</t>
  </si>
  <si>
    <t>Lisa Moore</t>
  </si>
  <si>
    <t>Brian Lara</t>
  </si>
  <si>
    <t>Zachary Lee</t>
  </si>
  <si>
    <t>Robert Smith</t>
  </si>
  <si>
    <t>Brian Robinson</t>
  </si>
  <si>
    <t>Mark Robertson</t>
  </si>
  <si>
    <t>Heather Campbell</t>
  </si>
  <si>
    <t>Angela Lopez</t>
  </si>
  <si>
    <t>Renee Moss</t>
  </si>
  <si>
    <t>Kevin Larson</t>
  </si>
  <si>
    <t>Michael Williams</t>
  </si>
  <si>
    <t>Jo King</t>
  </si>
  <si>
    <t>Jonathan Harris</t>
  </si>
  <si>
    <t>Dennis Jacobs</t>
  </si>
  <si>
    <t>Kelly Dixon</t>
  </si>
  <si>
    <t>Danielle Love</t>
  </si>
  <si>
    <t>Mrs. 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</si>
  <si>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</si>
  <si>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</si>
  <si>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</si>
  <si>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</si>
  <si>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</si>
  <si>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</si>
  <si>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</si>
  <si>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</si>
  <si>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</si>
  <si>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</si>
  <si>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</si>
  <si>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</si>
  <si>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</si>
  <si>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</si>
  <si>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</si>
  <si>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</si>
  <si>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</si>
  <si>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Rhonda Rodriguez</t>
  </si>
  <si>
    <t>Christopher Cabrera</t>
  </si>
  <si>
    <t>Michael Barnes</t>
  </si>
  <si>
    <t>Eric Carter</t>
  </si>
  <si>
    <t>Justin Wright</t>
  </si>
  <si>
    <t>Kristen Vasquez</t>
  </si>
  <si>
    <t>James Snyder</t>
  </si>
  <si>
    <t>Maureen Adams</t>
  </si>
  <si>
    <t>Elizabeth Walker</t>
  </si>
  <si>
    <t>Ashley Malone</t>
  </si>
  <si>
    <t>Joshua Mendoza</t>
  </si>
  <si>
    <t>Amy Hampton</t>
  </si>
  <si>
    <t>Kelly Diaz</t>
  </si>
  <si>
    <t>Mr. Nathaniel Cox</t>
  </si>
  <si>
    <t>Ms. 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</si>
  <si>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</si>
  <si>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</si>
  <si>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</si>
  <si>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</si>
  <si>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</si>
  <si>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</si>
  <si>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</si>
  <si>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</si>
  <si>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</si>
  <si>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</si>
  <si>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</si>
  <si>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</si>
  <si>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</si>
  <si>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</si>
  <si>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</si>
  <si>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</si>
  <si>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</si>
  <si>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</si>
  <si>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</si>
  <si>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</si>
  <si>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</si>
  <si>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</si>
  <si>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</si>
  <si>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</si>
  <si>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</si>
  <si>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</si>
  <si>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</si>
  <si>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</si>
  <si>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</si>
  <si>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</si>
  <si>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</si>
  <si>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</si>
  <si>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</si>
  <si>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Mrs. Deborah Boone</t>
  </si>
  <si>
    <t>Sonya Mendoza</t>
  </si>
  <si>
    <t>Jennifer Sullivan</t>
  </si>
  <si>
    <t>Jessica Jones</t>
  </si>
  <si>
    <t>Denise Mcconnell</t>
  </si>
  <si>
    <t>Madison Joseph</t>
  </si>
  <si>
    <t>Michael Bradshaw</t>
  </si>
  <si>
    <t>David Powers</t>
  </si>
  <si>
    <t>Ricardo Davis</t>
  </si>
  <si>
    <t>Maurice Reynolds</t>
  </si>
  <si>
    <t>Mark Williams</t>
  </si>
  <si>
    <t>Mr. Daniel Knox</t>
  </si>
  <si>
    <t>Mary Diaz</t>
  </si>
  <si>
    <t>Tonya Kirby</t>
  </si>
  <si>
    <t>Amanda Holmes</t>
  </si>
  <si>
    <t>Kyle Wright II</t>
  </si>
  <si>
    <t>Brenda Rasmussen</t>
  </si>
  <si>
    <t>Brian Wilson</t>
  </si>
  <si>
    <t>Ross Wilson</t>
  </si>
  <si>
    <t>Dr. 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</si>
  <si>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</si>
  <si>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</si>
  <si>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</si>
  <si>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</si>
  <si>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</si>
  <si>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</si>
  <si>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</si>
  <si>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</si>
  <si>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</si>
  <si>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</si>
  <si>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</si>
  <si>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</si>
  <si>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</si>
  <si>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</si>
  <si>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</si>
  <si>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</si>
  <si>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</si>
  <si>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</si>
  <si>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</si>
  <si>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</si>
  <si>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</si>
  <si>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</si>
  <si>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</si>
  <si>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</si>
  <si>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</si>
  <si>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</si>
  <si>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</si>
  <si>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</si>
  <si>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</si>
  <si>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</si>
  <si>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</si>
  <si>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</si>
  <si>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</si>
  <si>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</si>
  <si>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</si>
  <si>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</si>
  <si>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</si>
  <si>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</si>
  <si>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</si>
  <si>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</si>
  <si>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</si>
  <si>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</si>
  <si>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</si>
  <si>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</si>
  <si>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</si>
  <si>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</si>
  <si>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</si>
  <si>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</si>
  <si>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</si>
  <si>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Miss Angela Webb</t>
  </si>
  <si>
    <t>Sean Smith</t>
  </si>
  <si>
    <t>James Brown</t>
  </si>
  <si>
    <t>Paula Robinson</t>
  </si>
  <si>
    <t>Jonathan Melton</t>
  </si>
  <si>
    <t>Deanna Ortiz</t>
  </si>
  <si>
    <t>Janet Murray MD</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</si>
  <si>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</si>
  <si>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</si>
  <si>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</si>
  <si>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</si>
  <si>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</si>
  <si>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</si>
  <si>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</si>
  <si>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</si>
  <si>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</si>
  <si>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</si>
  <si>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</si>
  <si>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</si>
  <si>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</si>
  <si>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</si>
  <si>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</si>
  <si>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</si>
  <si>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</si>
  <si>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</si>
  <si>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</si>
  <si>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</si>
  <si>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</si>
  <si>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</si>
  <si>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</si>
  <si>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</si>
  <si>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</si>
  <si>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</si>
  <si>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</si>
  <si>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</si>
  <si>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</si>
  <si>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</si>
  <si>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</si>
  <si>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</si>
  <si>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</si>
  <si>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</si>
  <si>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</si>
  <si>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</si>
  <si>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</si>
  <si>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</si>
  <si>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</si>
  <si>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</si>
  <si>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</si>
  <si>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</si>
  <si>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</si>
  <si>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</si>
  <si>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</si>
  <si>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</si>
  <si>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</si>
  <si>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</si>
  <si>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</si>
  <si>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</si>
  <si>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</si>
  <si>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</si>
  <si>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</si>
  <si>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</si>
  <si>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</si>
  <si>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</si>
  <si>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</si>
  <si>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 PhD</t>
  </si>
  <si>
    <t>Matthew Gibson</t>
  </si>
  <si>
    <t>Laura Anderson</t>
  </si>
  <si>
    <t>David Perry</t>
  </si>
  <si>
    <t>Gabriel Brooks</t>
  </si>
  <si>
    <t>Adam Villarreal</t>
  </si>
  <si>
    <t>Todd Edwards</t>
  </si>
  <si>
    <t>David Hanson</t>
  </si>
  <si>
    <t>Tracy Thomas</t>
  </si>
  <si>
    <t>Vanessa Hale</t>
  </si>
  <si>
    <t>Kelly Scott</t>
  </si>
  <si>
    <t>Nicole Adkins</t>
  </si>
  <si>
    <t>Larry Kent</t>
  </si>
  <si>
    <t>Nicole Munoz MD</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</si>
  <si>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</si>
  <si>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</si>
  <si>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</si>
  <si>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</si>
  <si>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</si>
  <si>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</si>
  <si>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</si>
  <si>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</si>
  <si>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</si>
  <si>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</si>
  <si>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</si>
  <si>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</si>
  <si>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</si>
  <si>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</si>
  <si>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</si>
  <si>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</si>
  <si>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</si>
  <si>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</si>
  <si>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</si>
  <si>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</si>
  <si>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Mr. John Carroll Jr.</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</si>
  <si>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</si>
  <si>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</si>
  <si>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</si>
  <si>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</si>
  <si>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</si>
  <si>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</si>
  <si>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</si>
  <si>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</si>
  <si>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</si>
  <si>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</si>
  <si>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</si>
  <si>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</si>
  <si>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</si>
  <si>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</si>
  <si>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</si>
  <si>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</si>
  <si>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</si>
  <si>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</si>
  <si>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</si>
  <si>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</si>
  <si>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</si>
  <si>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</si>
  <si>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</si>
  <si>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</si>
  <si>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</si>
  <si>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</si>
  <si>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</si>
  <si>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</si>
  <si>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</si>
  <si>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</si>
  <si>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 MD</t>
  </si>
  <si>
    <t>Steven Gutierrez</t>
  </si>
  <si>
    <t>Amy Ramsey</t>
  </si>
  <si>
    <t>Kimberly Morgan</t>
  </si>
  <si>
    <t>Matthew Mcgee</t>
  </si>
  <si>
    <t>Monica Jackson</t>
  </si>
  <si>
    <t>Richard Chandler</t>
  </si>
  <si>
    <t>Ricardo Jordan</t>
  </si>
  <si>
    <t>Ashley Nielsen</t>
  </si>
  <si>
    <t>Stephen Lynn</t>
  </si>
  <si>
    <t>Mr. Anthony Williams MD</t>
  </si>
  <si>
    <t>Heather Zimmerman</t>
  </si>
  <si>
    <t>Amy Cook</t>
  </si>
  <si>
    <t>Courtney Brown</t>
  </si>
  <si>
    <t>Willie Barron</t>
  </si>
  <si>
    <t>Dr. Joseph Guzman MD</t>
  </si>
  <si>
    <t>Amy Parker</t>
  </si>
  <si>
    <t>Justin Dougherty</t>
  </si>
  <si>
    <t>Luis Turner</t>
  </si>
  <si>
    <t>Cindy Marsh</t>
  </si>
  <si>
    <t>Eduardo Hardy</t>
  </si>
  <si>
    <t>Brandon Mccormick</t>
  </si>
  <si>
    <t>Brenda Graham</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</si>
  <si>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</si>
  <si>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</si>
  <si>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</si>
  <si>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</si>
  <si>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</si>
  <si>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</si>
  <si>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</si>
  <si>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</si>
  <si>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</si>
  <si>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</si>
  <si>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</si>
  <si>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</si>
  <si>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</si>
  <si>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Kristen Gutierrez</t>
  </si>
  <si>
    <t>Michael Kennedy</t>
  </si>
  <si>
    <t>Andrea Ryan</t>
  </si>
  <si>
    <t>Stephanie Mccormick</t>
  </si>
  <si>
    <t>Jennifer Rich</t>
  </si>
  <si>
    <t>George Bonilla</t>
  </si>
  <si>
    <t>Laurie Stephens</t>
  </si>
  <si>
    <t>Randall Chapman</t>
  </si>
  <si>
    <t>Tammy Jennings</t>
  </si>
  <si>
    <t>Amanda Williams</t>
  </si>
  <si>
    <t>Michael Logan</t>
  </si>
  <si>
    <t>James Gilbert</t>
  </si>
  <si>
    <t>Cynthia Hopkins</t>
  </si>
  <si>
    <t>Sandra Simmons</t>
  </si>
  <si>
    <t>Lori Bush</t>
  </si>
  <si>
    <t>Sarah Ortiz</t>
  </si>
  <si>
    <t>Sheila Miller</t>
  </si>
  <si>
    <t>Sara Dillon</t>
  </si>
  <si>
    <t>Nancy Wood</t>
  </si>
  <si>
    <t>Annette Campbell</t>
  </si>
  <si>
    <t>Cheryl Roberts</t>
  </si>
  <si>
    <t>Darlene Cervantes</t>
  </si>
  <si>
    <t>Emily Chambers</t>
  </si>
  <si>
    <t>Jacob Curry</t>
  </si>
  <si>
    <t>Sandra Fernandez</t>
  </si>
  <si>
    <t>Billy Smith</t>
  </si>
  <si>
    <t>Douglas Rhodes</t>
  </si>
  <si>
    <t>Paul Kennedy</t>
  </si>
  <si>
    <t>James Spencer</t>
  </si>
  <si>
    <t>John Mora Jr.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</si>
  <si>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</si>
  <si>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</si>
  <si>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</si>
  <si>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</si>
  <si>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</si>
  <si>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</si>
  <si>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</si>
  <si>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</si>
  <si>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</si>
  <si>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</si>
  <si>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</si>
  <si>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</si>
  <si>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</si>
  <si>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</si>
  <si>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</si>
  <si>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</si>
  <si>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</si>
  <si>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</si>
  <si>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</si>
  <si>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</si>
  <si>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</si>
  <si>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</si>
  <si>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</si>
  <si>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</si>
  <si>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</si>
  <si>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</si>
  <si>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</si>
  <si>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</si>
  <si>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</si>
  <si>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</si>
  <si>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</si>
  <si>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</si>
  <si>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</si>
  <si>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</si>
  <si>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</si>
  <si>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</si>
  <si>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</si>
  <si>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</si>
  <si>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</si>
  <si>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</si>
  <si>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</si>
  <si>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</si>
  <si>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</si>
  <si>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</si>
  <si>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</si>
  <si>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Raymond Hernandez</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</si>
  <si>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</si>
  <si>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</si>
  <si>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</si>
  <si>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</si>
  <si>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</si>
  <si>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</si>
  <si>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</si>
  <si>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</si>
  <si>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</si>
  <si>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</si>
  <si>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</si>
  <si>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</si>
  <si>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Samantha Richards</t>
  </si>
  <si>
    <t>Zachary Macdonald</t>
  </si>
  <si>
    <t>Regina Rodriguez</t>
  </si>
  <si>
    <t>Nathan Hendrix</t>
  </si>
  <si>
    <t>Joshua Blake</t>
  </si>
  <si>
    <t>Kelly Juarez</t>
  </si>
  <si>
    <t>David Wood</t>
  </si>
  <si>
    <t>Lisa Ford</t>
  </si>
  <si>
    <t>Robert Cline</t>
  </si>
  <si>
    <t>Louis Holt</t>
  </si>
  <si>
    <t>Mr. Alexander Costa Jr.</t>
  </si>
  <si>
    <t>Natalie Bernard</t>
  </si>
  <si>
    <t>Kelsey Hampton</t>
  </si>
  <si>
    <t>Anthony Daniels</t>
  </si>
  <si>
    <t>April Davis MD</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</si>
  <si>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</si>
  <si>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</si>
  <si>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</si>
  <si>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</si>
  <si>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</si>
  <si>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</si>
  <si>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</si>
  <si>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</si>
  <si>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</si>
  <si>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</si>
  <si>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</si>
  <si>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</si>
  <si>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</si>
  <si>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</si>
  <si>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</si>
  <si>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</si>
  <si>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</si>
  <si>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</si>
  <si>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</si>
  <si>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 Jr.</t>
  </si>
  <si>
    <t>Danielle Stevenson</t>
  </si>
  <si>
    <t>Richard Santos</t>
  </si>
  <si>
    <t>Clifford Deleon</t>
  </si>
  <si>
    <t>John Wu</t>
  </si>
  <si>
    <t>Lauren Cook</t>
  </si>
  <si>
    <t>Susan Mejia PhD</t>
  </si>
  <si>
    <t>Tyler Clark</t>
  </si>
  <si>
    <t>Julian Nielsen</t>
  </si>
  <si>
    <t>Jennifer Jordan</t>
  </si>
  <si>
    <t>Alan Carpenter</t>
  </si>
  <si>
    <t>Shirley Fuller</t>
  </si>
  <si>
    <t>Johnny Doyle</t>
  </si>
  <si>
    <t>Jennifer Ware</t>
  </si>
  <si>
    <t>Susan Morris</t>
  </si>
  <si>
    <t>Leslie Clark</t>
  </si>
  <si>
    <t>Christian Green</t>
  </si>
  <si>
    <t>Patricia Henderson</t>
  </si>
  <si>
    <t>Scott Sweeney</t>
  </si>
  <si>
    <t>Carmen Cline</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</si>
  <si>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</si>
  <si>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</si>
  <si>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</si>
  <si>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</si>
  <si>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</si>
  <si>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</si>
  <si>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</si>
  <si>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</si>
  <si>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</si>
  <si>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</si>
  <si>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</si>
  <si>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</si>
  <si>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</si>
  <si>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</si>
  <si>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</si>
  <si>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</si>
  <si>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</si>
  <si>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</si>
  <si>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</si>
  <si>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</si>
  <si>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</si>
  <si>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</si>
  <si>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</si>
  <si>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</si>
  <si>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 Jr.</t>
  </si>
  <si>
    <t>Mary Miller</t>
  </si>
  <si>
    <t>Nancy Chandler</t>
  </si>
  <si>
    <t>Sheryl Brown</t>
  </si>
  <si>
    <t>Amy Mcpherson</t>
  </si>
  <si>
    <t>Robin Rios</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</si>
  <si>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</si>
  <si>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</si>
  <si>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</si>
  <si>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</si>
  <si>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</si>
  <si>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</si>
  <si>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</si>
  <si>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</si>
  <si>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</si>
  <si>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</si>
  <si>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</si>
  <si>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</si>
  <si>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</si>
  <si>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Audrey Pittman</t>
  </si>
  <si>
    <t>Jeremy Booth</t>
  </si>
  <si>
    <t>Stephanie Ford</t>
  </si>
  <si>
    <t>Shawn Martinez</t>
  </si>
  <si>
    <t>Alexa Davis</t>
  </si>
  <si>
    <t>April Harrison</t>
  </si>
  <si>
    <t>April Ward</t>
  </si>
  <si>
    <t>Monique Brown</t>
  </si>
  <si>
    <t>Jessica Campbell</t>
  </si>
  <si>
    <t>Victor Peterson</t>
  </si>
  <si>
    <t>David Garcia MD</t>
  </si>
  <si>
    <t>Andrea Young</t>
  </si>
  <si>
    <t>Brian Garcia</t>
  </si>
  <si>
    <t>Amanda Smith</t>
  </si>
  <si>
    <t>Sharon Cain</t>
  </si>
  <si>
    <t>Dustin Skinner</t>
  </si>
  <si>
    <t>Timothy Thompson</t>
  </si>
  <si>
    <t>Christina Carter</t>
  </si>
  <si>
    <t>Mrs. Crystal Stokes</t>
  </si>
  <si>
    <t>Joseph Wilson</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</si>
  <si>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</si>
  <si>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</si>
  <si>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</si>
  <si>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</si>
  <si>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</si>
  <si>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</si>
  <si>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</si>
  <si>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</si>
  <si>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</si>
  <si>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</si>
  <si>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</si>
  <si>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</si>
  <si>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</si>
  <si>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</si>
  <si>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</si>
  <si>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</si>
  <si>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</si>
  <si>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</si>
  <si>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</si>
  <si>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</si>
  <si>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</si>
  <si>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</si>
  <si>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</si>
  <si>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</si>
  <si>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</si>
  <si>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</si>
  <si>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</si>
  <si>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</si>
  <si>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</si>
  <si>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</si>
  <si>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</si>
  <si>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</si>
  <si>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</si>
  <si>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</si>
  <si>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</si>
  <si>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</si>
  <si>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</si>
  <si>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</si>
  <si>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</si>
  <si>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</si>
  <si>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</si>
  <si>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</si>
  <si>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</si>
  <si>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</si>
  <si>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</si>
  <si>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</si>
  <si>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</si>
  <si>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</si>
  <si>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</si>
  <si>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</si>
  <si>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</si>
  <si>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Dr. Dawn Martin</t>
  </si>
  <si>
    <t>Jeanette Gordon</t>
  </si>
  <si>
    <t>Deborah Weber</t>
  </si>
  <si>
    <t>Eric Hoffman</t>
  </si>
  <si>
    <t>Diana Hall</t>
  </si>
  <si>
    <t>Amy Barker</t>
  </si>
  <si>
    <t>Danielle Davis</t>
  </si>
  <si>
    <t>Daniel Ray</t>
  </si>
  <si>
    <t>Renee Martinez</t>
  </si>
  <si>
    <t>Daniel Hamilton</t>
  </si>
  <si>
    <t>Debbie Wade</t>
  </si>
  <si>
    <t>Adrienne Anderson MD</t>
  </si>
  <si>
    <t>David Snyder</t>
  </si>
  <si>
    <t>Jennifer Palmer</t>
  </si>
  <si>
    <t>Amanda Pham</t>
  </si>
  <si>
    <t>Gary Andrade</t>
  </si>
  <si>
    <t>Austin Quinn</t>
  </si>
  <si>
    <t>Jim Strong</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</si>
  <si>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</si>
  <si>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</si>
  <si>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</si>
  <si>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</si>
  <si>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</si>
  <si>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</si>
  <si>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</si>
  <si>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</si>
  <si>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</si>
  <si>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</si>
  <si>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</si>
  <si>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</si>
  <si>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</si>
  <si>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</si>
  <si>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</si>
  <si>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Christopher Williams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</si>
  <si>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</si>
  <si>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</si>
  <si>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</si>
  <si>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</si>
  <si>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</si>
  <si>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</si>
  <si>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</si>
  <si>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</si>
  <si>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</si>
  <si>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</si>
  <si>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</si>
  <si>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</si>
  <si>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</si>
  <si>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</si>
  <si>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</si>
  <si>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</si>
  <si>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</si>
  <si>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</si>
  <si>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</si>
  <si>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</si>
  <si>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</si>
  <si>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</si>
  <si>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</si>
  <si>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</si>
  <si>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</si>
  <si>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</si>
  <si>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</si>
  <si>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</si>
  <si>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</si>
  <si>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</si>
  <si>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</si>
  <si>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</si>
  <si>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</si>
  <si>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</si>
  <si>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</si>
  <si>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Dr. Nicholas Martinez</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</si>
  <si>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</si>
  <si>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</si>
  <si>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</si>
  <si>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</si>
  <si>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</si>
  <si>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</si>
  <si>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</si>
  <si>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</si>
  <si>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</si>
  <si>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</si>
  <si>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</si>
  <si>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</si>
  <si>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</si>
  <si>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</si>
  <si>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</si>
  <si>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</si>
  <si>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</si>
  <si>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</si>
  <si>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</si>
  <si>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</si>
  <si>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</si>
  <si>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</si>
  <si>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</si>
  <si>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</si>
  <si>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</si>
  <si>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</si>
  <si>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</si>
  <si>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</si>
  <si>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</si>
  <si>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Lindsey Craig</t>
  </si>
  <si>
    <t>Kristin Scott</t>
  </si>
  <si>
    <t>Matthew Alvarez</t>
  </si>
  <si>
    <t>Andrea Cortez</t>
  </si>
  <si>
    <t>Heather Flores</t>
  </si>
  <si>
    <t>Jill Eaton</t>
  </si>
  <si>
    <t>Amy Potts</t>
  </si>
  <si>
    <t>Antonio Woods</t>
  </si>
  <si>
    <t>Cindy Zamora</t>
  </si>
  <si>
    <t>Amanda Day</t>
  </si>
  <si>
    <t>Miss Roberta Gonzalez MD</t>
  </si>
  <si>
    <t>Brian Taylor</t>
  </si>
  <si>
    <t>Mark Bonilla</t>
  </si>
  <si>
    <t>Carrie Larson</t>
  </si>
  <si>
    <t>Brian Howard</t>
  </si>
  <si>
    <t>Darren Bailey</t>
  </si>
  <si>
    <t>Wanda Medina</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</si>
  <si>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</si>
  <si>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</si>
  <si>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</si>
  <si>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</si>
  <si>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</si>
  <si>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</si>
  <si>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</si>
  <si>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</si>
  <si>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</si>
  <si>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</si>
  <si>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</si>
  <si>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</si>
  <si>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</si>
  <si>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</si>
  <si>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</si>
  <si>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</si>
  <si>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</si>
  <si>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</si>
  <si>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</si>
  <si>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</si>
  <si>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</si>
  <si>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</si>
  <si>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</si>
  <si>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</si>
  <si>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</si>
  <si>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</si>
  <si>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</si>
  <si>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</si>
  <si>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Dr. Jacqueline Henry</t>
  </si>
  <si>
    <t>Kathryn Green</t>
  </si>
  <si>
    <t>Ashley Miller</t>
  </si>
  <si>
    <t>Ricky Nelson</t>
  </si>
  <si>
    <t>Joshua Greer</t>
  </si>
  <si>
    <t>Nicholas Dennis</t>
  </si>
  <si>
    <t>Crystal Hubbard</t>
  </si>
  <si>
    <t>Jessica Garrett</t>
  </si>
  <si>
    <t>Randall Bruce</t>
  </si>
  <si>
    <t>Christopher Moore</t>
  </si>
  <si>
    <t>James Aguilar</t>
  </si>
  <si>
    <t>Mr. Wayne Fletcher DVM</t>
  </si>
  <si>
    <t>Yvonne Perez</t>
  </si>
  <si>
    <t>Michael Deleon</t>
  </si>
  <si>
    <t>Miss 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</si>
  <si>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</si>
  <si>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</si>
  <si>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</si>
  <si>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</si>
  <si>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</si>
  <si>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</si>
  <si>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</si>
  <si>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</si>
  <si>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</si>
  <si>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</si>
  <si>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</si>
  <si>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</si>
  <si>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</si>
  <si>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Kenneth Harris</t>
  </si>
  <si>
    <t>Jeffrey Cook</t>
  </si>
  <si>
    <t>Loretta Perry</t>
  </si>
  <si>
    <t>Shelley Olson</t>
  </si>
  <si>
    <t>Jason Tucker</t>
  </si>
  <si>
    <t>Dawn Perkins</t>
  </si>
  <si>
    <t>Cody Rogers</t>
  </si>
  <si>
    <t>Michael Freeman</t>
  </si>
  <si>
    <t>Kenneth Bennett</t>
  </si>
  <si>
    <t>Ryan Bowen</t>
  </si>
  <si>
    <t>Raymond Mcdonald</t>
  </si>
  <si>
    <t>Richard Alexander</t>
  </si>
  <si>
    <t>Tamara Hopkins</t>
  </si>
  <si>
    <t>Ashley Fernandez</t>
  </si>
  <si>
    <t>Christine Garcia</t>
  </si>
  <si>
    <t>Julie Grant</t>
  </si>
  <si>
    <t>Sharon Sharp</t>
  </si>
  <si>
    <t>Thomas Nielsen</t>
  </si>
  <si>
    <t>Michael Day</t>
  </si>
  <si>
    <t>James Thompson</t>
  </si>
  <si>
    <t>Jessica Wilkerson</t>
  </si>
  <si>
    <t>Brian Young</t>
  </si>
  <si>
    <t>Travis Watson</t>
  </si>
  <si>
    <t>Elizabeth Vargas</t>
  </si>
  <si>
    <t>Amy Garcia</t>
  </si>
  <si>
    <t>Jason Davis PhD</t>
  </si>
  <si>
    <t>Scott Stephenson</t>
  </si>
  <si>
    <t>Sally Morales</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</si>
  <si>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</si>
  <si>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</si>
  <si>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</si>
  <si>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</si>
  <si>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</si>
  <si>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</si>
  <si>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</si>
  <si>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</si>
  <si>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</si>
  <si>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</si>
  <si>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</si>
  <si>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</si>
  <si>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</si>
  <si>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</si>
  <si>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</si>
  <si>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</si>
  <si>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</si>
  <si>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Travis Thomas</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</si>
  <si>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</si>
  <si>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</si>
  <si>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</si>
  <si>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</si>
  <si>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</si>
  <si>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</si>
  <si>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</si>
  <si>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</si>
  <si>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</si>
  <si>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</si>
  <si>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</si>
  <si>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</si>
  <si>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</si>
  <si>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</si>
  <si>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</si>
  <si>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</si>
  <si>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</si>
  <si>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</si>
  <si>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</si>
  <si>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Catherine Good</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</si>
  <si>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</si>
  <si>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</si>
  <si>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</si>
  <si>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</si>
  <si>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</si>
  <si>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</si>
  <si>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</si>
  <si>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</si>
  <si>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</si>
  <si>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</si>
  <si>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</si>
  <si>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</si>
  <si>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</si>
  <si>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</si>
  <si>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</si>
  <si>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</si>
  <si>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</si>
  <si>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</si>
  <si>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</si>
  <si>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</si>
  <si>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</si>
  <si>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</si>
  <si>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</si>
  <si>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</si>
  <si>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</si>
  <si>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</si>
  <si>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</si>
  <si>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Laurie Potter</t>
  </si>
  <si>
    <t>Robyn Downs</t>
  </si>
  <si>
    <t>Sara Duffy</t>
  </si>
  <si>
    <t>Lisa Frederick</t>
  </si>
  <si>
    <t>John Kim</t>
  </si>
  <si>
    <t>Ashley Hernandez</t>
  </si>
  <si>
    <t>Toni Allison</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</si>
  <si>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</si>
  <si>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</si>
  <si>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</si>
  <si>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</si>
  <si>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</si>
  <si>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</si>
  <si>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</si>
  <si>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</si>
  <si>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</si>
  <si>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</si>
  <si>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</si>
  <si>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</si>
  <si>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</si>
  <si>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</si>
  <si>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Timothy Murphy</t>
  </si>
  <si>
    <t>Amanda Love</t>
  </si>
  <si>
    <t>Charles Friedman</t>
  </si>
  <si>
    <t>Jamie Wilkerson</t>
  </si>
  <si>
    <t>Joshua Wade</t>
  </si>
  <si>
    <t>Hailey Braun</t>
  </si>
  <si>
    <t>Lauren Kelley</t>
  </si>
  <si>
    <t>Nancy Palmer</t>
  </si>
  <si>
    <t>Tiffany Baker</t>
  </si>
  <si>
    <t>Jennifer Vargas</t>
  </si>
  <si>
    <t>Jeffrey Powell</t>
  </si>
  <si>
    <t>Jillian Castillo</t>
  </si>
  <si>
    <t>Mr. Robert Washington</t>
  </si>
  <si>
    <t>Nancy Carroll</t>
  </si>
  <si>
    <t>Christopher Terrell</t>
  </si>
  <si>
    <t>Erin Alvarado</t>
  </si>
  <si>
    <t>Brenda Williams</t>
  </si>
  <si>
    <t>Kendra James MD</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</si>
  <si>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</si>
  <si>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</si>
  <si>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</si>
  <si>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</si>
  <si>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</si>
  <si>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</si>
  <si>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</si>
  <si>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</si>
  <si>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</si>
  <si>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</si>
  <si>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</si>
  <si>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</si>
  <si>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</si>
  <si>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</si>
  <si>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</si>
  <si>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</si>
  <si>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</si>
  <si>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</si>
  <si>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</si>
  <si>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</si>
  <si>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</si>
  <si>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</si>
  <si>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</si>
  <si>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</si>
  <si>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</si>
  <si>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</si>
  <si>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</si>
  <si>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</si>
  <si>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</si>
  <si>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</si>
  <si>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</si>
  <si>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</si>
  <si>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</si>
  <si>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</si>
  <si>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</si>
  <si>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</si>
  <si>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</si>
  <si>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</si>
  <si>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</si>
  <si>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</si>
  <si>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</si>
  <si>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</si>
  <si>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</si>
  <si>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</si>
  <si>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</si>
  <si>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</si>
  <si>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</si>
  <si>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</si>
  <si>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</si>
  <si>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</si>
  <si>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</si>
  <si>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</si>
  <si>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</si>
  <si>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Walter Stanton</t>
  </si>
  <si>
    <t>Wendy Ellison</t>
  </si>
  <si>
    <t>Robert Gray</t>
  </si>
  <si>
    <t>Holly Mclean</t>
  </si>
  <si>
    <t>Rebekah Wolf</t>
  </si>
  <si>
    <t>Laura Hernandez</t>
  </si>
  <si>
    <t>Brandon Richmond</t>
  </si>
  <si>
    <t>Paul Thompson</t>
  </si>
  <si>
    <t>Tyler Curtis</t>
  </si>
  <si>
    <t>Mrs. Andrea Skinner MD</t>
  </si>
  <si>
    <t>Jeff Bowman</t>
  </si>
  <si>
    <t>Alexandra Perez</t>
  </si>
  <si>
    <t>Todd Lynch</t>
  </si>
  <si>
    <t>Alan Beard</t>
  </si>
  <si>
    <t>Stephanie Jensen</t>
  </si>
  <si>
    <t>Nicholas Morgan</t>
  </si>
  <si>
    <t>Mr. Kenneth Anderson</t>
  </si>
  <si>
    <t>Brian Craig</t>
  </si>
  <si>
    <t>Andrea West</t>
  </si>
  <si>
    <t>Sara Miller</t>
  </si>
  <si>
    <t>Steven Sharp</t>
  </si>
  <si>
    <t>Sandra Hudson</t>
  </si>
  <si>
    <t>Joseph Williams</t>
  </si>
  <si>
    <t>Brian Wells</t>
  </si>
  <si>
    <t>Justin Charles</t>
  </si>
  <si>
    <t>Hannah Allen</t>
  </si>
  <si>
    <t>Jennifer Hall</t>
  </si>
  <si>
    <t>Angela Carlson</t>
  </si>
  <si>
    <t>David Garner</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</si>
  <si>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</si>
  <si>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</si>
  <si>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</si>
  <si>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</si>
  <si>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</si>
  <si>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</si>
  <si>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</si>
  <si>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</si>
  <si>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</si>
  <si>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</si>
  <si>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</si>
  <si>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</si>
  <si>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</si>
  <si>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</si>
  <si>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Caroline Roth</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</si>
  <si>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</si>
  <si>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</si>
  <si>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</si>
  <si>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</si>
  <si>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</si>
  <si>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</si>
  <si>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</si>
  <si>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</si>
  <si>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</si>
  <si>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</si>
  <si>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</si>
  <si>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</si>
  <si>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</si>
  <si>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</si>
  <si>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</si>
  <si>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</si>
  <si>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</si>
  <si>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</si>
  <si>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</si>
  <si>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</si>
  <si>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</si>
  <si>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</si>
  <si>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Mike Velasquez</t>
  </si>
  <si>
    <t>Margaret Hall</t>
  </si>
  <si>
    <t>Robert Perry MD</t>
  </si>
  <si>
    <t>Wesley Lopez</t>
  </si>
  <si>
    <t>Mary Lopez</t>
  </si>
  <si>
    <t>Roger Bennett</t>
  </si>
  <si>
    <t>Ashley Manning</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</si>
  <si>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</si>
  <si>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</si>
  <si>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</si>
  <si>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</si>
  <si>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</si>
  <si>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</si>
  <si>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</si>
  <si>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</si>
  <si>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</si>
  <si>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</si>
  <si>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</si>
  <si>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</si>
  <si>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</si>
  <si>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</si>
  <si>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</si>
  <si>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</si>
  <si>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</si>
  <si>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</si>
  <si>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</si>
  <si>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</si>
  <si>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</si>
  <si>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</si>
  <si>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</si>
  <si>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</si>
  <si>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</si>
  <si>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</si>
  <si>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</si>
  <si>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</si>
  <si>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</si>
  <si>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</si>
  <si>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</si>
  <si>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</si>
  <si>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</si>
  <si>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</si>
  <si>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</si>
  <si>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</si>
  <si>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</si>
  <si>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</si>
  <si>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</si>
  <si>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</si>
  <si>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</si>
  <si>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</si>
  <si>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</si>
  <si>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</si>
  <si>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</si>
  <si>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</si>
  <si>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</si>
  <si>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</si>
  <si>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</si>
  <si>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</si>
  <si>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 DVM</t>
  </si>
  <si>
    <t>Briana Robles</t>
  </si>
  <si>
    <t>Erin Martin</t>
  </si>
  <si>
    <t>Jeffrey Wiggins</t>
  </si>
  <si>
    <t>Julie Welch MD</t>
  </si>
  <si>
    <t>Jennifer Leblanc</t>
  </si>
  <si>
    <t>James Case DDS</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</si>
  <si>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</si>
  <si>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</si>
  <si>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</si>
  <si>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</si>
  <si>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</si>
  <si>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</si>
  <si>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</si>
  <si>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</si>
  <si>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</si>
  <si>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</si>
  <si>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</si>
  <si>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</si>
  <si>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 PhD</t>
  </si>
  <si>
    <t>Jasmine Mcgee</t>
  </si>
  <si>
    <t>Karen Houston</t>
  </si>
  <si>
    <t>Suzanne Thomas</t>
  </si>
  <si>
    <t>Francisco Flowers</t>
  </si>
  <si>
    <t>Lisa Reid</t>
  </si>
  <si>
    <t>Kathy Tate</t>
  </si>
  <si>
    <t>Tara Rivas</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</si>
  <si>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</si>
  <si>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</si>
  <si>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</si>
  <si>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</si>
  <si>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</si>
  <si>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</si>
  <si>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</si>
  <si>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</si>
  <si>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</si>
  <si>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</si>
  <si>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</si>
  <si>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</si>
  <si>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</si>
  <si>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</si>
  <si>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</si>
  <si>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</si>
  <si>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</si>
  <si>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</si>
  <si>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</si>
  <si>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</si>
  <si>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</si>
  <si>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Morgan Sharp</t>
  </si>
  <si>
    <t>Nicholas Bryant</t>
  </si>
  <si>
    <t>Timothy Peterson</t>
  </si>
  <si>
    <t>Andrew Lopez</t>
  </si>
  <si>
    <t>Olivia Decker</t>
  </si>
  <si>
    <t>Albert Garcia</t>
  </si>
  <si>
    <t>Donald Simmons</t>
  </si>
  <si>
    <t>Cheryl Baker</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</si>
  <si>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</si>
  <si>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</si>
  <si>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</si>
  <si>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</si>
  <si>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</si>
  <si>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</si>
  <si>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</si>
  <si>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</si>
  <si>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</si>
  <si>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</si>
  <si>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</si>
  <si>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</si>
  <si>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</si>
  <si>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</si>
  <si>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</si>
  <si>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</si>
  <si>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</si>
  <si>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</si>
  <si>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</si>
  <si>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</si>
  <si>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</si>
  <si>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</si>
  <si>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</si>
  <si>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</si>
  <si>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</si>
  <si>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</si>
  <si>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</si>
  <si>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</si>
  <si>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</si>
  <si>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</si>
  <si>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</si>
  <si>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</si>
  <si>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</si>
  <si>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Preston Gomez</t>
  </si>
  <si>
    <t>Chelsea Singleton</t>
  </si>
  <si>
    <t>Molly Adams</t>
  </si>
  <si>
    <t>Mario Ponce</t>
  </si>
  <si>
    <t>Joel Martinez</t>
  </si>
  <si>
    <t>Carol Williams</t>
  </si>
  <si>
    <t>Angela Palmer</t>
  </si>
  <si>
    <t>Charles Morgan</t>
  </si>
  <si>
    <t>Jacob Taylor</t>
  </si>
  <si>
    <t>Adam Rowe</t>
  </si>
  <si>
    <t>Danielle Archer</t>
  </si>
  <si>
    <t>Alfred Harris</t>
  </si>
  <si>
    <t>Joel Johnson MD</t>
  </si>
  <si>
    <t>Amy Miller</t>
  </si>
  <si>
    <t>Alexandra Jones</t>
  </si>
  <si>
    <t>John Lee</t>
  </si>
  <si>
    <t>Brendan Martin</t>
  </si>
  <si>
    <t>James Olson</t>
  </si>
  <si>
    <t>Christina Simmons</t>
  </si>
  <si>
    <t>Tina Williams</t>
  </si>
  <si>
    <t>Julie Moon MD</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</si>
  <si>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</si>
  <si>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</si>
  <si>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</si>
  <si>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</si>
  <si>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</si>
  <si>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</si>
  <si>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</si>
  <si>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</si>
  <si>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</si>
  <si>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</si>
  <si>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</si>
  <si>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</si>
  <si>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</si>
  <si>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</si>
  <si>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</si>
  <si>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</si>
  <si>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</si>
  <si>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Robert Goodwin</t>
  </si>
  <si>
    <t>Amanda Mclaughlin</t>
  </si>
  <si>
    <t>Peter Merritt</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</si>
  <si>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</si>
  <si>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</si>
  <si>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</si>
  <si>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</si>
  <si>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</si>
  <si>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</si>
  <si>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</si>
  <si>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</si>
  <si>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</si>
  <si>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</si>
  <si>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</si>
  <si>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</si>
  <si>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</si>
  <si>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</si>
  <si>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</si>
  <si>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</si>
  <si>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</si>
  <si>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</si>
  <si>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</si>
  <si>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</si>
  <si>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</si>
  <si>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</si>
  <si>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</si>
  <si>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</si>
  <si>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</si>
  <si>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</si>
  <si>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Brittany Jones</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</si>
  <si>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</si>
  <si>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</si>
  <si>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</si>
  <si>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</si>
  <si>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</si>
  <si>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</si>
  <si>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</si>
  <si>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</si>
  <si>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</si>
  <si>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</si>
  <si>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</si>
  <si>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</si>
  <si>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</si>
  <si>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</si>
  <si>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</si>
  <si>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</si>
  <si>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Mason Ruiz</t>
  </si>
  <si>
    <t>Patrick Frye</t>
  </si>
  <si>
    <t>Heather Gibson</t>
  </si>
  <si>
    <t>Nicole Miller MD</t>
  </si>
  <si>
    <t>Megan Simpson</t>
  </si>
  <si>
    <t>Nathaniel Martin Jr.</t>
  </si>
  <si>
    <t>Melissa Fleming</t>
  </si>
  <si>
    <t>Mr. 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</si>
  <si>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</si>
  <si>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</si>
  <si>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</si>
  <si>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</si>
  <si>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</si>
  <si>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</si>
  <si>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</si>
  <si>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</si>
  <si>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</si>
  <si>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</si>
  <si>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</si>
  <si>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</si>
  <si>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</si>
  <si>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</si>
  <si>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</si>
  <si>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</si>
  <si>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</si>
  <si>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</si>
  <si>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</si>
  <si>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</si>
  <si>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</si>
  <si>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</si>
  <si>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</si>
  <si>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</si>
  <si>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</si>
  <si>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</si>
  <si>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</si>
  <si>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</si>
  <si>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</si>
  <si>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</si>
  <si>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</si>
  <si>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</si>
  <si>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</si>
  <si>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Benjamin Frye</t>
  </si>
  <si>
    <t>Frank Griffin</t>
  </si>
  <si>
    <t>Kenneth Griffith</t>
  </si>
  <si>
    <t>Rick Taylor</t>
  </si>
  <si>
    <t>Susan Barajas</t>
  </si>
  <si>
    <t>Randy Burke</t>
  </si>
  <si>
    <t>Thomas Martin</t>
  </si>
  <si>
    <t>Peggy Hill</t>
  </si>
  <si>
    <t>Charles Francis</t>
  </si>
  <si>
    <t>Tracy Mejia</t>
  </si>
  <si>
    <t>Miguel Edwards</t>
  </si>
  <si>
    <t>Jessica Hudson</t>
  </si>
  <si>
    <t>Mr. Mark Wolfe</t>
  </si>
  <si>
    <t>Mary Long</t>
  </si>
  <si>
    <t>Michael Pierce</t>
  </si>
  <si>
    <t>Paul Frederick</t>
  </si>
  <si>
    <t>Connie Meyer</t>
  </si>
  <si>
    <t>Christina Crawford</t>
  </si>
  <si>
    <t>Luis Flores</t>
  </si>
  <si>
    <t>Catherine Mendoza</t>
  </si>
  <si>
    <t>Matthew Thomas</t>
  </si>
  <si>
    <t>Ryan Porter</t>
  </si>
  <si>
    <t>Amy Kline</t>
  </si>
  <si>
    <t>Joel Chambers</t>
  </si>
  <si>
    <t>Joseph Gilmore MD</t>
  </si>
  <si>
    <t>Veronica Goodwin</t>
  </si>
  <si>
    <t>Eric Bridges</t>
  </si>
  <si>
    <t>Vickie Brown DDS</t>
  </si>
  <si>
    <t>Margaret Porter</t>
  </si>
  <si>
    <t>Whitney Nelson</t>
  </si>
  <si>
    <t>Karen Harmon</t>
  </si>
  <si>
    <t>Andrew Forbes</t>
  </si>
  <si>
    <t>David Chambers</t>
  </si>
  <si>
    <t>Alyssa Nichols</t>
  </si>
  <si>
    <t>Joshua Oconnor</t>
  </si>
  <si>
    <t>Edward Fischer</t>
  </si>
  <si>
    <t>Mark West PhD</t>
  </si>
  <si>
    <t>Stephanie Cook</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</si>
  <si>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</si>
  <si>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</si>
  <si>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</si>
  <si>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</si>
  <si>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</si>
  <si>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</si>
  <si>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</si>
  <si>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</si>
  <si>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</si>
  <si>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</si>
  <si>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</si>
  <si>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</si>
  <si>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</si>
  <si>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</si>
  <si>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</si>
  <si>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</si>
  <si>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</si>
  <si>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</si>
  <si>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</si>
  <si>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</si>
  <si>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</si>
  <si>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</si>
  <si>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</si>
  <si>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</si>
  <si>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</si>
  <si>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</si>
  <si>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</si>
  <si>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Wendy Sandoval</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</si>
  <si>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</si>
  <si>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</si>
  <si>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</si>
  <si>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</si>
  <si>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</si>
  <si>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</si>
  <si>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</si>
  <si>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</si>
  <si>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</si>
  <si>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</si>
  <si>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</si>
  <si>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</si>
  <si>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</si>
  <si>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</si>
  <si>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</si>
  <si>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</si>
  <si>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</si>
  <si>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</si>
  <si>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Robin Ortiz</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</si>
  <si>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</si>
  <si>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</si>
  <si>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</si>
  <si>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</si>
  <si>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</si>
  <si>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</si>
  <si>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</si>
  <si>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</si>
  <si>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</si>
  <si>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</si>
  <si>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</si>
  <si>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</si>
  <si>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Mr. David Green MD</t>
  </si>
  <si>
    <t>Jason Watson</t>
  </si>
  <si>
    <t>Tammy Smith</t>
  </si>
  <si>
    <t>David Gillespie</t>
  </si>
  <si>
    <t>Brittany Sweeney</t>
  </si>
  <si>
    <t>Michelle Kennedy</t>
  </si>
  <si>
    <t>Bryan Molina</t>
  </si>
  <si>
    <t>Cody Williams</t>
  </si>
  <si>
    <t>Kelly Henry</t>
  </si>
  <si>
    <t>Brian Clark</t>
  </si>
  <si>
    <t>Dale Palmer</t>
  </si>
  <si>
    <t>Sandra Ho</t>
  </si>
  <si>
    <t>Andrew Perry</t>
  </si>
  <si>
    <t>Jennifer Casey</t>
  </si>
  <si>
    <t>Jeffrey Dalton</t>
  </si>
  <si>
    <t>Nicholas Mclaughlin</t>
  </si>
  <si>
    <t>Juan Morris</t>
  </si>
  <si>
    <t>Patrick Olson</t>
  </si>
  <si>
    <t>Yvonne Gibbs</t>
  </si>
  <si>
    <t>Monique Robles</t>
  </si>
  <si>
    <t>Melissa Davila</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</si>
  <si>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</si>
  <si>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</si>
  <si>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</si>
  <si>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</si>
  <si>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</si>
  <si>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</si>
  <si>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</si>
  <si>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</si>
  <si>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</si>
  <si>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</si>
  <si>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</si>
  <si>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</si>
  <si>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</si>
  <si>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</si>
  <si>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</si>
  <si>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</si>
  <si>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</si>
  <si>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</si>
  <si>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</si>
  <si>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</si>
  <si>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</si>
  <si>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</si>
  <si>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</si>
  <si>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</si>
  <si>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</si>
  <si>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</si>
  <si>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</si>
  <si>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</si>
  <si>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</si>
  <si>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Brandi Walker</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</si>
  <si>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</si>
  <si>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</si>
  <si>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</si>
  <si>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</si>
  <si>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</si>
  <si>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</si>
  <si>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</si>
  <si>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</si>
  <si>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</si>
  <si>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</si>
  <si>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</si>
  <si>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</si>
  <si>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</si>
  <si>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</si>
  <si>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</si>
  <si>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</si>
  <si>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</si>
  <si>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William Johnson</t>
  </si>
  <si>
    <t>Henry Bryan</t>
  </si>
  <si>
    <t>Melanie Wolf</t>
  </si>
  <si>
    <t>Tammy Hatfield</t>
  </si>
  <si>
    <t>Erin Beck</t>
  </si>
  <si>
    <t>Sandra Patrick</t>
  </si>
  <si>
    <t>Alan Hall</t>
  </si>
  <si>
    <t>Cathy Zamora</t>
  </si>
  <si>
    <t>Jennifer Fowler</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</si>
  <si>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</si>
  <si>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</si>
  <si>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</si>
  <si>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</si>
  <si>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</si>
  <si>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</si>
  <si>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</si>
  <si>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</si>
  <si>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</si>
  <si>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</si>
  <si>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</si>
  <si>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</si>
  <si>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</si>
  <si>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</si>
  <si>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 DDS</t>
  </si>
  <si>
    <t>Benjamin Jenkins</t>
  </si>
  <si>
    <t>Amanda Simmons</t>
  </si>
  <si>
    <t>Kevin Carson</t>
  </si>
  <si>
    <t>Wendy Coleman</t>
  </si>
  <si>
    <t>Jessica Bradley</t>
  </si>
  <si>
    <t>Michelle Clayton</t>
  </si>
  <si>
    <t>Gregory Mitchell</t>
  </si>
  <si>
    <t>Justin Frye</t>
  </si>
  <si>
    <t>Julia Campbell</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</si>
  <si>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</si>
  <si>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</si>
  <si>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</si>
  <si>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</si>
  <si>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</si>
  <si>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</si>
  <si>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</si>
  <si>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</si>
  <si>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</si>
  <si>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</si>
  <si>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</si>
  <si>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</si>
  <si>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</si>
  <si>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</si>
  <si>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</si>
  <si>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 DDS</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</si>
  <si>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</si>
  <si>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</si>
  <si>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</si>
  <si>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</si>
  <si>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</si>
  <si>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</si>
  <si>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</si>
  <si>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</si>
  <si>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</si>
  <si>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</si>
  <si>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</si>
  <si>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</si>
  <si>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 MD</t>
  </si>
  <si>
    <t>Shawn Campbell</t>
  </si>
  <si>
    <t>Andrew Berger</t>
  </si>
  <si>
    <t>Scott Hernandez</t>
  </si>
  <si>
    <t>Zachary Price</t>
  </si>
  <si>
    <t>Adrian Cross</t>
  </si>
  <si>
    <t>Katie Ryan</t>
  </si>
  <si>
    <t>Mark Peters</t>
  </si>
  <si>
    <t>Tanner Gates</t>
  </si>
  <si>
    <t>Steve Gonzalez</t>
  </si>
  <si>
    <t>Hector Brewer</t>
  </si>
  <si>
    <t>Rebecca Burnett</t>
  </si>
  <si>
    <t>Thomas Cole</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</si>
  <si>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</si>
  <si>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</si>
  <si>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</si>
  <si>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</si>
  <si>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</si>
  <si>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</si>
  <si>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</si>
  <si>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</si>
  <si>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</si>
  <si>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</si>
  <si>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</si>
  <si>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</si>
  <si>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</si>
  <si>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</si>
  <si>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</si>
  <si>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</si>
  <si>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</si>
  <si>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</si>
  <si>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</si>
  <si>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</si>
  <si>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</si>
  <si>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</si>
  <si>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</si>
  <si>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</si>
  <si>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</si>
  <si>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</si>
  <si>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</si>
  <si>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</si>
  <si>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</si>
  <si>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</si>
  <si>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</si>
  <si>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</si>
  <si>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</si>
  <si>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</si>
  <si>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</si>
  <si>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</si>
  <si>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</si>
  <si>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</si>
  <si>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</si>
  <si>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</si>
  <si>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</si>
  <si>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</si>
  <si>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</si>
  <si>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</si>
  <si>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</si>
  <si>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</si>
  <si>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</si>
  <si>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</si>
  <si>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Leslie Chandler</t>
  </si>
  <si>
    <t>Alyssa Perry</t>
  </si>
  <si>
    <t>Mr. 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</si>
  <si>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</si>
  <si>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</si>
  <si>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</si>
  <si>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</si>
  <si>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</si>
  <si>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</si>
  <si>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</si>
  <si>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</si>
  <si>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</si>
  <si>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</si>
  <si>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</si>
  <si>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</si>
  <si>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</si>
  <si>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</si>
  <si>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</si>
  <si>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</si>
  <si>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</si>
  <si>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</si>
  <si>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</si>
  <si>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</si>
  <si>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</si>
  <si>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</si>
  <si>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</si>
  <si>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</si>
  <si>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</si>
  <si>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</si>
  <si>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</si>
  <si>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</si>
  <si>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Aaron Adams</t>
  </si>
  <si>
    <t>Megan Ellis</t>
  </si>
  <si>
    <t>Lisa Shaw</t>
  </si>
  <si>
    <t>Ryan Barker</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</si>
  <si>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</si>
  <si>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</si>
  <si>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</si>
  <si>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</si>
  <si>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</si>
  <si>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</si>
  <si>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</si>
  <si>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</si>
  <si>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</si>
  <si>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</si>
  <si>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</si>
  <si>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</si>
  <si>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</si>
  <si>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Lisa Thornton</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</si>
  <si>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</si>
  <si>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</si>
  <si>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</si>
  <si>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</si>
  <si>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</si>
  <si>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</si>
  <si>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</si>
  <si>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</si>
  <si>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</si>
  <si>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</si>
  <si>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</si>
  <si>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</si>
  <si>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</si>
  <si>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</si>
  <si>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</si>
  <si>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</si>
  <si>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</si>
  <si>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</si>
  <si>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</si>
  <si>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Amanda Rios</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</si>
  <si>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</si>
  <si>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</si>
  <si>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</si>
  <si>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</si>
  <si>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</si>
  <si>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</si>
  <si>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</si>
  <si>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</si>
  <si>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</si>
  <si>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</si>
  <si>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</si>
  <si>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</si>
  <si>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</si>
  <si>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</si>
  <si>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</si>
  <si>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</si>
  <si>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</si>
  <si>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</si>
  <si>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</si>
  <si>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</si>
  <si>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</si>
  <si>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Mrs. Jessica Thompson</t>
  </si>
  <si>
    <t>Sarah Brooks</t>
  </si>
  <si>
    <t>Brenda Gonzales</t>
  </si>
  <si>
    <t>Joseph Pennington</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</si>
  <si>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</si>
  <si>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</si>
  <si>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</si>
  <si>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</si>
  <si>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</si>
  <si>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</si>
  <si>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</si>
  <si>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</si>
  <si>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</si>
  <si>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</si>
  <si>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</si>
  <si>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</si>
  <si>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</si>
  <si>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</si>
  <si>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</si>
  <si>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</si>
  <si>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Total_price</t>
  </si>
  <si>
    <t>Row Labels</t>
  </si>
  <si>
    <t>Grand Total</t>
  </si>
  <si>
    <t>&lt;23-07-2023</t>
  </si>
  <si>
    <t>2023</t>
  </si>
  <si>
    <t>2024</t>
  </si>
  <si>
    <t>2025</t>
  </si>
  <si>
    <t>Sum of Sales_Amount</t>
  </si>
  <si>
    <t>Sum of Profit</t>
  </si>
  <si>
    <t>NaviMumbaierabad</t>
  </si>
  <si>
    <t>NaviMumbai</t>
  </si>
  <si>
    <t>Total</t>
  </si>
  <si>
    <t>Sum of Units_Sold</t>
  </si>
  <si>
    <t>Sum of Discount_%</t>
  </si>
  <si>
    <t>order_id</t>
  </si>
  <si>
    <t>Sales_amount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</si>
</sst>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14" fontId="0" fillId="0" borderId="0" xfId="0" applyNumberFormat="1"/>
    <xf numFmtId="9" fontId="0" fillId="0" borderId="0" xfId="0" applyNumberFormat="1"/>
    <xf numFmtId="0" fontId="0" fillId="0" borderId="0" xfId="1" applyNumberFormat="1" applyFon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0" fillId="0" borderId="0" xfId="0" applyAlignment="1">
      <alignment horizontal="left" indent="1"/>
    </xf>
    <xf numFmtId="1" fontId="0" fillId="0" borderId="0" xfId="0" applyNumberFormat="1"/>
    <xf numFmtId="0" fontId="0" fillId="0" borderId="0" xfId="0" applyNumberFormat="1"/>
    <xf numFmtId="0" fontId="0" fillId="2" borderId="1" xfId="0" applyFont="1" applyFill="1" applyBorder="1"/>
    <xf numFmtId="0" fontId="0" fillId="0" borderId="1" xfId="0" applyFont="1" applyBorder="1"/>
  </cellXfs>
  <cellStyles count="2">
    <cellStyle name="Normal" xfId="0" builtinId="0"/>
    <cellStyle name="Percent" xfId="1" builtinId="5"/>
  </cellStyles>
  <dxfs count="37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s>
  <tableStyles count="0" defaultTableStyle="TableStyleMedium2" defaultPivotStyle="PivotStyleLight16"/>
  <colors>
    <mruColors>
      <color rgb="FF8A46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Berlin Sans FB Demi" panose="020E0802020502020306" pitchFamily="34" charset="0"/>
              </a:rPr>
              <a:t>Sales &amp; Profit</a:t>
            </a:r>
          </a:p>
        </c:rich>
      </c:tx>
      <c:layout>
        <c:manualLayout>
          <c:xMode val="edge"/>
          <c:yMode val="edge"/>
          <c:x val="0.68516121416142695"/>
          <c:y val="6.2500187476565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none"/>
        </c:marker>
      </c:pivotFmt>
      <c:pivotFmt>
        <c:idx val="3"/>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1"/>
            </a:solidFill>
            <a:round/>
          </a:ln>
          <a:effectLst/>
        </c:spPr>
        <c:marker>
          <c:symbol val="none"/>
        </c:marker>
      </c:pivotFmt>
      <c:pivotFmt>
        <c:idx val="5"/>
        <c:spPr>
          <a:ln w="28575" cap="rnd">
            <a:solidFill>
              <a:schemeClr val="bg1"/>
            </a:solidFill>
            <a:round/>
          </a:ln>
          <a:effectLst/>
        </c:spPr>
        <c:marker>
          <c:symbol val="none"/>
        </c:marker>
      </c:pivotFmt>
      <c:pivotFmt>
        <c:idx val="6"/>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Sheet2!$B$11</c:f>
              <c:strCache>
                <c:ptCount val="1"/>
                <c:pt idx="0">
                  <c:v>Sum of Sales_Amount</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Sheet2!$A$12:$A$16</c:f>
              <c:strCache>
                <c:ptCount val="4"/>
                <c:pt idx="0">
                  <c:v>&lt;23-07-2023</c:v>
                </c:pt>
                <c:pt idx="1">
                  <c:v>2023</c:v>
                </c:pt>
                <c:pt idx="2">
                  <c:v>2024</c:v>
                </c:pt>
                <c:pt idx="3">
                  <c:v>2025</c:v>
                </c:pt>
              </c:strCache>
            </c:strRef>
          </c:cat>
          <c:val>
            <c:numRef>
              <c:f>Sheet2!$B$12:$B$16</c:f>
              <c:numCache>
                <c:formatCode>General</c:formatCode>
                <c:ptCount val="4"/>
                <c:pt idx="0">
                  <c:v>1335899.4010000003</c:v>
                </c:pt>
                <c:pt idx="1">
                  <c:v>410386.28660000005</c:v>
                </c:pt>
                <c:pt idx="2">
                  <c:v>1977751.4714000009</c:v>
                </c:pt>
                <c:pt idx="3">
                  <c:v>1722228.4779999987</c:v>
                </c:pt>
              </c:numCache>
            </c:numRef>
          </c:val>
          <c:smooth val="0"/>
          <c:extLst>
            <c:ext xmlns:c16="http://schemas.microsoft.com/office/drawing/2014/chart" uri="{C3380CC4-5D6E-409C-BE32-E72D297353CC}">
              <c16:uniqueId val="{00000000-2A65-4877-B13A-D9342675E76C}"/>
            </c:ext>
          </c:extLst>
        </c:ser>
        <c:ser>
          <c:idx val="1"/>
          <c:order val="1"/>
          <c:tx>
            <c:strRef>
              <c:f>Sheet2!$C$11</c:f>
              <c:strCache>
                <c:ptCount val="1"/>
                <c:pt idx="0">
                  <c:v>Sum of Profit</c:v>
                </c:pt>
              </c:strCache>
            </c:strRef>
          </c:tx>
          <c:spPr>
            <a:ln w="28575" cap="rnd">
              <a:solidFill>
                <a:schemeClr val="bg1"/>
              </a:solidFill>
              <a:round/>
            </a:ln>
            <a:effectLst/>
          </c:spPr>
          <c:marker>
            <c:symbol val="none"/>
          </c:marker>
          <c:dPt>
            <c:idx val="3"/>
            <c:marker>
              <c:symbol val="none"/>
            </c:marker>
            <c:bubble3D val="0"/>
            <c:spPr>
              <a:ln w="28575" cap="rnd">
                <a:solidFill>
                  <a:schemeClr val="bg1"/>
                </a:solidFill>
                <a:round/>
              </a:ln>
              <a:effectLst/>
            </c:spPr>
            <c:extLst>
              <c:ext xmlns:c16="http://schemas.microsoft.com/office/drawing/2014/chart" uri="{C3380CC4-5D6E-409C-BE32-E72D297353CC}">
                <c16:uniqueId val="{00000002-4A36-4BE9-A5AB-B46A059A4D98}"/>
              </c:ext>
            </c:extLst>
          </c:dPt>
          <c:dLbls>
            <c:dLbl>
              <c:idx val="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36-4BE9-A5AB-B46A059A4D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Sheet2!$A$12:$A$16</c:f>
              <c:strCache>
                <c:ptCount val="4"/>
                <c:pt idx="0">
                  <c:v>&lt;23-07-2023</c:v>
                </c:pt>
                <c:pt idx="1">
                  <c:v>2023</c:v>
                </c:pt>
                <c:pt idx="2">
                  <c:v>2024</c:v>
                </c:pt>
                <c:pt idx="3">
                  <c:v>2025</c:v>
                </c:pt>
              </c:strCache>
            </c:strRef>
          </c:cat>
          <c:val>
            <c:numRef>
              <c:f>Sheet2!$C$12:$C$16</c:f>
              <c:numCache>
                <c:formatCode>General</c:formatCode>
                <c:ptCount val="4"/>
                <c:pt idx="0">
                  <c:v>597372.25999999954</c:v>
                </c:pt>
                <c:pt idx="1">
                  <c:v>168551.61000000002</c:v>
                </c:pt>
                <c:pt idx="2">
                  <c:v>827695.49999999953</c:v>
                </c:pt>
                <c:pt idx="3">
                  <c:v>860303.20999999961</c:v>
                </c:pt>
              </c:numCache>
            </c:numRef>
          </c:val>
          <c:smooth val="0"/>
          <c:extLst>
            <c:ext xmlns:c16="http://schemas.microsoft.com/office/drawing/2014/chart" uri="{C3380CC4-5D6E-409C-BE32-E72D297353CC}">
              <c16:uniqueId val="{00000000-EF70-457B-BBE6-A7717468913E}"/>
            </c:ext>
          </c:extLst>
        </c:ser>
        <c:dLbls>
          <c:dLblPos val="t"/>
          <c:showLegendKey val="0"/>
          <c:showVal val="1"/>
          <c:showCatName val="0"/>
          <c:showSerName val="0"/>
          <c:showPercent val="0"/>
          <c:showBubbleSize val="0"/>
        </c:dLbls>
        <c:smooth val="0"/>
        <c:axId val="562976448"/>
        <c:axId val="562988688"/>
      </c:lineChart>
      <c:catAx>
        <c:axId val="562976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2988688"/>
        <c:crosses val="autoZero"/>
        <c:auto val="1"/>
        <c:lblAlgn val="ctr"/>
        <c:lblOffset val="100"/>
        <c:noMultiLvlLbl val="0"/>
      </c:catAx>
      <c:valAx>
        <c:axId val="562988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297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noFill/>
      <a:round/>
    </a:ln>
    <a:effectLst>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Sheet2!$J$1</c:f>
              <c:strCache>
                <c:ptCount val="1"/>
                <c:pt idx="0">
                  <c:v>Total</c:v>
                </c:pt>
              </c:strCache>
            </c:strRef>
          </c:tx>
          <c:spPr>
            <a:solidFill>
              <a:schemeClr val="accent1"/>
            </a:solidFill>
            <a:ln>
              <a:noFill/>
            </a:ln>
            <a:effectLst/>
          </c:spPr>
          <c:invertIfNegative val="0"/>
          <c:cat>
            <c:strRef>
              <c:f>Sheet2!$I$2:$I$7</c:f>
              <c:strCache>
                <c:ptCount val="5"/>
                <c:pt idx="0">
                  <c:v>Denise Ashley</c:v>
                </c:pt>
                <c:pt idx="1">
                  <c:v>Joel Fitzpatrick</c:v>
                </c:pt>
                <c:pt idx="2">
                  <c:v>Julie Jones</c:v>
                </c:pt>
                <c:pt idx="3">
                  <c:v>Mark Wood</c:v>
                </c:pt>
                <c:pt idx="4">
                  <c:v>Michelle Anderson</c:v>
                </c:pt>
              </c:strCache>
            </c:strRef>
          </c:cat>
          <c:val>
            <c:numRef>
              <c:f>Sheet2!$J$2:$J$7</c:f>
              <c:numCache>
                <c:formatCode>General</c:formatCode>
                <c:ptCount val="5"/>
                <c:pt idx="0">
                  <c:v>29860.86</c:v>
                </c:pt>
                <c:pt idx="1">
                  <c:v>29180.675999999996</c:v>
                </c:pt>
                <c:pt idx="2">
                  <c:v>28704</c:v>
                </c:pt>
                <c:pt idx="3">
                  <c:v>28661.82</c:v>
                </c:pt>
                <c:pt idx="4">
                  <c:v>29728.02</c:v>
                </c:pt>
              </c:numCache>
            </c:numRef>
          </c:val>
          <c:extLst>
            <c:ext xmlns:c16="http://schemas.microsoft.com/office/drawing/2014/chart" uri="{C3380CC4-5D6E-409C-BE32-E72D297353CC}">
              <c16:uniqueId val="{00000000-871E-44DD-9598-DE0510A3C377}"/>
            </c:ext>
          </c:extLst>
        </c:ser>
        <c:dLbls>
          <c:showLegendKey val="0"/>
          <c:showVal val="0"/>
          <c:showCatName val="0"/>
          <c:showSerName val="0"/>
          <c:showPercent val="0"/>
          <c:showBubbleSize val="0"/>
        </c:dLbls>
        <c:gapWidth val="182"/>
        <c:axId val="562996608"/>
        <c:axId val="562998048"/>
      </c:barChart>
      <c:catAx>
        <c:axId val="562996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98048"/>
        <c:crosses val="autoZero"/>
        <c:auto val="1"/>
        <c:lblAlgn val="ctr"/>
        <c:lblOffset val="100"/>
        <c:noMultiLvlLbl val="0"/>
      </c:catAx>
      <c:valAx>
        <c:axId val="5629980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9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Sheet2!$J$1</c:f>
              <c:strCache>
                <c:ptCount val="1"/>
                <c:pt idx="0">
                  <c:v>Total</c:v>
                </c:pt>
              </c:strCache>
            </c:strRef>
          </c:tx>
          <c:spPr>
            <a:solidFill>
              <a:schemeClr val="accent1"/>
            </a:solidFill>
            <a:ln>
              <a:noFill/>
            </a:ln>
            <a:effectLst/>
          </c:spPr>
          <c:invertIfNegative val="0"/>
          <c:cat>
            <c:strRef>
              <c:f>Sheet2!$I$2:$I$7</c:f>
              <c:strCache>
                <c:ptCount val="5"/>
                <c:pt idx="0">
                  <c:v>Denise Ashley</c:v>
                </c:pt>
                <c:pt idx="1">
                  <c:v>Joel Fitzpatrick</c:v>
                </c:pt>
                <c:pt idx="2">
                  <c:v>Julie Jones</c:v>
                </c:pt>
                <c:pt idx="3">
                  <c:v>Mark Wood</c:v>
                </c:pt>
                <c:pt idx="4">
                  <c:v>Michelle Anderson</c:v>
                </c:pt>
              </c:strCache>
            </c:strRef>
          </c:cat>
          <c:val>
            <c:numRef>
              <c:f>Sheet2!$J$2:$J$7</c:f>
              <c:numCache>
                <c:formatCode>General</c:formatCode>
                <c:ptCount val="5"/>
                <c:pt idx="0">
                  <c:v>29860.86</c:v>
                </c:pt>
                <c:pt idx="1">
                  <c:v>29180.675999999996</c:v>
                </c:pt>
                <c:pt idx="2">
                  <c:v>28704</c:v>
                </c:pt>
                <c:pt idx="3">
                  <c:v>28661.82</c:v>
                </c:pt>
                <c:pt idx="4">
                  <c:v>29728.02</c:v>
                </c:pt>
              </c:numCache>
            </c:numRef>
          </c:val>
          <c:extLst>
            <c:ext xmlns:c16="http://schemas.microsoft.com/office/drawing/2014/chart" uri="{C3380CC4-5D6E-409C-BE32-E72D297353CC}">
              <c16:uniqueId val="{00000000-5727-4F29-9FAC-C0E4434E751F}"/>
            </c:ext>
          </c:extLst>
        </c:ser>
        <c:dLbls>
          <c:showLegendKey val="0"/>
          <c:showVal val="0"/>
          <c:showCatName val="0"/>
          <c:showSerName val="0"/>
          <c:showPercent val="0"/>
          <c:showBubbleSize val="0"/>
        </c:dLbls>
        <c:gapWidth val="182"/>
        <c:axId val="536428792"/>
        <c:axId val="357174912"/>
      </c:barChart>
      <c:catAx>
        <c:axId val="536428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174912"/>
        <c:crosses val="autoZero"/>
        <c:auto val="1"/>
        <c:lblAlgn val="ctr"/>
        <c:lblOffset val="100"/>
        <c:noMultiLvlLbl val="0"/>
      </c:catAx>
      <c:valAx>
        <c:axId val="357174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28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2.xlsx]Sheet2!PivotTable3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erlin Sans FB Demi" panose="020E0802020502020306" pitchFamily="34" charset="0"/>
              </a:rPr>
              <a:t>Top</a:t>
            </a:r>
            <a:r>
              <a:rPr lang="en-US" baseline="0">
                <a:solidFill>
                  <a:schemeClr val="tx1"/>
                </a:solidFill>
                <a:latin typeface="Berlin Sans FB Demi" panose="020E0802020502020306" pitchFamily="34" charset="0"/>
              </a:rPr>
              <a:t> Customers</a:t>
            </a:r>
            <a:endParaRPr lang="en-US">
              <a:solidFill>
                <a:schemeClr val="tx1"/>
              </a:solidFill>
              <a:latin typeface="Berlin Sans FB Demi" panose="020E0802020502020306" pitchFamily="34" charset="0"/>
            </a:endParaRPr>
          </a:p>
        </c:rich>
      </c:tx>
      <c:layout>
        <c:manualLayout>
          <c:xMode val="edge"/>
          <c:yMode val="edge"/>
          <c:x val="0.53701195117600597"/>
          <c:y val="6.0263653483992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Sheet2!$J$1</c:f>
              <c:strCache>
                <c:ptCount val="1"/>
                <c:pt idx="0">
                  <c:v>Total</c:v>
                </c:pt>
              </c:strCache>
            </c:strRef>
          </c:tx>
          <c:spPr>
            <a:solidFill>
              <a:schemeClr val="tx1"/>
            </a:solidFill>
            <a:ln>
              <a:noFill/>
            </a:ln>
            <a:effectLst/>
          </c:spPr>
          <c:invertIfNegative val="0"/>
          <c:cat>
            <c:strRef>
              <c:f>Sheet2!$I$2:$I$7</c:f>
              <c:strCache>
                <c:ptCount val="5"/>
                <c:pt idx="0">
                  <c:v>Denise Ashley</c:v>
                </c:pt>
                <c:pt idx="1">
                  <c:v>Joel Fitzpatrick</c:v>
                </c:pt>
                <c:pt idx="2">
                  <c:v>Julie Jones</c:v>
                </c:pt>
                <c:pt idx="3">
                  <c:v>Mark Wood</c:v>
                </c:pt>
                <c:pt idx="4">
                  <c:v>Michelle Anderson</c:v>
                </c:pt>
              </c:strCache>
            </c:strRef>
          </c:cat>
          <c:val>
            <c:numRef>
              <c:f>Sheet2!$J$2:$J$7</c:f>
              <c:numCache>
                <c:formatCode>General</c:formatCode>
                <c:ptCount val="5"/>
                <c:pt idx="0">
                  <c:v>29860.86</c:v>
                </c:pt>
                <c:pt idx="1">
                  <c:v>29180.675999999996</c:v>
                </c:pt>
                <c:pt idx="2">
                  <c:v>28704</c:v>
                </c:pt>
                <c:pt idx="3">
                  <c:v>28661.82</c:v>
                </c:pt>
                <c:pt idx="4">
                  <c:v>29728.02</c:v>
                </c:pt>
              </c:numCache>
            </c:numRef>
          </c:val>
          <c:extLst>
            <c:ext xmlns:c16="http://schemas.microsoft.com/office/drawing/2014/chart" uri="{C3380CC4-5D6E-409C-BE32-E72D297353CC}">
              <c16:uniqueId val="{00000000-2FDE-4025-A920-606836FF2C3C}"/>
            </c:ext>
          </c:extLst>
        </c:ser>
        <c:dLbls>
          <c:showLegendKey val="0"/>
          <c:showVal val="0"/>
          <c:showCatName val="0"/>
          <c:showSerName val="0"/>
          <c:showPercent val="0"/>
          <c:showBubbleSize val="0"/>
        </c:dLbls>
        <c:gapWidth val="182"/>
        <c:axId val="562994088"/>
        <c:axId val="562994448"/>
      </c:barChart>
      <c:catAx>
        <c:axId val="562994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2994448"/>
        <c:crosses val="autoZero"/>
        <c:auto val="1"/>
        <c:lblAlgn val="ctr"/>
        <c:lblOffset val="100"/>
        <c:noMultiLvlLbl val="0"/>
      </c:catAx>
      <c:valAx>
        <c:axId val="56299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62994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2.xlsx]Sheet2!PivotTable6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erlin Sans FB Demi" panose="020E0802020502020306" pitchFamily="34" charset="0"/>
              </a:rPr>
              <a:t>City</a:t>
            </a:r>
            <a:r>
              <a:rPr lang="en-US" baseline="0">
                <a:solidFill>
                  <a:schemeClr val="tx1"/>
                </a:solidFill>
                <a:latin typeface="Berlin Sans FB Demi" panose="020E0802020502020306" pitchFamily="34" charset="0"/>
              </a:rPr>
              <a:t> Sales</a:t>
            </a:r>
            <a:endParaRPr lang="en-US">
              <a:solidFill>
                <a:schemeClr val="tx1"/>
              </a:solidFill>
              <a:latin typeface="Berlin Sans FB Demi" panose="020E0802020502020306" pitchFamily="34" charset="0"/>
            </a:endParaRPr>
          </a:p>
        </c:rich>
      </c:tx>
      <c:layout>
        <c:manualLayout>
          <c:xMode val="edge"/>
          <c:yMode val="edge"/>
          <c:x val="0.76365454223026819"/>
          <c:y val="8.8767557901416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tx1"/>
            </a:solidFill>
          </a:ln>
          <a:effectLst>
            <a:outerShdw blurRad="50800" dist="50800" dir="5400000" algn="ctr" rotWithShape="0">
              <a:schemeClr val="tx1"/>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tx1"/>
            </a:solidFill>
          </a:ln>
          <a:effectLst>
            <a:outerShdw blurRad="50800" dist="50800" dir="5400000" algn="ctr" rotWithShape="0">
              <a:schemeClr val="tx1"/>
            </a:outerShdw>
          </a:effectLst>
        </c:spPr>
        <c:dLbl>
          <c:idx val="0"/>
          <c:layout>
            <c:manualLayout>
              <c:x val="-1.2665362055145259E-16"/>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6C9A064D-AE84-404F-800E-1376815887A3}" type="CATEGORYNAME">
                  <a:rPr lang="en-US">
                    <a:latin typeface="Arial" panose="020B0604020202020204" pitchFamily="34" charset="0"/>
                    <a:cs typeface="Arial" panose="020B0604020202020204" pitchFamily="34" charset="0"/>
                  </a:rPr>
                  <a:pPr>
                    <a:defRPr>
                      <a:solidFill>
                        <a:schemeClr val="tx1"/>
                      </a:solidFill>
                    </a:defRPr>
                  </a:pPr>
                  <a:t>[CATEGORY NAME]</a:t>
                </a:fld>
                <a:r>
                  <a:rPr lang="en-US" baseline="0">
                    <a:latin typeface="Arial" panose="020B0604020202020204" pitchFamily="34" charset="0"/>
                    <a:cs typeface="Arial" panose="020B0604020202020204" pitchFamily="34" charset="0"/>
                  </a:rPr>
                  <a:t>
</a:t>
                </a:r>
                <a:fld id="{FA4AE675-9BB3-4DD9-9984-87CDCED534A2}" type="PERCENTAGE">
                  <a:rPr lang="en-US" baseline="0">
                    <a:latin typeface="Arial" panose="020B0604020202020204" pitchFamily="34" charset="0"/>
                    <a:cs typeface="Arial" panose="020B0604020202020204" pitchFamily="34" charset="0"/>
                  </a:rPr>
                  <a:pPr>
                    <a:defRPr>
                      <a:solidFill>
                        <a:schemeClr val="tx1"/>
                      </a:solidFill>
                    </a:defRPr>
                  </a:pPr>
                  <a:t>[PERCENTAGE]</a:t>
                </a:fld>
                <a:endParaRPr lang="en-US" baseline="0">
                  <a:latin typeface="Arial" panose="020B0604020202020204" pitchFamily="34" charset="0"/>
                  <a:cs typeface="Arial" panose="020B0604020202020204" pitchFamily="34" charset="0"/>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chemeClr val="accent1"/>
          </a:solidFill>
          <a:ln w="19050">
            <a:solidFill>
              <a:schemeClr val="tx1"/>
            </a:solidFill>
          </a:ln>
          <a:effectLst>
            <a:outerShdw blurRad="50800" dist="50800" dir="5400000" algn="ctr" rotWithShape="0">
              <a:schemeClr val="tx1"/>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33FB59CB-0A85-4CC7-828F-47626E1A842B}" type="CATEGORYNAME">
                  <a:rPr lang="en-US" baseline="0">
                    <a:latin typeface="Arial" panose="020B0604020202020204" pitchFamily="34" charset="0"/>
                  </a:rPr>
                  <a:pPr>
                    <a:defRPr>
                      <a:solidFill>
                        <a:schemeClr val="tx1"/>
                      </a:solidFill>
                    </a:defRPr>
                  </a:pPr>
                  <a:t>[CATEGORY NAME]</a:t>
                </a:fld>
                <a:r>
                  <a:rPr lang="en-US" baseline="0"/>
                  <a:t>
</a:t>
                </a:r>
                <a:fld id="{33A9B13C-D4D3-4C2E-B083-D28C7C098586}" type="PERCENTAGE">
                  <a:rPr lang="en-US" baseline="0"/>
                  <a:pPr>
                    <a:defRPr>
                      <a:solidFill>
                        <a:schemeClr val="tx1"/>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solidFill>
            <a:schemeClr val="accent1"/>
          </a:solidFill>
          <a:ln w="19050">
            <a:solidFill>
              <a:schemeClr val="tx1"/>
            </a:solidFill>
          </a:ln>
          <a:effectLst>
            <a:outerShdw blurRad="50800" dist="50800" dir="5400000" algn="ctr" rotWithShape="0">
              <a:schemeClr val="tx1"/>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1733CD32-0E4A-4B98-B25F-3094A95CEB94}" type="CATEGORYNAME">
                  <a:rPr lang="en-US">
                    <a:latin typeface="Arial" panose="020B0604020202020204" pitchFamily="34" charset="0"/>
                    <a:cs typeface="Arial" panose="020B0604020202020204" pitchFamily="34" charset="0"/>
                  </a:rPr>
                  <a:pPr>
                    <a:defRPr>
                      <a:solidFill>
                        <a:schemeClr val="tx1"/>
                      </a:solidFill>
                    </a:defRPr>
                  </a:pPr>
                  <a:t>[CATEGORY NAME]</a:t>
                </a:fld>
                <a:r>
                  <a:rPr lang="en-US" baseline="0">
                    <a:latin typeface="Arial" panose="020B0604020202020204" pitchFamily="34" charset="0"/>
                    <a:cs typeface="Arial" panose="020B0604020202020204" pitchFamily="34" charset="0"/>
                  </a:rPr>
                  <a:t>
</a:t>
                </a:r>
                <a:fld id="{819421A8-C2EF-4830-AA3D-60C18A36F93C}" type="PERCENTAGE">
                  <a:rPr lang="en-US" baseline="0">
                    <a:latin typeface="Arial" panose="020B0604020202020204" pitchFamily="34" charset="0"/>
                    <a:cs typeface="Arial" panose="020B0604020202020204" pitchFamily="34" charset="0"/>
                  </a:rPr>
                  <a:pPr>
                    <a:defRPr>
                      <a:solidFill>
                        <a:schemeClr val="tx1"/>
                      </a:solidFill>
                    </a:defRPr>
                  </a:pPr>
                  <a:t>[PERCENTAGE]</a:t>
                </a:fld>
                <a:endParaRPr lang="en-US" baseline="0">
                  <a:latin typeface="Arial" panose="020B0604020202020204" pitchFamily="34" charset="0"/>
                  <a:cs typeface="Arial" panose="020B0604020202020204" pitchFamily="34" charset="0"/>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solidFill>
            <a:schemeClr val="accent1"/>
          </a:solidFill>
          <a:ln w="19050">
            <a:solidFill>
              <a:schemeClr val="tx1"/>
            </a:solidFill>
          </a:ln>
          <a:effectLst>
            <a:outerShdw blurRad="50800" dist="50800" dir="5400000" algn="ctr" rotWithShape="0">
              <a:schemeClr val="tx1"/>
            </a:outerShdw>
          </a:effectLst>
        </c:spPr>
        <c:dLbl>
          <c:idx val="0"/>
          <c:layout>
            <c:manualLayout>
              <c:x val="0"/>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6F229D5-2FAC-4D84-ADCB-A27653B91926}" type="CATEGORYNAME">
                  <a:rPr lang="en-US">
                    <a:latin typeface="Arial" panose="020B0604020202020204" pitchFamily="34" charset="0"/>
                    <a:cs typeface="Arial" panose="020B0604020202020204" pitchFamily="34" charset="0"/>
                  </a:rPr>
                  <a:pPr>
                    <a:defRPr>
                      <a:solidFill>
                        <a:schemeClr val="tx1"/>
                      </a:solidFill>
                    </a:defRPr>
                  </a:pPr>
                  <a:t>[CATEGORY NAME]</a:t>
                </a:fld>
                <a:r>
                  <a:rPr lang="en-US" baseline="0">
                    <a:latin typeface="Arial" panose="020B0604020202020204" pitchFamily="34" charset="0"/>
                    <a:cs typeface="Arial" panose="020B0604020202020204" pitchFamily="34" charset="0"/>
                  </a:rPr>
                  <a:t>
</a:t>
                </a:r>
                <a:fld id="{4C9ADAE9-B72C-4865-AD80-873A5BB8C437}" type="PERCENTAGE">
                  <a:rPr lang="en-US" baseline="0">
                    <a:latin typeface="Arial" panose="020B0604020202020204" pitchFamily="34" charset="0"/>
                    <a:cs typeface="Arial" panose="020B0604020202020204" pitchFamily="34" charset="0"/>
                  </a:rPr>
                  <a:pPr>
                    <a:defRPr>
                      <a:solidFill>
                        <a:schemeClr val="tx1"/>
                      </a:solidFill>
                    </a:defRPr>
                  </a:pPr>
                  <a:t>[PERCENTAGE]</a:t>
                </a:fld>
                <a:endParaRPr lang="en-US" baseline="0">
                  <a:latin typeface="Arial" panose="020B0604020202020204" pitchFamily="34" charset="0"/>
                  <a:cs typeface="Arial" panose="020B0604020202020204" pitchFamily="34" charset="0"/>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solidFill>
            <a:schemeClr val="accent1"/>
          </a:solidFill>
          <a:ln w="19050">
            <a:solidFill>
              <a:schemeClr val="tx1"/>
            </a:solidFill>
          </a:ln>
          <a:effectLst>
            <a:outerShdw blurRad="50800" dist="50800" dir="5400000" algn="ctr" rotWithShape="0">
              <a:schemeClr val="tx1"/>
            </a:outerShdw>
          </a:effectLst>
        </c:spPr>
        <c:dLbl>
          <c:idx val="0"/>
          <c:layout>
            <c:manualLayout>
              <c:x val="-3.454229554496863E-3"/>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973B828D-1C11-4A89-BCE3-152835F9A48D}" type="CATEGORYNAME">
                  <a:rPr lang="en-US"/>
                  <a:pPr>
                    <a:defRPr>
                      <a:solidFill>
                        <a:schemeClr val="tx1"/>
                      </a:solidFill>
                    </a:defRPr>
                  </a:pPr>
                  <a:t>[CATEGORY NAME]</a:t>
                </a:fld>
                <a:r>
                  <a:rPr lang="en-US" baseline="0"/>
                  <a:t>
</a:t>
                </a:r>
                <a:fld id="{CF445B29-02D1-4034-988F-80DFAD826859}" type="PERCENTAGE">
                  <a:rPr lang="en-US" baseline="0">
                    <a:latin typeface="Arial" panose="020B0604020202020204" pitchFamily="34" charset="0"/>
                  </a:rPr>
                  <a:pPr>
                    <a:defRPr>
                      <a:solidFill>
                        <a:schemeClr val="tx1"/>
                      </a:solidFill>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solidFill>
            <a:schemeClr val="accent1"/>
          </a:solidFill>
          <a:ln w="19050">
            <a:solidFill>
              <a:schemeClr val="tx1"/>
            </a:solidFill>
          </a:ln>
          <a:effectLst>
            <a:outerShdw blurRad="50800" dist="50800" dir="5400000" algn="ctr" rotWithShape="0">
              <a:schemeClr val="tx1"/>
            </a:outerShdw>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4679E78F-F5D9-47E1-A55E-A940482413A2}" type="CATEGORYNAME">
                  <a:rPr lang="en-US">
                    <a:latin typeface="Arial" panose="020B0604020202020204" pitchFamily="34" charset="0"/>
                    <a:cs typeface="Arial" panose="020B0604020202020204" pitchFamily="34" charset="0"/>
                  </a:rPr>
                  <a:pPr>
                    <a:defRPr>
                      <a:solidFill>
                        <a:schemeClr val="tx1"/>
                      </a:solidFill>
                    </a:defRPr>
                  </a:pPr>
                  <a:t>[CATEGORY NAME]</a:t>
                </a:fld>
                <a:r>
                  <a:rPr lang="en-US" baseline="0">
                    <a:latin typeface="Arial" panose="020B0604020202020204" pitchFamily="34" charset="0"/>
                    <a:cs typeface="Arial" panose="020B0604020202020204" pitchFamily="34" charset="0"/>
                  </a:rPr>
                  <a:t>
</a:t>
                </a:r>
                <a:fld id="{4BDC88FB-4F78-48F3-83F1-80A161DA8D1B}" type="PERCENTAGE">
                  <a:rPr lang="en-US" baseline="0">
                    <a:latin typeface="Arial" panose="020B0604020202020204" pitchFamily="34" charset="0"/>
                    <a:cs typeface="Arial" panose="020B0604020202020204" pitchFamily="34" charset="0"/>
                  </a:rPr>
                  <a:pPr>
                    <a:defRPr>
                      <a:solidFill>
                        <a:schemeClr val="tx1"/>
                      </a:solidFill>
                    </a:defRPr>
                  </a:pPr>
                  <a:t>[PERCENTAGE]</a:t>
                </a:fld>
                <a:endParaRPr lang="en-US" baseline="0">
                  <a:latin typeface="Arial" panose="020B0604020202020204" pitchFamily="34" charset="0"/>
                  <a:cs typeface="Arial" panose="020B0604020202020204" pitchFamily="34" charset="0"/>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Sheet2!$G$1</c:f>
              <c:strCache>
                <c:ptCount val="1"/>
                <c:pt idx="0">
                  <c:v>Total</c:v>
                </c:pt>
              </c:strCache>
            </c:strRef>
          </c:tx>
          <c:spPr>
            <a:ln>
              <a:solidFill>
                <a:schemeClr val="tx1"/>
              </a:solidFill>
            </a:ln>
            <a:effectLst>
              <a:outerShdw blurRad="50800" dist="50800" dir="5400000" algn="ctr" rotWithShape="0">
                <a:schemeClr val="tx1"/>
              </a:outerShdw>
            </a:effectLst>
          </c:spPr>
          <c:dPt>
            <c:idx val="0"/>
            <c:bubble3D val="0"/>
            <c:spPr>
              <a:solidFill>
                <a:schemeClr val="accent1"/>
              </a:solidFill>
              <a:ln w="19050">
                <a:solidFill>
                  <a:schemeClr val="tx1"/>
                </a:solidFill>
              </a:ln>
              <a:effectLst>
                <a:outerShdw blurRad="50800" dist="50800" dir="5400000" algn="ctr" rotWithShape="0">
                  <a:schemeClr val="tx1"/>
                </a:outerShdw>
              </a:effectLst>
            </c:spPr>
            <c:extLst>
              <c:ext xmlns:c16="http://schemas.microsoft.com/office/drawing/2014/chart" uri="{C3380CC4-5D6E-409C-BE32-E72D297353CC}">
                <c16:uniqueId val="{00000001-1431-43F7-8819-EE315DAF6DD7}"/>
              </c:ext>
            </c:extLst>
          </c:dPt>
          <c:dPt>
            <c:idx val="1"/>
            <c:bubble3D val="0"/>
            <c:spPr>
              <a:solidFill>
                <a:schemeClr val="accent2"/>
              </a:solidFill>
              <a:ln w="19050">
                <a:solidFill>
                  <a:schemeClr val="tx1"/>
                </a:solidFill>
              </a:ln>
              <a:effectLst>
                <a:outerShdw blurRad="50800" dist="50800" dir="5400000" algn="ctr" rotWithShape="0">
                  <a:schemeClr val="tx1"/>
                </a:outerShdw>
              </a:effectLst>
            </c:spPr>
            <c:extLst>
              <c:ext xmlns:c16="http://schemas.microsoft.com/office/drawing/2014/chart" uri="{C3380CC4-5D6E-409C-BE32-E72D297353CC}">
                <c16:uniqueId val="{00000003-1431-43F7-8819-EE315DAF6DD7}"/>
              </c:ext>
            </c:extLst>
          </c:dPt>
          <c:dPt>
            <c:idx val="2"/>
            <c:bubble3D val="0"/>
            <c:spPr>
              <a:solidFill>
                <a:schemeClr val="accent3"/>
              </a:solidFill>
              <a:ln w="19050">
                <a:solidFill>
                  <a:schemeClr val="tx1"/>
                </a:solidFill>
              </a:ln>
              <a:effectLst>
                <a:outerShdw blurRad="50800" dist="50800" dir="5400000" algn="ctr" rotWithShape="0">
                  <a:schemeClr val="tx1"/>
                </a:outerShdw>
              </a:effectLst>
            </c:spPr>
            <c:extLst>
              <c:ext xmlns:c16="http://schemas.microsoft.com/office/drawing/2014/chart" uri="{C3380CC4-5D6E-409C-BE32-E72D297353CC}">
                <c16:uniqueId val="{00000005-1431-43F7-8819-EE315DAF6DD7}"/>
              </c:ext>
            </c:extLst>
          </c:dPt>
          <c:dPt>
            <c:idx val="3"/>
            <c:bubble3D val="0"/>
            <c:spPr>
              <a:solidFill>
                <a:schemeClr val="accent4"/>
              </a:solidFill>
              <a:ln w="19050">
                <a:solidFill>
                  <a:schemeClr val="tx1"/>
                </a:solidFill>
              </a:ln>
              <a:effectLst>
                <a:outerShdw blurRad="50800" dist="50800" dir="5400000" algn="ctr" rotWithShape="0">
                  <a:schemeClr val="tx1"/>
                </a:outerShdw>
              </a:effectLst>
            </c:spPr>
            <c:extLst>
              <c:ext xmlns:c16="http://schemas.microsoft.com/office/drawing/2014/chart" uri="{C3380CC4-5D6E-409C-BE32-E72D297353CC}">
                <c16:uniqueId val="{00000007-1431-43F7-8819-EE315DAF6DD7}"/>
              </c:ext>
            </c:extLst>
          </c:dPt>
          <c:dPt>
            <c:idx val="4"/>
            <c:bubble3D val="0"/>
            <c:spPr>
              <a:solidFill>
                <a:schemeClr val="accent5"/>
              </a:solidFill>
              <a:ln w="19050">
                <a:solidFill>
                  <a:schemeClr val="tx1"/>
                </a:solidFill>
              </a:ln>
              <a:effectLst>
                <a:outerShdw blurRad="50800" dist="50800" dir="5400000" algn="ctr" rotWithShape="0">
                  <a:schemeClr val="tx1"/>
                </a:outerShdw>
              </a:effectLst>
            </c:spPr>
            <c:extLst>
              <c:ext xmlns:c16="http://schemas.microsoft.com/office/drawing/2014/chart" uri="{C3380CC4-5D6E-409C-BE32-E72D297353CC}">
                <c16:uniqueId val="{00000009-1431-43F7-8819-EE315DAF6DD7}"/>
              </c:ext>
            </c:extLst>
          </c:dPt>
          <c:dPt>
            <c:idx val="5"/>
            <c:bubble3D val="0"/>
            <c:spPr>
              <a:solidFill>
                <a:schemeClr val="accent6"/>
              </a:solidFill>
              <a:ln w="19050">
                <a:solidFill>
                  <a:schemeClr val="tx1"/>
                </a:solidFill>
              </a:ln>
              <a:effectLst>
                <a:outerShdw blurRad="50800" dist="50800" dir="5400000" algn="ctr" rotWithShape="0">
                  <a:schemeClr val="tx1"/>
                </a:outerShdw>
              </a:effectLst>
            </c:spPr>
            <c:extLst>
              <c:ext xmlns:c16="http://schemas.microsoft.com/office/drawing/2014/chart" uri="{C3380CC4-5D6E-409C-BE32-E72D297353CC}">
                <c16:uniqueId val="{0000000B-1431-43F7-8819-EE315DAF6DD7}"/>
              </c:ext>
            </c:extLst>
          </c:dPt>
          <c:dLbls>
            <c:dLbl>
              <c:idx val="0"/>
              <c:layout>
                <c:manualLayout>
                  <c:x val="-1.2665362055145259E-16"/>
                  <c:y val="0"/>
                </c:manualLayout>
              </c:layout>
              <c:tx>
                <c:rich>
                  <a:bodyPr/>
                  <a:lstStyle/>
                  <a:p>
                    <a:fld id="{6C9A064D-AE84-404F-800E-1376815887A3}" type="CATEGORYNAME">
                      <a:rPr lang="en-US">
                        <a:latin typeface="Arial" panose="020B0604020202020204" pitchFamily="34" charset="0"/>
                        <a:cs typeface="Arial" panose="020B0604020202020204" pitchFamily="34" charset="0"/>
                      </a:rPr>
                      <a:pPr/>
                      <a:t>[CATEGORY NAME]</a:t>
                    </a:fld>
                    <a:r>
                      <a:rPr lang="en-US" baseline="0">
                        <a:latin typeface="Arial" panose="020B0604020202020204" pitchFamily="34" charset="0"/>
                        <a:cs typeface="Arial" panose="020B0604020202020204" pitchFamily="34" charset="0"/>
                      </a:rPr>
                      <a:t>
</a:t>
                    </a:r>
                    <a:fld id="{FA4AE675-9BB3-4DD9-9984-87CDCED534A2}"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431-43F7-8819-EE315DAF6DD7}"/>
                </c:ext>
              </c:extLst>
            </c:dLbl>
            <c:dLbl>
              <c:idx val="1"/>
              <c:tx>
                <c:rich>
                  <a:bodyPr/>
                  <a:lstStyle/>
                  <a:p>
                    <a:fld id="{33FB59CB-0A85-4CC7-828F-47626E1A842B}" type="CATEGORYNAME">
                      <a:rPr lang="en-US" baseline="0">
                        <a:latin typeface="Arial" panose="020B0604020202020204" pitchFamily="34" charset="0"/>
                      </a:rPr>
                      <a:pPr/>
                      <a:t>[CATEGORY NAME]</a:t>
                    </a:fld>
                    <a:r>
                      <a:rPr lang="en-US" baseline="0"/>
                      <a:t>
</a:t>
                    </a:r>
                    <a:fld id="{33A9B13C-D4D3-4C2E-B083-D28C7C098586}" type="PERCENTAGE">
                      <a:rPr lang="en-US" baseline="0"/>
                      <a:pPr/>
                      <a:t>[PERCENTAGE]</a:t>
                    </a:fld>
                    <a:endParaRPr lang="en-US" baseline="0"/>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431-43F7-8819-EE315DAF6DD7}"/>
                </c:ext>
              </c:extLst>
            </c:dLbl>
            <c:dLbl>
              <c:idx val="2"/>
              <c:tx>
                <c:rich>
                  <a:bodyPr/>
                  <a:lstStyle/>
                  <a:p>
                    <a:fld id="{1733CD32-0E4A-4B98-B25F-3094A95CEB94}" type="CATEGORYNAME">
                      <a:rPr lang="en-US">
                        <a:latin typeface="Arial" panose="020B0604020202020204" pitchFamily="34" charset="0"/>
                        <a:cs typeface="Arial" panose="020B0604020202020204" pitchFamily="34" charset="0"/>
                      </a:rPr>
                      <a:pPr/>
                      <a:t>[CATEGORY NAME]</a:t>
                    </a:fld>
                    <a:r>
                      <a:rPr lang="en-US" baseline="0">
                        <a:latin typeface="Arial" panose="020B0604020202020204" pitchFamily="34" charset="0"/>
                        <a:cs typeface="Arial" panose="020B0604020202020204" pitchFamily="34" charset="0"/>
                      </a:rPr>
                      <a:t>
</a:t>
                    </a:r>
                    <a:fld id="{819421A8-C2EF-4830-AA3D-60C18A36F93C}"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431-43F7-8819-EE315DAF6DD7}"/>
                </c:ext>
              </c:extLst>
            </c:dLbl>
            <c:dLbl>
              <c:idx val="3"/>
              <c:layout>
                <c:manualLayout>
                  <c:x val="0"/>
                  <c:y val="0"/>
                </c:manualLayout>
              </c:layout>
              <c:tx>
                <c:rich>
                  <a:bodyPr/>
                  <a:lstStyle/>
                  <a:p>
                    <a:fld id="{E6F229D5-2FAC-4D84-ADCB-A27653B91926}" type="CATEGORYNAME">
                      <a:rPr lang="en-US">
                        <a:latin typeface="Arial" panose="020B0604020202020204" pitchFamily="34" charset="0"/>
                        <a:cs typeface="Arial" panose="020B0604020202020204" pitchFamily="34" charset="0"/>
                      </a:rPr>
                      <a:pPr/>
                      <a:t>[CATEGORY NAME]</a:t>
                    </a:fld>
                    <a:r>
                      <a:rPr lang="en-US" baseline="0">
                        <a:latin typeface="Arial" panose="020B0604020202020204" pitchFamily="34" charset="0"/>
                        <a:cs typeface="Arial" panose="020B0604020202020204" pitchFamily="34" charset="0"/>
                      </a:rPr>
                      <a:t>
</a:t>
                    </a:r>
                    <a:fld id="{4C9ADAE9-B72C-4865-AD80-873A5BB8C437}"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431-43F7-8819-EE315DAF6DD7}"/>
                </c:ext>
              </c:extLst>
            </c:dLbl>
            <c:dLbl>
              <c:idx val="4"/>
              <c:layout>
                <c:manualLayout>
                  <c:x val="-3.454229554496863E-3"/>
                  <c:y val="0"/>
                </c:manualLayout>
              </c:layout>
              <c:tx>
                <c:rich>
                  <a:bodyPr/>
                  <a:lstStyle/>
                  <a:p>
                    <a:fld id="{973B828D-1C11-4A89-BCE3-152835F9A48D}" type="CATEGORYNAME">
                      <a:rPr lang="en-US"/>
                      <a:pPr/>
                      <a:t>[CATEGORY NAME]</a:t>
                    </a:fld>
                    <a:r>
                      <a:rPr lang="en-US" baseline="0"/>
                      <a:t>
</a:t>
                    </a:r>
                    <a:fld id="{CF445B29-02D1-4034-988F-80DFAD826859}" type="PERCENTAGE">
                      <a:rPr lang="en-US" baseline="0">
                        <a:latin typeface="Arial" panose="020B0604020202020204" pitchFamily="34" charset="0"/>
                      </a:rPr>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1431-43F7-8819-EE315DAF6DD7}"/>
                </c:ext>
              </c:extLst>
            </c:dLbl>
            <c:dLbl>
              <c:idx val="5"/>
              <c:tx>
                <c:rich>
                  <a:bodyPr/>
                  <a:lstStyle/>
                  <a:p>
                    <a:fld id="{4679E78F-F5D9-47E1-A55E-A940482413A2}" type="CATEGORYNAME">
                      <a:rPr lang="en-US">
                        <a:latin typeface="Arial" panose="020B0604020202020204" pitchFamily="34" charset="0"/>
                        <a:cs typeface="Arial" panose="020B0604020202020204" pitchFamily="34" charset="0"/>
                      </a:rPr>
                      <a:pPr/>
                      <a:t>[CATEGORY NAME]</a:t>
                    </a:fld>
                    <a:r>
                      <a:rPr lang="en-US" baseline="0">
                        <a:latin typeface="Arial" panose="020B0604020202020204" pitchFamily="34" charset="0"/>
                        <a:cs typeface="Arial" panose="020B0604020202020204" pitchFamily="34" charset="0"/>
                      </a:rPr>
                      <a:t>
</a:t>
                    </a:r>
                    <a:fld id="{4BDC88FB-4F78-48F3-83F1-80A161DA8D1B}"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1431-43F7-8819-EE315DAF6D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Sheet2!$F$2:$F$8</c:f>
              <c:strCache>
                <c:ptCount val="6"/>
                <c:pt idx="0">
                  <c:v>Ahmedabad</c:v>
                </c:pt>
                <c:pt idx="1">
                  <c:v>Bangalore</c:v>
                </c:pt>
                <c:pt idx="2">
                  <c:v>Delhi</c:v>
                </c:pt>
                <c:pt idx="3">
                  <c:v>Mumbai</c:v>
                </c:pt>
                <c:pt idx="4">
                  <c:v>NaviMumbai</c:v>
                </c:pt>
                <c:pt idx="5">
                  <c:v>Pune</c:v>
                </c:pt>
              </c:strCache>
            </c:strRef>
          </c:cat>
          <c:val>
            <c:numRef>
              <c:f>Sheet2!$G$2:$G$8</c:f>
              <c:numCache>
                <c:formatCode>General</c:formatCode>
                <c:ptCount val="6"/>
                <c:pt idx="0">
                  <c:v>1026652.0556999999</c:v>
                </c:pt>
                <c:pt idx="1">
                  <c:v>882305.84449999977</c:v>
                </c:pt>
                <c:pt idx="2">
                  <c:v>857972.71310000017</c:v>
                </c:pt>
                <c:pt idx="3">
                  <c:v>942039.20739999972</c:v>
                </c:pt>
                <c:pt idx="4">
                  <c:v>986323.90040000028</c:v>
                </c:pt>
                <c:pt idx="5">
                  <c:v>750971.91590000049</c:v>
                </c:pt>
              </c:numCache>
            </c:numRef>
          </c:val>
          <c:extLst>
            <c:ext xmlns:c16="http://schemas.microsoft.com/office/drawing/2014/chart" uri="{C3380CC4-5D6E-409C-BE32-E72D297353CC}">
              <c16:uniqueId val="{0000000C-1431-43F7-8819-EE315DAF6DD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erlin Sans FB Demi" panose="020E0802020502020306" pitchFamily="34" charset="0"/>
              </a:rPr>
              <a:t>Segment</a:t>
            </a:r>
            <a:r>
              <a:rPr lang="en-US" baseline="0">
                <a:solidFill>
                  <a:schemeClr val="tx1"/>
                </a:solidFill>
                <a:latin typeface="Berlin Sans FB Demi" panose="020E0802020502020306" pitchFamily="34" charset="0"/>
              </a:rPr>
              <a:t>s</a:t>
            </a:r>
            <a:endParaRPr lang="en-US">
              <a:solidFill>
                <a:schemeClr val="tx1"/>
              </a:solidFill>
              <a:latin typeface="Berlin Sans FB Demi" panose="020E0802020502020306" pitchFamily="34" charset="0"/>
            </a:endParaRPr>
          </a:p>
        </c:rich>
      </c:tx>
      <c:layout>
        <c:manualLayout>
          <c:xMode val="edge"/>
          <c:yMode val="edge"/>
          <c:x val="0.69015078997478263"/>
          <c:y val="0.3559384261011370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tx1"/>
            </a:solidFill>
          </a:ln>
          <a:effectLst>
            <a:outerShdw blurRad="50800" dist="50800" dir="5400000" algn="ctr" rotWithShape="0">
              <a:schemeClr val="tx1"/>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tx1"/>
            </a:solidFill>
          </a:ln>
          <a:effectLst>
            <a:outerShdw blurRad="50800" dist="50800" dir="5400000" algn="ctr" rotWithShape="0">
              <a:schemeClr val="tx1"/>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tx1"/>
            </a:solidFill>
          </a:ln>
          <a:effectLst>
            <a:outerShdw blurRad="50800" dist="50800" dir="5400000" algn="ctr" rotWithShape="0">
              <a:schemeClr val="tx1"/>
            </a:outerShdw>
          </a:effectLst>
        </c:spPr>
      </c:pivotFmt>
      <c:pivotFmt>
        <c:idx val="3"/>
        <c:spPr>
          <a:solidFill>
            <a:schemeClr val="accent1"/>
          </a:solidFill>
          <a:ln w="19050">
            <a:solidFill>
              <a:schemeClr val="tx1"/>
            </a:solidFill>
          </a:ln>
          <a:effectLst>
            <a:outerShdw blurRad="50800" dist="50800" dir="5400000" algn="ctr" rotWithShape="0">
              <a:schemeClr val="tx1"/>
            </a:outerShdw>
          </a:effectLst>
        </c:spPr>
      </c:pivotFmt>
      <c:pivotFmt>
        <c:idx val="4"/>
        <c:spPr>
          <a:solidFill>
            <a:schemeClr val="accent1">
              <a:lumMod val="75000"/>
            </a:schemeClr>
          </a:solidFill>
          <a:ln w="19050">
            <a:noFill/>
          </a:ln>
          <a:effectLst>
            <a:outerShdw blurRad="50800" dist="50800" dir="5400000" algn="ctr" rotWithShape="0">
              <a:schemeClr val="tx1"/>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75000"/>
            </a:schemeClr>
          </a:solidFill>
          <a:ln w="19050">
            <a:noFill/>
          </a:ln>
          <a:effectLst>
            <a:outerShdw blurRad="50800" dist="50800" dir="5400000" algn="ctr" rotWithShape="0">
              <a:schemeClr val="tx1"/>
            </a:outerShdw>
          </a:effectLst>
        </c:spPr>
        <c:dLbl>
          <c:idx val="0"/>
          <c:layout>
            <c:manualLayout>
              <c:x val="-0.10277682895271893"/>
              <c:y val="0.1398715261580939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39C2F9D-2EC3-40A2-B345-E26C0203061E}" type="CATEGORYNAME">
                  <a:rPr lang="en-US">
                    <a:latin typeface="Arial" panose="020B0604020202020204" pitchFamily="34" charset="0"/>
                    <a:cs typeface="Arial" panose="020B0604020202020204" pitchFamily="34" charset="0"/>
                  </a:rPr>
                  <a:pPr>
                    <a:defRPr/>
                  </a:pPr>
                  <a:t>[CATEGORY NAME]</a:t>
                </a:fld>
                <a:r>
                  <a:rPr lang="en-US" baseline="0">
                    <a:latin typeface="Arial" panose="020B0604020202020204" pitchFamily="34" charset="0"/>
                    <a:cs typeface="Arial" panose="020B0604020202020204" pitchFamily="34" charset="0"/>
                  </a:rPr>
                  <a:t>
</a:t>
                </a:r>
                <a:fld id="{CDBAA138-9004-4966-AD34-FEC5883342A2}" type="PERCENTAGE">
                  <a:rPr lang="en-US" baseline="0">
                    <a:latin typeface="Arial" panose="020B0604020202020204" pitchFamily="34" charset="0"/>
                    <a:cs typeface="Arial" panose="020B0604020202020204" pitchFamily="34" charset="0"/>
                  </a:rPr>
                  <a:pPr>
                    <a:defRPr/>
                  </a:pPr>
                  <a:t>[PERCENTAGE]</a:t>
                </a:fld>
                <a:endParaRPr lang="en-US" baseline="0">
                  <a:latin typeface="Arial" panose="020B0604020202020204" pitchFamily="34" charset="0"/>
                  <a:cs typeface="Arial" panose="020B0604020202020204" pitchFamily="34" charset="0"/>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6"/>
        <c:spPr>
          <a:solidFill>
            <a:schemeClr val="tx1"/>
          </a:solidFill>
          <a:ln w="19050">
            <a:noFill/>
          </a:ln>
          <a:effectLst>
            <a:outerShdw blurRad="50800" dist="50800" dir="5400000" algn="ctr" rotWithShape="0">
              <a:schemeClr val="tx1"/>
            </a:outerShdw>
          </a:effectLst>
        </c:spPr>
      </c:pivotFmt>
    </c:pivotFmts>
    <c:plotArea>
      <c:layout/>
      <c:pieChart>
        <c:varyColors val="1"/>
        <c:ser>
          <c:idx val="0"/>
          <c:order val="0"/>
          <c:tx>
            <c:strRef>
              <c:f>Sheet2!$G$11</c:f>
              <c:strCache>
                <c:ptCount val="1"/>
                <c:pt idx="0">
                  <c:v>Total</c:v>
                </c:pt>
              </c:strCache>
            </c:strRef>
          </c:tx>
          <c:spPr>
            <a:solidFill>
              <a:schemeClr val="accent1">
                <a:lumMod val="75000"/>
              </a:schemeClr>
            </a:solidFill>
            <a:ln>
              <a:noFill/>
            </a:ln>
            <a:effectLst>
              <a:outerShdw blurRad="50800" dist="50800" dir="5400000" algn="ctr" rotWithShape="0">
                <a:schemeClr val="tx1"/>
              </a:outerShdw>
            </a:effectLst>
          </c:spPr>
          <c:dPt>
            <c:idx val="0"/>
            <c:bubble3D val="0"/>
            <c:spPr>
              <a:solidFill>
                <a:schemeClr val="accent1">
                  <a:lumMod val="75000"/>
                </a:schemeClr>
              </a:solidFill>
              <a:ln w="19050">
                <a:noFill/>
              </a:ln>
              <a:effectLst>
                <a:outerShdw blurRad="50800" dist="50800" dir="5400000" algn="ctr" rotWithShape="0">
                  <a:schemeClr val="tx1"/>
                </a:outerShdw>
              </a:effectLst>
            </c:spPr>
            <c:extLst>
              <c:ext xmlns:c16="http://schemas.microsoft.com/office/drawing/2014/chart" uri="{C3380CC4-5D6E-409C-BE32-E72D297353CC}">
                <c16:uniqueId val="{00000001-65A0-4A29-B7AE-C16B885237D3}"/>
              </c:ext>
            </c:extLst>
          </c:dPt>
          <c:dPt>
            <c:idx val="1"/>
            <c:bubble3D val="0"/>
            <c:spPr>
              <a:solidFill>
                <a:schemeClr val="tx1"/>
              </a:solidFill>
              <a:ln w="19050">
                <a:noFill/>
              </a:ln>
              <a:effectLst>
                <a:outerShdw blurRad="50800" dist="50800" dir="5400000" algn="ctr" rotWithShape="0">
                  <a:schemeClr val="tx1"/>
                </a:outerShdw>
              </a:effectLst>
            </c:spPr>
            <c:extLst>
              <c:ext xmlns:c16="http://schemas.microsoft.com/office/drawing/2014/chart" uri="{C3380CC4-5D6E-409C-BE32-E72D297353CC}">
                <c16:uniqueId val="{00000003-65A0-4A29-B7AE-C16B885237D3}"/>
              </c:ext>
            </c:extLst>
          </c:dPt>
          <c:dLbls>
            <c:dLbl>
              <c:idx val="0"/>
              <c:layout>
                <c:manualLayout>
                  <c:x val="-0.10277682895271893"/>
                  <c:y val="0.13987152615809398"/>
                </c:manualLayout>
              </c:layout>
              <c:tx>
                <c:rich>
                  <a:bodyPr/>
                  <a:lstStyle/>
                  <a:p>
                    <a:fld id="{E39C2F9D-2EC3-40A2-B345-E26C0203061E}" type="CATEGORYNAME">
                      <a:rPr lang="en-US">
                        <a:latin typeface="Arial" panose="020B0604020202020204" pitchFamily="34" charset="0"/>
                        <a:cs typeface="Arial" panose="020B0604020202020204" pitchFamily="34" charset="0"/>
                      </a:rPr>
                      <a:pPr/>
                      <a:t>[CATEGORY NAME]</a:t>
                    </a:fld>
                    <a:r>
                      <a:rPr lang="en-US" baseline="0">
                        <a:latin typeface="Arial" panose="020B0604020202020204" pitchFamily="34" charset="0"/>
                        <a:cs typeface="Arial" panose="020B0604020202020204" pitchFamily="34" charset="0"/>
                      </a:rPr>
                      <a:t>
</a:t>
                    </a:r>
                    <a:fld id="{CDBAA138-9004-4966-AD34-FEC5883342A2}" type="PERCENTAGE">
                      <a:rPr lang="en-US" baseline="0">
                        <a:latin typeface="Arial" panose="020B0604020202020204" pitchFamily="34" charset="0"/>
                        <a:cs typeface="Arial" panose="020B0604020202020204" pitchFamily="34" charset="0"/>
                      </a:rPr>
                      <a:pPr/>
                      <a:t>[PERCENTAGE]</a:t>
                    </a:fld>
                    <a:endParaRPr lang="en-US" baseline="0">
                      <a:latin typeface="Arial" panose="020B0604020202020204" pitchFamily="34" charset="0"/>
                      <a:cs typeface="Arial" panose="020B0604020202020204" pitchFamily="34" charset="0"/>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5A0-4A29-B7AE-C16B885237D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Sheet2!$F$12:$F$14</c:f>
              <c:strCache>
                <c:ptCount val="2"/>
                <c:pt idx="0">
                  <c:v>B2B</c:v>
                </c:pt>
                <c:pt idx="1">
                  <c:v>B2C</c:v>
                </c:pt>
              </c:strCache>
            </c:strRef>
          </c:cat>
          <c:val>
            <c:numRef>
              <c:f>Sheet2!$G$12:$G$14</c:f>
              <c:numCache>
                <c:formatCode>General</c:formatCode>
                <c:ptCount val="2"/>
                <c:pt idx="0">
                  <c:v>1713670.9955999998</c:v>
                </c:pt>
                <c:pt idx="1">
                  <c:v>3732594.6414000066</c:v>
                </c:pt>
              </c:numCache>
            </c:numRef>
          </c:val>
          <c:extLst>
            <c:ext xmlns:c16="http://schemas.microsoft.com/office/drawing/2014/chart" uri="{C3380CC4-5D6E-409C-BE32-E72D297353CC}">
              <c16:uniqueId val="{00000004-65A0-4A29-B7AE-C16B885237D3}"/>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2.xlsx]Sheet4!PivotTable14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Berlin Sans FB Demi" panose="020E0802020502020306" pitchFamily="34" charset="0"/>
              </a:rPr>
              <a:t>Category</a:t>
            </a:r>
            <a:r>
              <a:rPr lang="en-US" baseline="0">
                <a:solidFill>
                  <a:schemeClr val="tx1"/>
                </a:solidFill>
                <a:latin typeface="Berlin Sans FB Demi" panose="020E0802020502020306" pitchFamily="34" charset="0"/>
              </a:rPr>
              <a:t> Discounts</a:t>
            </a:r>
            <a:endParaRPr lang="en-US">
              <a:solidFill>
                <a:schemeClr val="tx1"/>
              </a:solidFill>
              <a:latin typeface="Berlin Sans FB Demi" panose="020E0802020502020306" pitchFamily="34" charset="0"/>
            </a:endParaRPr>
          </a:p>
        </c:rich>
      </c:tx>
      <c:layout>
        <c:manualLayout>
          <c:xMode val="edge"/>
          <c:yMode val="edge"/>
          <c:x val="0.57136392433704408"/>
          <c:y val="6.6066066066066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Sheet4!$H$1</c:f>
              <c:strCache>
                <c:ptCount val="1"/>
                <c:pt idx="0">
                  <c:v>Total</c:v>
                </c:pt>
              </c:strCache>
            </c:strRef>
          </c:tx>
          <c:spPr>
            <a:solidFill>
              <a:schemeClr val="tx1">
                <a:lumMod val="95000"/>
                <a:lumOff val="5000"/>
              </a:schemeClr>
            </a:solidFill>
            <a:ln>
              <a:noFill/>
            </a:ln>
            <a:effectLst/>
          </c:spPr>
          <c:invertIfNegative val="0"/>
          <c:cat>
            <c:strRef>
              <c:f>Sheet4!$G$2:$G$8</c:f>
              <c:strCache>
                <c:ptCount val="6"/>
                <c:pt idx="0">
                  <c:v>Accessories</c:v>
                </c:pt>
                <c:pt idx="1">
                  <c:v>Dresses</c:v>
                </c:pt>
                <c:pt idx="2">
                  <c:v>Jackets</c:v>
                </c:pt>
                <c:pt idx="3">
                  <c:v>Jeans</c:v>
                </c:pt>
                <c:pt idx="4">
                  <c:v>Shoes</c:v>
                </c:pt>
                <c:pt idx="5">
                  <c:v>T-Shirts</c:v>
                </c:pt>
              </c:strCache>
            </c:strRef>
          </c:cat>
          <c:val>
            <c:numRef>
              <c:f>Sheet4!$H$2:$H$8</c:f>
              <c:numCache>
                <c:formatCode>General</c:formatCode>
                <c:ptCount val="6"/>
                <c:pt idx="0">
                  <c:v>94.259999999999948</c:v>
                </c:pt>
                <c:pt idx="1">
                  <c:v>95.700000000000045</c:v>
                </c:pt>
                <c:pt idx="2">
                  <c:v>91.20999999999998</c:v>
                </c:pt>
                <c:pt idx="3">
                  <c:v>86.17</c:v>
                </c:pt>
                <c:pt idx="4">
                  <c:v>90.76</c:v>
                </c:pt>
                <c:pt idx="5">
                  <c:v>90.750000000000028</c:v>
                </c:pt>
              </c:numCache>
            </c:numRef>
          </c:val>
          <c:extLst>
            <c:ext xmlns:c16="http://schemas.microsoft.com/office/drawing/2014/chart" uri="{C3380CC4-5D6E-409C-BE32-E72D297353CC}">
              <c16:uniqueId val="{00000000-57F2-4605-A300-59F28AC68867}"/>
            </c:ext>
          </c:extLst>
        </c:ser>
        <c:dLbls>
          <c:showLegendKey val="0"/>
          <c:showVal val="0"/>
          <c:showCatName val="0"/>
          <c:showSerName val="0"/>
          <c:showPercent val="0"/>
          <c:showBubbleSize val="0"/>
        </c:dLbls>
        <c:gapWidth val="219"/>
        <c:overlap val="-27"/>
        <c:axId val="657222552"/>
        <c:axId val="657218592"/>
      </c:barChart>
      <c:catAx>
        <c:axId val="657222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7218592"/>
        <c:crosses val="autoZero"/>
        <c:auto val="1"/>
        <c:lblAlgn val="ctr"/>
        <c:lblOffset val="100"/>
        <c:noMultiLvlLbl val="0"/>
      </c:catAx>
      <c:valAx>
        <c:axId val="65721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7222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a:innerShdw blurRad="63500" dist="50800" dir="189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latin typeface="Berlin Sans FB Demi" panose="020E0802020502020306" pitchFamily="34" charset="0"/>
              </a:rPr>
              <a:t>Top</a:t>
            </a:r>
            <a:r>
              <a:rPr lang="en-US" baseline="0">
                <a:solidFill>
                  <a:schemeClr val="tx1"/>
                </a:solidFill>
                <a:latin typeface="Berlin Sans FB Demi" panose="020E0802020502020306" pitchFamily="34" charset="0"/>
              </a:rPr>
              <a:t> Products</a:t>
            </a:r>
            <a:endParaRPr lang="en-US">
              <a:solidFill>
                <a:schemeClr val="tx1"/>
              </a:solidFill>
              <a:latin typeface="Berlin Sans FB Demi" panose="020E0802020502020306" pitchFamily="34" charset="0"/>
            </a:endParaRPr>
          </a:p>
        </c:rich>
      </c:tx>
      <c:layout>
        <c:manualLayout>
          <c:xMode val="edge"/>
          <c:yMode val="edge"/>
          <c:x val="0.55802597490847627"/>
          <c:y val="7.15447154471544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Sheet2!$M$1</c:f>
              <c:strCache>
                <c:ptCount val="1"/>
                <c:pt idx="0">
                  <c:v>Total</c:v>
                </c:pt>
              </c:strCache>
            </c:strRef>
          </c:tx>
          <c:spPr>
            <a:solidFill>
              <a:schemeClr val="tx1"/>
            </a:solidFill>
            <a:ln>
              <a:noFill/>
            </a:ln>
            <a:effectLst/>
          </c:spPr>
          <c:invertIfNegative val="0"/>
          <c:cat>
            <c:strRef>
              <c:f>Sheet2!$L$2:$L$7</c:f>
              <c:strCache>
                <c:ptCount val="5"/>
                <c:pt idx="0">
                  <c:v>Boots</c:v>
                </c:pt>
                <c:pt idx="1">
                  <c:v>Casual Midi</c:v>
                </c:pt>
                <c:pt idx="2">
                  <c:v>Puffer Coat</c:v>
                </c:pt>
                <c:pt idx="3">
                  <c:v>Ripped Denim</c:v>
                </c:pt>
                <c:pt idx="4">
                  <c:v>Watches</c:v>
                </c:pt>
              </c:strCache>
            </c:strRef>
          </c:cat>
          <c:val>
            <c:numRef>
              <c:f>Sheet2!$M$2:$M$7</c:f>
              <c:numCache>
                <c:formatCode>General</c:formatCode>
                <c:ptCount val="5"/>
                <c:pt idx="0">
                  <c:v>283341.05169999995</c:v>
                </c:pt>
                <c:pt idx="1">
                  <c:v>307952.45889999991</c:v>
                </c:pt>
                <c:pt idx="2">
                  <c:v>261165.83190000002</c:v>
                </c:pt>
                <c:pt idx="3">
                  <c:v>290091.01510000008</c:v>
                </c:pt>
                <c:pt idx="4">
                  <c:v>370757.28019999998</c:v>
                </c:pt>
              </c:numCache>
            </c:numRef>
          </c:val>
          <c:extLst>
            <c:ext xmlns:c16="http://schemas.microsoft.com/office/drawing/2014/chart" uri="{C3380CC4-5D6E-409C-BE32-E72D297353CC}">
              <c16:uniqueId val="{00000000-6F2A-4779-83C3-D8A1402E0CDB}"/>
            </c:ext>
          </c:extLst>
        </c:ser>
        <c:dLbls>
          <c:showLegendKey val="0"/>
          <c:showVal val="0"/>
          <c:showCatName val="0"/>
          <c:showSerName val="0"/>
          <c:showPercent val="0"/>
          <c:showBubbleSize val="0"/>
        </c:dLbls>
        <c:gapWidth val="182"/>
        <c:axId val="657258192"/>
        <c:axId val="657258912"/>
      </c:barChart>
      <c:catAx>
        <c:axId val="65725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7258912"/>
        <c:crosses val="autoZero"/>
        <c:auto val="1"/>
        <c:lblAlgn val="ctr"/>
        <c:lblOffset val="100"/>
        <c:noMultiLvlLbl val="0"/>
      </c:catAx>
      <c:valAx>
        <c:axId val="65725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7258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a:innerShdw blurRad="63500" dist="50800" dir="18900000">
        <a:schemeClr val="tx1">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[Snitch Dashboard 2.xlsx]Sheet4!PivotTable14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Sheet4!$H$1</c:f>
              <c:strCache>
                <c:ptCount val="1"/>
                <c:pt idx="0">
                  <c:v>Total</c:v>
                </c:pt>
              </c:strCache>
            </c:strRef>
          </c:tx>
          <c:spPr>
            <a:solidFill>
              <a:schemeClr val="accent1"/>
            </a:solidFill>
            <a:ln>
              <a:noFill/>
            </a:ln>
            <a:effectLst/>
          </c:spPr>
          <c:invertIfNegative val="0"/>
          <c:cat>
            <c:strRef>
              <c:f>Sheet4!$G$2:$G$8</c:f>
              <c:strCache>
                <c:ptCount val="6"/>
                <c:pt idx="0">
                  <c:v>Accessories</c:v>
                </c:pt>
                <c:pt idx="1">
                  <c:v>Dresses</c:v>
                </c:pt>
                <c:pt idx="2">
                  <c:v>Jackets</c:v>
                </c:pt>
                <c:pt idx="3">
                  <c:v>Jeans</c:v>
                </c:pt>
                <c:pt idx="4">
                  <c:v>Shoes</c:v>
                </c:pt>
                <c:pt idx="5">
                  <c:v>T-Shirts</c:v>
                </c:pt>
              </c:strCache>
            </c:strRef>
          </c:cat>
          <c:val>
            <c:numRef>
              <c:f>Sheet4!$H$2:$H$8</c:f>
              <c:numCache>
                <c:formatCode>General</c:formatCode>
                <c:ptCount val="6"/>
                <c:pt idx="0">
                  <c:v>94.259999999999948</c:v>
                </c:pt>
                <c:pt idx="1">
                  <c:v>95.700000000000045</c:v>
                </c:pt>
                <c:pt idx="2">
                  <c:v>91.20999999999998</c:v>
                </c:pt>
                <c:pt idx="3">
                  <c:v>86.17</c:v>
                </c:pt>
                <c:pt idx="4">
                  <c:v>90.76</c:v>
                </c:pt>
                <c:pt idx="5">
                  <c:v>90.750000000000028</c:v>
                </c:pt>
              </c:numCache>
            </c:numRef>
          </c:val>
          <c:extLst>
            <c:ext xmlns:c16="http://schemas.microsoft.com/office/drawing/2014/chart" uri="{C3380CC4-5D6E-409C-BE32-E72D297353CC}">
              <c16:uniqueId val="{00000000-65A3-45B8-A051-2410E3BDE096}"/>
            </c:ext>
          </c:extLst>
        </c:ser>
        <c:dLbls>
          <c:showLegendKey val="0"/>
          <c:showVal val="0"/>
          <c:showCatName val="0"/>
          <c:showSerName val="0"/>
          <c:showPercent val="0"/>
          <c:showBubbleSize val="0"/>
        </c:dLbls>
        <c:gapWidth val="219"/>
        <c:overlap val="-27"/>
        <c:axId val="657222552"/>
        <c:axId val="657218592"/>
      </c:barChart>
      <c:catAx>
        <c:axId val="657222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218592"/>
        <c:crosses val="autoZero"/>
        <c:auto val="1"/>
        <c:lblAlgn val="ctr"/>
        <c:lblOffset val="100"/>
        <c:noMultiLvlLbl val="0"/>
      </c:catAx>
      <c:valAx>
        <c:axId val="657218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222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5</xdr:col>
      <xdr:colOff>504825</xdr:colOff>
      <xdr:row>4</xdr:row>
      <xdr:rowOff>142875</xdr:rowOff>
    </xdr:from>
    <xdr:to>
      <xdr:col>7</xdr:col>
      <xdr:colOff>85725</xdr:colOff>
      <xdr:row>18</xdr:row>
      <xdr:rowOff>0</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B4CCD608-F0D8-8DB6-7F59-5C3424F8F56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486400" y="904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xdr:colOff>
      <xdr:row>0</xdr:row>
      <xdr:rowOff>123825</xdr:rowOff>
    </xdr:from>
    <xdr:to>
      <xdr:col>6</xdr:col>
      <xdr:colOff>104775</xdr:colOff>
      <xdr:row>3</xdr:row>
      <xdr:rowOff>180975</xdr:rowOff>
    </xdr:to>
    <xdr:sp macro="" textlink="Sheet4!C7">
      <xdr:nvSpPr>
        <xdr:cNvPr id="2" name="TextBox 1">
          <a:extLst>
            <a:ext uri="{FF2B5EF4-FFF2-40B4-BE49-F238E27FC236}">
              <a16:creationId xmlns:a16="http://schemas.microsoft.com/office/drawing/2014/main" id="{D56FBAE8-E433-212D-8419-052F3BDC9984}"/>
            </a:ext>
          </a:extLst>
        </xdr:cNvPr>
        <xdr:cNvSpPr txBox="1"/>
      </xdr:nvSpPr>
      <xdr:spPr>
        <a:xfrm>
          <a:off x="2457450" y="123825"/>
          <a:ext cx="1304925" cy="62865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Berlin Sans FB Demi" panose="020E0802020502020306" pitchFamily="34" charset="0"/>
              <a:ea typeface="Calibri"/>
              <a:cs typeface="Calibri"/>
            </a:rPr>
            <a:t>Sales</a:t>
          </a:r>
        </a:p>
        <a:p>
          <a:pPr algn="ctr"/>
          <a:fld id="{D3FEA4EE-3187-42C6-8991-7111B96C0E1F}" type="TxLink">
            <a:rPr lang="en-US" sz="1400" b="0" i="0" u="none" strike="noStrike">
              <a:solidFill>
                <a:srgbClr val="000000"/>
              </a:solidFill>
              <a:latin typeface="Berlin Sans FB Demi" panose="020E0802020502020306" pitchFamily="34" charset="0"/>
              <a:ea typeface="Calibri"/>
              <a:cs typeface="Calibri"/>
            </a:rPr>
            <a:t>5446266</a:t>
          </a:fld>
          <a:endParaRPr lang="en-IN" sz="1400" b="1" i="0">
            <a:solidFill>
              <a:schemeClr val="tx1"/>
            </a:solidFill>
            <a:latin typeface="Berlin Sans FB Demi" panose="020E0802020502020306" pitchFamily="34" charset="0"/>
          </a:endParaRPr>
        </a:p>
      </xdr:txBody>
    </xdr:sp>
    <xdr:clientData/>
  </xdr:twoCellAnchor>
  <xdr:twoCellAnchor>
    <xdr:from>
      <xdr:col>6</xdr:col>
      <xdr:colOff>209550</xdr:colOff>
      <xdr:row>0</xdr:row>
      <xdr:rowOff>123826</xdr:rowOff>
    </xdr:from>
    <xdr:to>
      <xdr:col>8</xdr:col>
      <xdr:colOff>285750</xdr:colOff>
      <xdr:row>3</xdr:row>
      <xdr:rowOff>180976</xdr:rowOff>
    </xdr:to>
    <xdr:sp macro="" textlink="Sheet4!D7">
      <xdr:nvSpPr>
        <xdr:cNvPr id="10" name="TextBox 9">
          <a:extLst>
            <a:ext uri="{FF2B5EF4-FFF2-40B4-BE49-F238E27FC236}">
              <a16:creationId xmlns:a16="http://schemas.microsoft.com/office/drawing/2014/main" id="{073CCF83-73AD-7558-2413-66817DB5349B}"/>
            </a:ext>
          </a:extLst>
        </xdr:cNvPr>
        <xdr:cNvSpPr txBox="1"/>
      </xdr:nvSpPr>
      <xdr:spPr>
        <a:xfrm>
          <a:off x="3867150" y="123826"/>
          <a:ext cx="1295400" cy="628650"/>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Berlin Sans FB Demi" panose="020E0802020502020306" pitchFamily="34" charset="0"/>
              <a:ea typeface="Calibri"/>
              <a:cs typeface="Calibri"/>
            </a:rPr>
            <a:t>Profit</a:t>
          </a:r>
        </a:p>
        <a:p>
          <a:pPr algn="ctr"/>
          <a:fld id="{6B900018-0516-49C1-A2CB-726E31EA39AA}" type="TxLink">
            <a:rPr lang="en-US" sz="1400" b="0" i="0" u="none" strike="noStrike">
              <a:solidFill>
                <a:srgbClr val="000000"/>
              </a:solidFill>
              <a:latin typeface="Berlin Sans FB Demi" panose="020E0802020502020306" pitchFamily="34" charset="0"/>
              <a:ea typeface="Calibri"/>
              <a:cs typeface="Calibri"/>
            </a:rPr>
            <a:t>2453923</a:t>
          </a:fld>
          <a:endParaRPr lang="en-US" sz="1400" b="1">
            <a:solidFill>
              <a:schemeClr val="tx1"/>
            </a:solidFill>
            <a:latin typeface="Berlin Sans FB Demi" panose="020E0802020502020306" pitchFamily="34" charset="0"/>
          </a:endParaRPr>
        </a:p>
      </xdr:txBody>
    </xdr:sp>
    <xdr:clientData/>
  </xdr:twoCellAnchor>
  <xdr:twoCellAnchor>
    <xdr:from>
      <xdr:col>4</xdr:col>
      <xdr:colOff>28574</xdr:colOff>
      <xdr:row>4</xdr:row>
      <xdr:rowOff>95249</xdr:rowOff>
    </xdr:from>
    <xdr:to>
      <xdr:col>6</xdr:col>
      <xdr:colOff>95249</xdr:colOff>
      <xdr:row>7</xdr:row>
      <xdr:rowOff>161924</xdr:rowOff>
    </xdr:to>
    <xdr:sp macro="" textlink="Sheet4!D8">
      <xdr:nvSpPr>
        <xdr:cNvPr id="11" name="TextBox 10">
          <a:extLst>
            <a:ext uri="{FF2B5EF4-FFF2-40B4-BE49-F238E27FC236}">
              <a16:creationId xmlns:a16="http://schemas.microsoft.com/office/drawing/2014/main" id="{5FA25D77-2633-09BC-0361-876DD7F216AF}"/>
            </a:ext>
          </a:extLst>
        </xdr:cNvPr>
        <xdr:cNvSpPr txBox="1"/>
      </xdr:nvSpPr>
      <xdr:spPr>
        <a:xfrm>
          <a:off x="2466974" y="857249"/>
          <a:ext cx="1285875" cy="63817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Berlin Sans FB Demi" panose="020E0802020502020306" pitchFamily="34" charset="0"/>
              <a:ea typeface="Calibri"/>
              <a:cs typeface="Calibri"/>
            </a:rPr>
            <a:t>Profit Margin</a:t>
          </a:r>
        </a:p>
        <a:p>
          <a:pPr algn="ctr"/>
          <a:fld id="{C605B025-15F1-4B7A-90E6-8B01293D03C5}" type="TxLink">
            <a:rPr lang="en-US" sz="1400" b="0" i="0" u="none" strike="noStrike">
              <a:solidFill>
                <a:srgbClr val="000000"/>
              </a:solidFill>
              <a:latin typeface="Berlin Sans FB Demi" panose="020E0802020502020306" pitchFamily="34" charset="0"/>
              <a:ea typeface="Calibri"/>
              <a:cs typeface="Calibri"/>
            </a:rPr>
            <a:t>2.22</a:t>
          </a:fld>
          <a:endParaRPr lang="en-IN" sz="1400" b="1">
            <a:solidFill>
              <a:schemeClr val="tx1"/>
            </a:solidFill>
            <a:latin typeface="Berlin Sans FB Demi" panose="020E0802020502020306" pitchFamily="34" charset="0"/>
          </a:endParaRPr>
        </a:p>
      </xdr:txBody>
    </xdr:sp>
    <xdr:clientData/>
  </xdr:twoCellAnchor>
  <xdr:twoCellAnchor>
    <xdr:from>
      <xdr:col>6</xdr:col>
      <xdr:colOff>209550</xdr:colOff>
      <xdr:row>4</xdr:row>
      <xdr:rowOff>95249</xdr:rowOff>
    </xdr:from>
    <xdr:to>
      <xdr:col>8</xdr:col>
      <xdr:colOff>295275</xdr:colOff>
      <xdr:row>7</xdr:row>
      <xdr:rowOff>161924</xdr:rowOff>
    </xdr:to>
    <xdr:sp macro="" textlink="Sheet4!B7">
      <xdr:nvSpPr>
        <xdr:cNvPr id="12" name="TextBox 11">
          <a:extLst>
            <a:ext uri="{FF2B5EF4-FFF2-40B4-BE49-F238E27FC236}">
              <a16:creationId xmlns:a16="http://schemas.microsoft.com/office/drawing/2014/main" id="{FDA32FFA-423E-4034-8837-CDA74DACA267}"/>
            </a:ext>
          </a:extLst>
        </xdr:cNvPr>
        <xdr:cNvSpPr txBox="1"/>
      </xdr:nvSpPr>
      <xdr:spPr>
        <a:xfrm>
          <a:off x="3867150" y="857249"/>
          <a:ext cx="1304925" cy="638175"/>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ctr"/>
        <a:lstStyle/>
        <a:p>
          <a:pPr algn="ctr"/>
          <a:r>
            <a:rPr lang="en-US" sz="1400" b="0" i="0" u="none" strike="noStrike">
              <a:solidFill>
                <a:srgbClr val="000000"/>
              </a:solidFill>
              <a:latin typeface="Berlin Sans FB Demi" panose="020E0802020502020306" pitchFamily="34" charset="0"/>
              <a:ea typeface="Calibri"/>
              <a:cs typeface="Calibri"/>
            </a:rPr>
            <a:t>Units</a:t>
          </a:r>
        </a:p>
        <a:p>
          <a:pPr algn="ctr"/>
          <a:fld id="{A74B2B39-0E72-4C5A-8FB6-8EC52CD58C53}" type="TxLink">
            <a:rPr lang="en-US" sz="1400" b="0" i="0" u="none" strike="noStrike">
              <a:solidFill>
                <a:srgbClr val="000000"/>
              </a:solidFill>
              <a:latin typeface="Berlin Sans FB Demi" panose="020E0802020502020306" pitchFamily="34" charset="0"/>
              <a:ea typeface="Calibri"/>
              <a:cs typeface="Calibri"/>
            </a:rPr>
            <a:t>4931</a:t>
          </a:fld>
          <a:endParaRPr lang="en-IN" sz="1400" b="1">
            <a:solidFill>
              <a:schemeClr val="tx1"/>
            </a:solidFill>
            <a:latin typeface="Berlin Sans FB Demi" panose="020E0802020502020306" pitchFamily="34" charset="0"/>
          </a:endParaRPr>
        </a:p>
      </xdr:txBody>
    </xdr:sp>
    <xdr:clientData/>
  </xdr:twoCellAnchor>
  <xdr:twoCellAnchor>
    <xdr:from>
      <xdr:col>11</xdr:col>
      <xdr:colOff>85725</xdr:colOff>
      <xdr:row>0</xdr:row>
      <xdr:rowOff>114300</xdr:rowOff>
    </xdr:from>
    <xdr:to>
      <xdr:col>15</xdr:col>
      <xdr:colOff>561974</xdr:colOff>
      <xdr:row>11</xdr:row>
      <xdr:rowOff>19050</xdr:rowOff>
    </xdr:to>
    <xdr:graphicFrame macro="">
      <xdr:nvGraphicFramePr>
        <xdr:cNvPr id="16" name="Chart 1">
          <a:extLst>
            <a:ext uri="{FF2B5EF4-FFF2-40B4-BE49-F238E27FC236}">
              <a16:creationId xmlns:a16="http://schemas.microsoft.com/office/drawing/2014/main" id="{9E8A6FD8-DDE6-4A5B-3836-E7CFCD601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300037</xdr:colOff>
      <xdr:row>2441</xdr:row>
      <xdr:rowOff>185737</xdr:rowOff>
    </xdr:from>
    <xdr:to>
      <xdr:col>11</xdr:col>
      <xdr:colOff>71437</xdr:colOff>
      <xdr:row>2456</xdr:row>
      <xdr:rowOff>71437</xdr:rowOff>
    </xdr:to>
    <xdr:graphicFrame macro="">
      <xdr:nvGraphicFramePr>
        <xdr:cNvPr id="18" name="Chart 2">
          <a:extLst>
            <a:ext uri="{FF2B5EF4-FFF2-40B4-BE49-F238E27FC236}">
              <a16:creationId xmlns:a16="http://schemas.microsoft.com/office/drawing/2014/main" id="{48183930-3498-4CA0-2C36-4C68E736D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300037</xdr:colOff>
      <xdr:row>2441</xdr:row>
      <xdr:rowOff>185737</xdr:rowOff>
    </xdr:from>
    <xdr:to>
      <xdr:col>11</xdr:col>
      <xdr:colOff>71437</xdr:colOff>
      <xdr:row>2456</xdr:row>
      <xdr:rowOff>71437</xdr:rowOff>
    </xdr:to>
    <xdr:graphicFrame macro="">
      <xdr:nvGraphicFramePr>
        <xdr:cNvPr id="19" name="Chart 3">
          <a:extLst>
            <a:ext uri="{FF2B5EF4-FFF2-40B4-BE49-F238E27FC236}">
              <a16:creationId xmlns:a16="http://schemas.microsoft.com/office/drawing/2014/main" id="{AFF4821E-7AD5-9DE2-1886-C7AF21BF3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561975</xdr:colOff>
      <xdr:row>1</xdr:row>
      <xdr:rowOff>66675</xdr:rowOff>
    </xdr:from>
    <xdr:to>
      <xdr:col>10</xdr:col>
      <xdr:colOff>800100</xdr:colOff>
      <xdr:row>11</xdr:row>
      <xdr:rowOff>19050</xdr:rowOff>
    </xdr:to>
    <xdr:graphicFrame macro="">
      <xdr:nvGraphicFramePr>
        <xdr:cNvPr id="20" name="Chart 19">
          <a:extLst>
            <a:ext uri="{FF2B5EF4-FFF2-40B4-BE49-F238E27FC236}">
              <a16:creationId xmlns:a16="http://schemas.microsoft.com/office/drawing/2014/main" id="{C0FC767B-6121-4634-9462-EA4FDD38B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380998</xdr:colOff>
      <xdr:row>7</xdr:row>
      <xdr:rowOff>123825</xdr:rowOff>
    </xdr:from>
    <xdr:to>
      <xdr:col>8</xdr:col>
      <xdr:colOff>400050</xdr:colOff>
      <xdr:row>16</xdr:row>
      <xdr:rowOff>142875</xdr:rowOff>
    </xdr:to>
    <xdr:graphicFrame macro="">
      <xdr:nvGraphicFramePr>
        <xdr:cNvPr id="22" name="Chart 21">
          <a:extLst>
            <a:ext uri="{FF2B5EF4-FFF2-40B4-BE49-F238E27FC236}">
              <a16:creationId xmlns:a16="http://schemas.microsoft.com/office/drawing/2014/main" id="{0C0832D2-F2B9-43BD-8105-1BB86A844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514349</xdr:colOff>
      <xdr:row>15</xdr:row>
      <xdr:rowOff>28576</xdr:rowOff>
    </xdr:from>
    <xdr:to>
      <xdr:col>8</xdr:col>
      <xdr:colOff>238124</xdr:colOff>
      <xdr:row>23</xdr:row>
      <xdr:rowOff>95250</xdr:rowOff>
    </xdr:to>
    <xdr:graphicFrame macro="">
      <xdr:nvGraphicFramePr>
        <xdr:cNvPr id="23" name="Chart 22">
          <a:extLst>
            <a:ext uri="{FF2B5EF4-FFF2-40B4-BE49-F238E27FC236}">
              <a16:creationId xmlns:a16="http://schemas.microsoft.com/office/drawing/2014/main" id="{A3683BE7-D46E-49BC-8460-828FB0C83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114301</xdr:colOff>
      <xdr:row>0</xdr:row>
      <xdr:rowOff>76200</xdr:rowOff>
    </xdr:from>
    <xdr:to>
      <xdr:col>2</xdr:col>
      <xdr:colOff>504825</xdr:colOff>
      <xdr:row>22</xdr:row>
      <xdr:rowOff>171449</xdr:rowOff>
    </xdr:to>
    <xdr:sp macro="" textlink="">
      <xdr:nvSpPr>
        <xdr:cNvPr id="24" name="Rectangle: Diagonal Corners Rounded 23">
          <a:extLst>
            <a:ext uri="{FF2B5EF4-FFF2-40B4-BE49-F238E27FC236}">
              <a16:creationId xmlns:a16="http://schemas.microsoft.com/office/drawing/2014/main" id="{B2CD47FB-BC75-69E9-61B9-66C6878C32B5}"/>
            </a:ext>
          </a:extLst>
        </xdr:cNvPr>
        <xdr:cNvSpPr/>
      </xdr:nvSpPr>
      <xdr:spPr>
        <a:xfrm>
          <a:off x="114301" y="76200"/>
          <a:ext cx="1609724" cy="4286249"/>
        </a:xfrm>
        <a:prstGeom prst="round2Diag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400050</xdr:colOff>
      <xdr:row>1</xdr:row>
      <xdr:rowOff>76200</xdr:rowOff>
    </xdr:from>
    <xdr:to>
      <xdr:col>2</xdr:col>
      <xdr:colOff>228600</xdr:colOff>
      <xdr:row>7</xdr:row>
      <xdr:rowOff>76200</xdr:rowOff>
    </xdr:to>
    <xdr:pic>
      <xdr:nvPicPr>
        <xdr:cNvPr id="26" name="Picture 25">
          <a:extLst>
            <a:ext uri="{FF2B5EF4-FFF2-40B4-BE49-F238E27FC236}">
              <a16:creationId xmlns:a16="http://schemas.microsoft.com/office/drawing/2014/main" id="{146DA55F-EF58-8A9D-A74B-050F9FF5EF7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00050" y="266700"/>
          <a:ext cx="1047750" cy="11430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0</xdr:col>
      <xdr:colOff>381000</xdr:colOff>
      <xdr:row>8</xdr:row>
      <xdr:rowOff>19050</xdr:rowOff>
    </xdr:from>
    <xdr:to>
      <xdr:col>2</xdr:col>
      <xdr:colOff>190500</xdr:colOff>
      <xdr:row>12</xdr:row>
      <xdr:rowOff>28575</xdr:rowOff>
    </xdr:to>
    <mc:AlternateContent xmlns:mc="http://schemas.openxmlformats.org/markup-compatibility/2006" xmlns:a14="http://schemas.microsoft.com/office/drawing/2010/main">
      <mc:Choice Requires="a14">
        <xdr:graphicFrame macro="">
          <xdr:nvGraphicFramePr>
            <xdr:cNvPr id="3" name="Product_Category 1">
              <a:extLst>
                <a:ext uri="{FF2B5EF4-FFF2-40B4-BE49-F238E27FC236}">
                  <a16:creationId xmlns:a16="http://schemas.microsoft.com/office/drawing/2014/main" id="{7118A90A-9B05-478D-9B56-5F7121255FBB}"/>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81000" y="1543050"/>
              <a:ext cx="1028700" cy="771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371475</xdr:colOff>
      <xdr:row>12</xdr:row>
      <xdr:rowOff>95250</xdr:rowOff>
    </xdr:from>
    <xdr:to>
      <xdr:col>2</xdr:col>
      <xdr:colOff>200025</xdr:colOff>
      <xdr:row>16</xdr:row>
      <xdr:rowOff>85725</xdr:rowOff>
    </xdr:to>
    <mc:AlternateContent xmlns:mc="http://schemas.openxmlformats.org/markup-compatibility/2006" xmlns:a14="http://schemas.microsoft.com/office/drawing/2010/main">
      <mc:Choice Requires="a14">
        <xdr:graphicFrame macro="">
          <xdr:nvGraphicFramePr>
            <xdr:cNvPr id="6" name="Months (Order_Date) 1">
              <a:extLst>
                <a:ext uri="{FF2B5EF4-FFF2-40B4-BE49-F238E27FC236}">
                  <a16:creationId xmlns:a16="http://schemas.microsoft.com/office/drawing/2014/main" id="{FEBE777D-AF36-40C8-BCB8-7AC83C20F6C4}"/>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371475" y="2381250"/>
              <a:ext cx="1047750" cy="75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76199</xdr:colOff>
      <xdr:row>11</xdr:row>
      <xdr:rowOff>133350</xdr:rowOff>
    </xdr:from>
    <xdr:to>
      <xdr:col>15</xdr:col>
      <xdr:colOff>561974</xdr:colOff>
      <xdr:row>22</xdr:row>
      <xdr:rowOff>171450</xdr:rowOff>
    </xdr:to>
    <xdr:graphicFrame macro="">
      <xdr:nvGraphicFramePr>
        <xdr:cNvPr id="9" name="Chart 8">
          <a:extLst>
            <a:ext uri="{FF2B5EF4-FFF2-40B4-BE49-F238E27FC236}">
              <a16:creationId xmlns:a16="http://schemas.microsoft.com/office/drawing/2014/main" id="{636035AD-59ED-454F-8ADE-AB744153A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561975</xdr:colOff>
      <xdr:row>11</xdr:row>
      <xdr:rowOff>133350</xdr:rowOff>
    </xdr:from>
    <xdr:to>
      <xdr:col>10</xdr:col>
      <xdr:colOff>800100</xdr:colOff>
      <xdr:row>21</xdr:row>
      <xdr:rowOff>180975</xdr:rowOff>
    </xdr:to>
    <xdr:graphicFrame macro="">
      <xdr:nvGraphicFramePr>
        <xdr:cNvPr id="14" name="Chart 2">
          <a:extLst>
            <a:ext uri="{FF2B5EF4-FFF2-40B4-BE49-F238E27FC236}">
              <a16:creationId xmlns:a16="http://schemas.microsoft.com/office/drawing/2014/main" id="{780F068D-EF6D-82AD-5304-261894698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390525</xdr:colOff>
      <xdr:row>16</xdr:row>
      <xdr:rowOff>171451</xdr:rowOff>
    </xdr:from>
    <xdr:to>
      <xdr:col>2</xdr:col>
      <xdr:colOff>180975</xdr:colOff>
      <xdr:row>21</xdr:row>
      <xdr:rowOff>9525</xdr:rowOff>
    </xdr:to>
    <mc:AlternateContent xmlns:mc="http://schemas.openxmlformats.org/markup-compatibility/2006" xmlns:a14="http://schemas.microsoft.com/office/drawing/2010/main">
      <mc:Choice Requires="a14">
        <xdr:graphicFrame macro="">
          <xdr:nvGraphicFramePr>
            <xdr:cNvPr id="5" name="City 1">
              <a:extLst>
                <a:ext uri="{FF2B5EF4-FFF2-40B4-BE49-F238E27FC236}">
                  <a16:creationId xmlns:a16="http://schemas.microsoft.com/office/drawing/2014/main" id="{89C59B3A-93E3-4790-A555-D08CE01AA02F}"/>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0525" y="3219451"/>
              <a:ext cx="1009650" cy="790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561975</xdr:colOff>
      <xdr:row>2</xdr:row>
      <xdr:rowOff>38100</xdr:rowOff>
    </xdr:from>
    <xdr:to>
      <xdr:col>12</xdr:col>
      <xdr:colOff>561975</xdr:colOff>
      <xdr:row>10</xdr:row>
      <xdr:rowOff>123825</xdr:rowOff>
    </xdr:to>
    <mc:AlternateContent xmlns:mc="http://schemas.openxmlformats.org/markup-compatibility/2006" xmlns:a14="http://schemas.microsoft.com/office/drawing/2010/main">
      <mc:Choice Requires="a14">
        <xdr:graphicFrame macro="">
          <xdr:nvGraphicFramePr>
            <xdr:cNvPr id="2" name="Product_Category">
              <a:extLst>
                <a:ext uri="{FF2B5EF4-FFF2-40B4-BE49-F238E27FC236}">
                  <a16:creationId xmlns:a16="http://schemas.microsoft.com/office/drawing/2014/main" id="{4D1B7B3B-ABFD-65CB-F7D1-CB231A679D6E}"/>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9601200" y="419100"/>
              <a:ext cx="1828800" cy="1609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495300</xdr:colOff>
      <xdr:row>9</xdr:row>
      <xdr:rowOff>114300</xdr:rowOff>
    </xdr:from>
    <xdr:to>
      <xdr:col>8</xdr:col>
      <xdr:colOff>123825</xdr:colOff>
      <xdr:row>12</xdr:row>
      <xdr:rowOff>66675</xdr:rowOff>
    </xdr:to>
    <xdr:sp macro="" textlink="">
      <xdr:nvSpPr>
        <xdr:cNvPr id="3" name="TextBox 2">
          <a:extLst>
            <a:ext uri="{FF2B5EF4-FFF2-40B4-BE49-F238E27FC236}">
              <a16:creationId xmlns:a16="http://schemas.microsoft.com/office/drawing/2014/main" id="{F1A7DF6E-BBCC-E239-33A4-3E381578155D}"/>
            </a:ext>
          </a:extLst>
        </xdr:cNvPr>
        <xdr:cNvSpPr txBox="1"/>
      </xdr:nvSpPr>
      <xdr:spPr>
        <a:xfrm>
          <a:off x="6791325" y="1828800"/>
          <a:ext cx="1676400"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10</xdr:col>
      <xdr:colOff>314325</xdr:colOff>
      <xdr:row>6</xdr:row>
      <xdr:rowOff>161925</xdr:rowOff>
    </xdr:from>
    <xdr:to>
      <xdr:col>13</xdr:col>
      <xdr:colOff>314325</xdr:colOff>
      <xdr:row>20</xdr:row>
      <xdr:rowOff>19050</xdr:rowOff>
    </xdr:to>
    <mc:AlternateContent xmlns:mc="http://schemas.openxmlformats.org/markup-compatibility/2006" xmlns:a14="http://schemas.microsoft.com/office/drawing/2010/main">
      <mc:Choice Requires="a14">
        <xdr:graphicFrame macro="">
          <xdr:nvGraphicFramePr>
            <xdr:cNvPr id="6" name="Months (Order_Date)">
              <a:extLst>
                <a:ext uri="{FF2B5EF4-FFF2-40B4-BE49-F238E27FC236}">
                  <a16:creationId xmlns:a16="http://schemas.microsoft.com/office/drawing/2014/main" id="{CA05498A-503F-73DD-1BD0-DD4B90E6A81D}"/>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9963150" y="1304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295275</xdr:colOff>
      <xdr:row>4</xdr:row>
      <xdr:rowOff>90487</xdr:rowOff>
    </xdr:from>
    <xdr:to>
      <xdr:col>11</xdr:col>
      <xdr:colOff>76200</xdr:colOff>
      <xdr:row>18</xdr:row>
      <xdr:rowOff>166687</xdr:rowOff>
    </xdr:to>
    <xdr:graphicFrame macro="">
      <xdr:nvGraphicFramePr>
        <xdr:cNvPr id="11" name="Chart 10">
          <a:extLst>
            <a:ext uri="{FF2B5EF4-FFF2-40B4-BE49-F238E27FC236}">
              <a16:creationId xmlns:a16="http://schemas.microsoft.com/office/drawing/2014/main" id="{3C3E9A71-DF6C-30F3-7A2E-8947DE344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19050</xdr:colOff>
      <xdr:row>4</xdr:row>
      <xdr:rowOff>142875</xdr:rowOff>
    </xdr:from>
    <xdr:to>
      <xdr:col>7</xdr:col>
      <xdr:colOff>95250</xdr:colOff>
      <xdr:row>16</xdr:row>
      <xdr:rowOff>76200</xdr:rowOff>
    </xdr:to>
    <mc:AlternateContent xmlns:mc="http://schemas.openxmlformats.org/markup-compatibility/2006" xmlns:a14="http://schemas.microsoft.com/office/drawing/2010/main">
      <mc:Choice Requires="a14">
        <xdr:graphicFrame macro="">
          <xdr:nvGraphicFramePr>
            <xdr:cNvPr id="5" name="Quarters (Order_Date)">
              <a:extLst>
                <a:ext uri="{FF2B5EF4-FFF2-40B4-BE49-F238E27FC236}">
                  <a16:creationId xmlns:a16="http://schemas.microsoft.com/office/drawing/2014/main" id="{04531D30-AC6A-277C-52BE-99555251D1AB}"/>
                </a:ext>
              </a:extLst>
            </xdr:cNvPr>
            <xdr:cNvGraphicFramePr/>
          </xdr:nvGraphicFramePr>
          <xdr:xfrm>
            <a:off x="0" y="0"/>
            <a:ext cx="0" cy="0"/>
          </xdr:xfrm>
          <a:graphic>
            <a:graphicData uri="http://schemas.microsoft.com/office/drawing/2010/slicer">
              <sle:slicer xmlns:sle="http://schemas.microsoft.com/office/drawing/2010/slicer" name="Quarters (Order_Date)"/>
            </a:graphicData>
          </a:graphic>
        </xdr:graphicFrame>
      </mc:Choice>
      <mc:Fallback xmlns="">
        <xdr:sp macro="" textlink="">
          <xdr:nvSpPr>
            <xdr:cNvPr id="0" name=""/>
            <xdr:cNvSpPr>
              <a:spLocks noTextEdit="1"/>
            </xdr:cNvSpPr>
          </xdr:nvSpPr>
          <xdr:spPr>
            <a:xfrm>
              <a:off x="5486400" y="904875"/>
              <a:ext cx="1828800" cy="2219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9.564264814813" createdVersion="8" refreshedVersion="8" minRefreshableVersion="3" recordCount="2500" xr:uid="{118790EB-6DEB-48C0-B942-373D1CA084BB}">
  <cacheSource type="worksheet">
    <worksheetSource ref="A1:M2501" sheet="Sheet1"/>
  </cacheSource>
  <cacheFields count="16">
    <cacheField name="Order_ID" numFmtId="0">
      <sharedItems containsSemiMixedTypes="0" containsString="0" containsNumber="1" containsInteger="1" minValue="1000" maxValue="3499"/>
    </cacheField>
    <cacheField name="Customer_Name" numFmtId="0">
      <sharedItems count="2458">
        <s v="Brian Thompson"/>
        <s v="Shaun Ross"/>
        <s v="Sarah Snyder"/>
        <s v="Jay Briggs"/>
        <s v="Maria Blake"/>
        <s v="Samuel Miller"/>
        <s v="John Mclean"/>
        <s v="Dr. Kathryn Bass PhD"/>
        <s v="Marie Fisher"/>
        <s v="Dale Perry"/>
        <s v="Oscar Turner"/>
        <s v="Jacob Sanchez"/>
        <s v="Valerie Hampton"/>
        <s v="James Delgado"/>
        <s v="Richard Hood"/>
        <s v="Julie Fox"/>
        <s v="Valerie Garner"/>
        <s v="Alejandro Johnson"/>
        <s v="Andrew Washington"/>
        <s v="Mark Allison"/>
        <s v="Russell Eaton"/>
        <s v="Amber Bowman"/>
        <s v="Lauren Jensen"/>
        <s v="David Arnold"/>
        <s v="Thomas Long"/>
        <s v="Christine Reed"/>
        <s v="Colton Baxter"/>
        <s v="Rebecca Dorsey"/>
        <s v="Felicia Orozco"/>
        <s v="Terry Anderson"/>
        <s v="Brandi Jones"/>
        <s v="William Williams"/>
        <s v="Kim Harris"/>
        <s v="Jonathan Neal"/>
        <s v="Nathan Stewart"/>
        <s v="Joshua Thomas"/>
        <s v="Connie Cunningham"/>
        <s v="Amy Martin"/>
        <s v="Courtney Riddle"/>
        <s v="Ashley Ramirez"/>
        <s v="Angel Nelson"/>
        <s v="Teresa Chavez"/>
        <s v="Richard Williams"/>
        <s v="Deborah Walker"/>
        <s v="Elizabeth Williams"/>
        <s v="Connie Mills"/>
        <s v="Charlotte Cook"/>
        <s v="Matthew Thompson"/>
        <s v="James Hughes"/>
        <s v="Kimberly Anderson"/>
        <s v="Matthew Schmidt"/>
        <s v="Eric Wilson"/>
        <s v="Zachary Ramos"/>
        <s v="Debra Pollard"/>
        <s v="Angela Martinez"/>
        <s v="Brett Burch"/>
        <s v="Jennifer English"/>
        <s v="Penny Campbell"/>
        <s v="Karen Garcia"/>
        <s v="John Ramos"/>
        <s v="Dylan Roberson"/>
        <s v="Kelsey Reyes"/>
        <s v="Larry Gibson"/>
        <s v="Kristin Ho"/>
        <s v="Jessica Johnston"/>
        <s v="Amanda Parker"/>
        <s v="Joshua Figueroa"/>
        <s v="Julie Howard"/>
        <s v="Brandon Lin"/>
        <s v="Anna Allen"/>
        <s v="Kimberly Ho"/>
        <s v="Nancy White"/>
        <s v="Eric Salazar"/>
        <s v="Michael Williamson"/>
        <s v="Lynn Morales"/>
        <s v="Jennifer Horn"/>
        <s v="Lori Preston"/>
        <s v="Gabriel Parrish"/>
        <s v="Debbie Raymond"/>
        <s v="Cheryl Clark"/>
        <s v="Laura Thompson"/>
        <s v="Mary Lin"/>
        <s v="Nicholas White"/>
        <s v="Timothy Farmer"/>
        <s v="Kevin Martinez"/>
        <s v="James Martinez"/>
        <s v="Douglas Nelson"/>
        <s v="Thomas Ramirez"/>
        <s v="David Faulkner"/>
        <s v="Dennis Ross"/>
        <s v="Heather Arnold"/>
        <s v="David Bridges"/>
        <s v="Jennifer Keller"/>
        <s v="Amanda Myers"/>
        <s v="Betty Middleton"/>
        <s v="Laura Porter"/>
        <s v="Carla Phillips"/>
        <s v="Amber Smith"/>
        <s v="Diana Jones"/>
        <s v="Valerie Walker"/>
        <s v="Daniel Brown"/>
        <s v="Stephen Smith"/>
        <s v="Kimberly Walter"/>
        <s v="Brandon Webb"/>
        <s v="Andrew Moreno"/>
        <s v="Willie Smith"/>
        <s v="Evelyn Allison"/>
        <s v="Elizabeth Hood"/>
        <s v="Nathaniel Thomas"/>
        <s v="Nicole Evans"/>
        <s v="Michael Velasquez"/>
        <s v="Tammy Gonzales"/>
        <s v="Sherry Shepard"/>
        <s v="Derek Edwards"/>
        <s v="Robert Williams"/>
        <s v="Carolyn Nelson"/>
        <s v="Olivia Jones"/>
        <s v="Molly Johnson"/>
        <s v="Jose Jackson"/>
        <s v="Elizabeth Vega"/>
        <s v="Angelica Gonzalez"/>
        <s v="Henry Parker"/>
        <s v="Jennifer Lee"/>
        <s v="Michael Clarke"/>
        <s v="Jessica Gibson"/>
        <s v="Jason Turner"/>
        <s v="Grant Munoz"/>
        <s v="Rhonda Ray"/>
        <s v="Susan Anderson"/>
        <s v="Miranda Thomas"/>
        <s v="Grace Chavez"/>
        <s v="Andrew Carlson"/>
        <s v="Erin Williams"/>
        <s v="Melissa Jenkins"/>
        <s v="Ronald Ballard"/>
        <s v="Danielle Johnson"/>
        <s v="Jason Moore"/>
        <s v="Thomas Freeman"/>
        <s v="Katherine Reyes"/>
        <s v="Dawn Smith"/>
        <s v="Sarah Pacheco"/>
        <s v="Daniel Alvarez"/>
        <s v="Bernard Ramirez"/>
        <s v="Mrs. Julia Ramirez"/>
        <s v="Jorge Anderson"/>
        <s v="Jacqueline Jenkins"/>
        <s v="Tracy Miller"/>
        <s v="Travis Lopez"/>
        <s v="Steven Ortiz"/>
        <s v="Brittany Robinson"/>
        <s v="Joseph Allen"/>
        <s v="Matthew Deleon"/>
        <s v="Julia Evans"/>
        <s v="Robert Parks"/>
        <s v="Sean Small"/>
        <s v="Jacob Moore"/>
        <s v="Dean Allen"/>
        <s v="Vicki Jackson"/>
        <s v="Robert Knox"/>
        <s v="Ruben Oconnell"/>
        <s v="Laura Gallegos"/>
        <s v="Christopher Harvey"/>
        <s v="Scott Hampton"/>
        <s v="Steven Ingram"/>
        <s v="Joshua Jones"/>
        <s v="Jennifer Johnson"/>
        <s v="Robert Evans"/>
        <s v="Eugene Olson Jr."/>
        <s v="Kristine Sexton"/>
        <s v="Marc Hull"/>
        <s v="Richard Johnson"/>
        <s v="Diane Davis"/>
        <s v="Shaun Bush"/>
        <s v="Tiffany Flores"/>
        <s v="Ashley Brown"/>
        <s v="Bailey Williamson"/>
        <s v="Elizabeth Torres"/>
        <s v="Joshua Anderson"/>
        <s v="Kevin Allen"/>
        <s v="Michelle Moore"/>
        <s v="John Barber"/>
        <s v="Andrew Mclaughlin"/>
        <s v="Sherry Ward"/>
        <s v="Craig Farrell"/>
        <s v="Stacy Brady"/>
        <s v="Daniel Patton"/>
        <s v="Karen Smith"/>
        <s v="Maria Morrow"/>
        <s v="Elizabeth Johnson"/>
        <s v="Antonio Boyd PhD"/>
        <s v="John Tucker"/>
        <s v="Steve Mann"/>
        <s v="Christine Lopez"/>
        <s v="Stephanie Booth"/>
        <s v="Christine Rodgers"/>
        <s v="Michael Hawkins"/>
        <s v="Dean Jimenez"/>
        <s v="Jacqueline Erickson"/>
        <s v="Jade Chavez"/>
        <s v="Laura Green"/>
        <s v="Crystal Hayes MD"/>
        <s v="Amy Walker"/>
        <s v="Amy Gonzales"/>
        <s v="David Parker"/>
        <s v="Jennifer Williams"/>
        <s v="Charles White"/>
        <s v="Jerome Richardson"/>
        <s v="Jean Yoder"/>
        <s v="Theodore Yang"/>
        <s v="Rebecca Grant"/>
        <s v="Kelli Young"/>
        <s v="Bradley Quinn"/>
        <s v="Darrell Reynolds"/>
        <s v="Alicia Hernandez"/>
        <s v="Melanie Hoffman"/>
        <s v="Benjamin Dunlap"/>
        <s v="Cheryl King"/>
        <s v="Jamie Alexander"/>
        <s v="Kayla Crawford"/>
        <s v="Amber Rivera"/>
        <s v="Cody Mitchell"/>
        <s v="Karen Pennington"/>
        <s v="Nicholas Thompson"/>
        <s v="Shelby Lewis"/>
        <s v="Gregory Flores"/>
        <s v="Jeffrey Haynes"/>
        <s v="Antonio Moses"/>
        <s v="Dr. Adam Schultz"/>
        <s v="Allen Burton"/>
        <s v="Adam Bennett"/>
        <s v="Ashley Stevens"/>
        <s v="Sierra Miller"/>
        <s v="Katie Garcia"/>
        <s v="Timothy Goodman"/>
        <s v="Rebecca Drake"/>
        <s v="Juan White"/>
        <s v="Matthew Holloway"/>
        <s v="Scott Weeks"/>
        <s v="Karina Davis"/>
        <s v="Melanie Ramirez"/>
        <s v="Caroline Thomas"/>
        <s v="Pamela Navarro"/>
        <s v="Jack Mccoy"/>
        <s v="Ashley Walker"/>
        <s v="Christopher Mcknight"/>
        <s v="Dr. Derrick Scott"/>
        <s v="Jared Tate"/>
        <s v="Edward Morgan"/>
        <s v="Tim Bauer"/>
        <s v="Anthony Lee"/>
        <s v="Hailey Sullivan"/>
        <s v="Brandy Clark"/>
        <s v="Carlos Anderson"/>
        <s v="Michael Henson"/>
        <s v="Kim Campos"/>
        <s v="Janet Cooley"/>
        <s v="Mr. Matthew Gomez DDS"/>
        <s v="Shane Gomez"/>
        <s v="Tyler Haney"/>
        <s v="Lindsay Haney"/>
        <s v="Manuel Prince"/>
        <s v="George Gray"/>
        <s v="Ryan Graves"/>
        <s v="Ernest Myers"/>
        <s v="Brandi Lang"/>
        <s v="Gloria Barnett"/>
        <s v="Sarah Andrews"/>
        <s v="Sonya Martinez"/>
        <s v="Brittany Harris"/>
        <s v="Vanessa Kelley"/>
        <s v="Robert Gonzalez"/>
        <s v="Angela Taylor"/>
        <s v="Bradley Myers"/>
        <s v="Russell Love"/>
        <s v="Kelly Wong"/>
        <s v="Erin Wright"/>
        <s v="Michael Coleman"/>
        <s v="Jessica Kirby"/>
        <s v="Laura Romero"/>
        <s v="Joseph Joseph"/>
        <s v="Christopher Ferguson"/>
        <s v="Kevin Hunter"/>
        <s v="Kelly Gray"/>
        <s v="Carlos Walsh"/>
        <s v="Deborah Mckee"/>
        <s v="Andrew Harmon"/>
        <s v="Todd Hall"/>
        <s v="Danny Gilbert"/>
        <s v="Lauren Johnson"/>
        <s v="Katherine Parsons"/>
        <s v="Jason Calhoun"/>
        <s v="Amy Howard"/>
        <s v="Cindy Hall"/>
        <s v="Jeff Hernandez"/>
        <s v="Tiffany Maxwell"/>
        <s v="Lori Orozco"/>
        <s v="Sharon Combs"/>
        <s v="Dylan Newton"/>
        <s v="John Levine"/>
        <s v="Latoya Johnson"/>
        <s v="Caroline Turner"/>
        <s v="Adam Bryan"/>
        <s v="Laura Smith"/>
        <s v="Timothy Potter"/>
        <s v="Kelsey Stein"/>
        <s v="Aaron Johnson"/>
        <s v="Amber Lee"/>
        <s v="Michael Joseph"/>
        <s v="Tina Brown"/>
        <s v="Thomas Smith"/>
        <s v="Jennifer Watson"/>
        <s v="Wendy Garcia"/>
        <s v="Sean Pope"/>
        <s v="Brad Mccarty"/>
        <s v="Mark Gonzales"/>
        <s v="Theresa Wiggins"/>
        <s v="Mitchell Gomez"/>
        <s v="Tony Reynolds"/>
        <s v="Kristine Byrd"/>
        <s v="Mark Murray"/>
        <s v="Michael Velazquez"/>
        <s v="Lori Benson"/>
        <s v="Kimberly Flores"/>
        <s v="Mike Rhodes"/>
        <s v="Teresa Gilbert"/>
        <s v="Theodore Sanchez"/>
        <s v="Sarah Sosa"/>
        <s v="Christine Drake"/>
        <s v="Eric Medina"/>
        <s v="Joseph Sims"/>
        <s v="Gwendolyn Guerrero"/>
        <s v="Chelsea Brown"/>
        <s v="John Taylor"/>
        <s v="Russell Douglas"/>
        <s v="Kristen Drake"/>
        <s v="Katie Brown"/>
        <s v="Michelle Russell"/>
        <s v="Charles Aguilar"/>
        <s v="Emily Christensen"/>
        <s v="Annette Robinson"/>
        <s v="William White"/>
        <s v="Chloe Martinez"/>
        <s v="Catherine Barnett"/>
        <s v="Jason Dixon"/>
        <s v="Tim Jennings"/>
        <s v="Leah Gonzalez"/>
        <s v="Andrew Davis"/>
        <s v="Justin Bowen"/>
        <s v="Lisa Henry"/>
        <s v="Sarah Vance"/>
        <s v="Brian Edwards"/>
        <s v="Matthew Robbins"/>
        <s v="Kathleen Moore"/>
        <s v="Mr. George Cooper"/>
        <s v="Ryan James"/>
        <s v="Veronica Cordova"/>
        <s v="Jacob Brooks"/>
        <s v="Matthew Brown"/>
        <s v="Robert Harmon"/>
        <s v="Rebecca Gonzalez"/>
        <s v="Hannah Ball"/>
        <s v="Krista Wright"/>
        <s v="Marcus Powell"/>
        <s v="Leah Madden"/>
        <s v="Shawn Gardner"/>
        <s v="Karen Nunez"/>
        <s v="Laura Johnson"/>
        <s v="Lauren Kaufman"/>
        <s v="Patricia Pratt"/>
        <s v="Brandon Williams"/>
        <s v="Christopher Wilson"/>
        <s v="Ryan Gonzalez"/>
        <s v="Lisa Morton"/>
        <s v="Nicholas Lee"/>
        <s v="Kelly Vang"/>
        <s v="Megan Smith"/>
        <s v="Mark Matthews"/>
        <s v="Melissa Hale"/>
        <s v="Michael James"/>
        <s v="Brittney Branch"/>
        <s v="Brian Bridges"/>
        <s v="Jeffery Green"/>
        <s v="Rachel Bradford"/>
        <s v="Michelle Rodriguez"/>
        <s v="Veronica Taylor"/>
        <s v="Crystal Molina"/>
        <s v="Michael White"/>
        <s v="Michael Beltran"/>
        <s v="Barbara Jones"/>
        <s v="Randy Baker"/>
        <s v="James Collins"/>
        <s v="Jonathan Montgomery"/>
        <s v="Christina Hernandez"/>
        <s v="Jody Larsen"/>
        <s v="Andrew Wood"/>
        <s v="James Rocha"/>
        <s v="Rebekah Gonzalez"/>
        <s v="Aaron Ruiz"/>
        <s v="Olivia Lee"/>
        <s v="John Carr"/>
        <s v="Daniel Wilson"/>
        <s v="Daniel Hernandez Jr."/>
        <s v="John Clark"/>
        <s v="Hannah Martin"/>
        <s v="Alyssa Ramirez"/>
        <s v="Alan Johnson"/>
        <s v="Joseph Freeman"/>
        <s v="William Golden"/>
        <s v="Heather Cross"/>
        <s v="Dawn Caldwell"/>
        <s v="Michael Bond"/>
        <s v="Luis Mcdaniel"/>
        <s v="Michael Harris"/>
        <s v="Elizabeth Buchanan"/>
        <s v="Sydney Travis"/>
        <s v="Joshua Johnson"/>
        <s v="Nicholas Harrell"/>
        <s v="Christopher Anderson"/>
        <s v="Brittney Rivera"/>
        <s v="James Patterson"/>
        <s v="Kenneth Jackson"/>
        <s v="Marvin Cox"/>
        <s v="Christopher Reeves"/>
        <s v="Jennifer Villarreal"/>
        <s v="Stacey Irwin"/>
        <s v="Bryan Parks"/>
        <s v="Angela Hall"/>
        <s v="Stephanie Gonzalez"/>
        <s v="Travis Vargas"/>
        <s v="Rose Delgado"/>
        <s v="Jennifer Lyons"/>
        <s v="Steven Taylor"/>
        <s v="Jesse Cooke"/>
        <s v="Marie Sullivan"/>
        <s v="Nicole Mills"/>
        <s v="Erin Yu"/>
        <s v="Rachel Savage"/>
        <s v="Teresa Nichols"/>
        <s v="Elijah Anderson"/>
        <s v="Candace Smith"/>
        <s v="Michelle Lara"/>
        <s v="Emma Ramirez"/>
        <s v="Danielle Shelton"/>
        <s v="Paula Leon"/>
        <s v="Dr. Dennis Pena"/>
        <s v="Kelsey Wright"/>
        <s v="Eric Williams"/>
        <s v="Brandon Andrews"/>
        <s v="Michelle Phillips"/>
        <s v="Valerie Ramirez"/>
        <s v="Rebecca Murphy"/>
        <s v="Ricardo Kent"/>
        <s v="Justin Carpenter"/>
        <s v="Justin Clements"/>
        <s v="Patty Thomas"/>
        <s v="Madison Berry"/>
        <s v="Danielle Washington"/>
        <s v="Rachel Marshall"/>
        <s v="Anna King"/>
        <s v="Leah Chaney"/>
        <s v="Rebecca Leach"/>
        <s v="Miranda Higgins"/>
        <s v="Danielle Gonzales"/>
        <s v="Jill Johnson"/>
        <s v="William Peck"/>
        <s v="Keith Schroeder"/>
        <s v="William Ortiz"/>
        <s v="Jeremy Nash"/>
        <s v="Craig Conner MD"/>
        <s v="Victoria Hayden"/>
        <s v="Tammy Johnson"/>
        <s v="William Mullins"/>
        <s v="Alicia Reynolds"/>
        <s v="Rachel Shelton"/>
        <s v="Nancy James"/>
        <s v="Seth Gonzalez"/>
        <s v="Rachel Allen"/>
        <s v="Jaclyn Lynch"/>
        <s v="Vicki Peterson DDS"/>
        <s v="Troy Love"/>
        <s v="David Baker"/>
        <s v="Kristen Fuentes"/>
        <s v="Kenneth Barry"/>
        <s v="Judith Johnson"/>
        <s v="Oscar Williams"/>
        <s v="Gloria Orr"/>
        <s v="Nancy Taylor"/>
        <s v="Jennifer Morales DVM"/>
        <s v="Kimberly Hammond"/>
        <s v="Wendy Hernandez"/>
        <s v="Allen Garner"/>
        <s v="Richard Stephenson"/>
        <s v="Mr. Gary Wilson"/>
        <s v="Elizabeth Nelson"/>
        <s v="James Mcguire"/>
        <s v="Laura Myers"/>
        <s v="Joseph Anderson"/>
        <s v="Tiffany Calhoun"/>
        <s v="Lauren Ellis"/>
        <s v="Jerry Turner"/>
        <s v="Brian Maldonado"/>
        <s v="Randy Robertson"/>
        <s v="Linda Allen"/>
        <s v="James Matthews"/>
        <s v="Angela Newman"/>
        <s v="Robert Brooks"/>
        <s v="Michael Smith"/>
        <s v="Justin Dean"/>
        <s v="Rachel Johnston"/>
        <s v="Susan Bird"/>
        <s v="Michael Ruiz"/>
        <s v="Sarah Stokes"/>
        <s v="Laura Simmons"/>
        <s v="Kenneth Mcdaniel"/>
        <s v="Lauren Bailey"/>
        <s v="Brittany Munoz"/>
        <s v="Benjamin Lutz"/>
        <s v="Andrew Williams"/>
        <s v="Jennifer Alvarado"/>
        <s v="James Taylor"/>
        <s v="Krista Nichols"/>
        <s v="Juan Rogers"/>
        <s v="Bradley Rogers"/>
        <s v="Cameron Bowen"/>
        <s v="David Morales"/>
        <s v="Rachel Rios"/>
        <s v="Mary Campos"/>
        <s v="Jacob Morris"/>
        <s v="John Robinson"/>
        <s v="Michael Erickson"/>
        <s v="Yesenia Thompson"/>
        <s v="Teresa Davis"/>
        <s v="Mark Reed"/>
        <s v="Colin Lewis"/>
        <s v="Austin Barrett"/>
        <s v="Mark Compton"/>
        <s v="Jonathan Holmes"/>
        <s v="Sabrina Barnett"/>
        <s v="Sheryl Davis"/>
        <s v="Kurt Murillo"/>
        <s v="Michael Hodge"/>
        <s v="Sarah Welch"/>
        <s v="Angela Young"/>
        <s v="Karen Contreras"/>
        <s v="Anthony Stephens"/>
        <s v="Daniel Brady"/>
        <s v="Carlos Rogers"/>
        <s v="David Garcia"/>
        <s v="Jenna Wong"/>
        <s v="Bradley Oneal"/>
        <s v="Stanley Velez"/>
        <s v="Daniel Villegas"/>
        <s v="Denise Snyder"/>
        <s v="Christian Williamson"/>
        <s v="Linda Estrada"/>
        <s v="Courtney Page"/>
        <s v="Timothy Garcia"/>
        <s v="Jacob Williams"/>
        <s v="William Phillips"/>
        <s v="Angela Graham"/>
        <s v="Melissa Smith"/>
        <s v="Richard Harris"/>
        <s v="Cassie Johnson"/>
        <s v="Jerome Martinez"/>
        <s v="Angel Gonzalez"/>
        <s v="Brooke Garcia"/>
        <s v="Andre Stone"/>
        <s v="Toni Marquez"/>
        <s v="David Weaver"/>
        <s v="William Aguilar"/>
        <s v="William James"/>
        <s v="Ross Taylor"/>
        <s v="Jeff Weaver"/>
        <s v="Megan Rodriguez"/>
        <s v="Aaron Patel"/>
        <s v="Rick Moran"/>
        <s v="Dalton Logan"/>
        <s v="Lauren Pearson"/>
        <s v="Wesley Harper"/>
        <s v="Faith Ray"/>
        <s v="Donald Brown"/>
        <s v="David Noble"/>
        <s v="Anthony Calhoun"/>
        <s v="Bryan Hughes"/>
        <s v="Tina Keith"/>
        <s v="Scott Carroll"/>
        <s v="Leslie Jones"/>
        <s v="Amanda Wilkinson"/>
        <s v="Scott Davis"/>
        <s v="Jesse Kennedy"/>
        <s v="Bradley Lewis"/>
        <s v="Casey Sparks"/>
        <s v="Kristen Hernandez"/>
        <s v="Patrick Garza"/>
        <s v="Ronald Mcdaniel"/>
        <s v="Mark Campbell"/>
        <s v="Linda Ross"/>
        <s v="Amanda Wilson"/>
        <s v="Jeffery Elliott"/>
        <s v="Sonya Burke"/>
        <s v="Samuel Cortez"/>
        <s v="Scott Lewis"/>
        <s v="Lisa Carter"/>
        <s v="Gloria Phillips"/>
        <s v="Michele Ortiz"/>
        <s v="Jeremy Dickson"/>
        <s v="Matthew Marshall"/>
        <s v="Lindsay Sanchez"/>
        <s v="Brian Flores"/>
        <s v="Chase Torres"/>
        <s v="Victor Acosta"/>
        <s v="Stephanie Ferguson"/>
        <s v="Anna Valdez"/>
        <s v="Robert Ingram"/>
        <s v="Joel Fitzpatrick"/>
        <s v="Louis Owens"/>
        <s v="Shelby Alvarez"/>
        <s v="Leslie Morton"/>
        <s v="Anne Johnson"/>
        <s v="John Garcia"/>
        <s v="Scott Webb"/>
        <s v="Sarah Griffin"/>
        <s v="Kimberly Gomez"/>
        <s v="Mark Mendoza"/>
        <s v="Edwin Brennan"/>
        <s v="Jennifer Olsen"/>
        <s v="Heather Gordon"/>
        <s v="Gary Simon"/>
        <s v="Dr. Daniel Sanchez"/>
        <s v="Taylor Duran"/>
        <s v="Michelle French"/>
        <s v="Wesley Brown"/>
        <s v="Ryan Taylor"/>
        <s v="Catherine Brock"/>
        <s v="David Stuart"/>
        <s v="Ryan Griffin"/>
        <s v="Mr. Nicholas Reed"/>
        <s v="Jimmy Evans"/>
        <s v="Matthew Moses"/>
        <s v="Heather Mitchell"/>
        <s v="Martha Lynch"/>
        <s v="Alyssa Zhang"/>
        <s v="Thomas Tanner"/>
        <s v="Brian Floyd"/>
        <s v="Cody Mahoney"/>
        <s v="Katherine Moore"/>
        <s v="Tracy Frey"/>
        <s v="Amy Wood"/>
        <s v="Anne Hall"/>
        <s v="Jennifer White MD"/>
        <s v="Richard Hayes"/>
        <s v="Benjamin Johnson"/>
        <s v="Andrew Clark"/>
        <s v="Anthony Kent"/>
        <s v="John Lopez"/>
        <s v="Christopher Vargas"/>
        <s v="Ryan Weaver"/>
        <s v="Robert Richards"/>
        <s v="Harold Smith"/>
        <s v="Jamie Tucker"/>
        <s v="Christine Burton MD"/>
        <s v="Miguel Odonnell"/>
        <s v="Keith Martinez"/>
        <s v="Christopher Merritt DVM"/>
        <s v="Hannah Santos"/>
        <s v="Taylor Pugh"/>
        <s v="Miranda Holland"/>
        <s v="Brooke Dillon"/>
        <s v="Jennifer Scott"/>
        <s v="Elizabeth Ross"/>
        <s v="Paul Krueger"/>
        <s v="Sierra Evans"/>
        <s v="Jonathan Wagner"/>
        <s v="Samuel Wiley"/>
        <s v="Kristine Khan"/>
        <s v="Amy Stewart"/>
        <s v="Michael Keller"/>
        <s v="Justin Rose"/>
        <s v="Ryan Becker"/>
        <s v="Jessica Lara"/>
        <s v="Sophia Fischer"/>
        <s v="Tracy Taylor"/>
        <s v="Mark Silva"/>
        <s v="Johnny Berg"/>
        <s v="Christine Cox"/>
        <s v="Andrew Harris"/>
        <s v="Donna Winters"/>
        <s v="Travis Washington"/>
        <s v="Mary Tran"/>
        <s v="Kathryn Hardy"/>
        <s v="Robert Willis"/>
        <s v="Dylan Townsend"/>
        <s v="Kenneth Garcia"/>
        <s v="Lance Gonzales"/>
        <s v="Noah Wade"/>
        <s v="Sandra Peterson"/>
        <s v="Megan Mays"/>
        <s v="Linda Long"/>
        <s v="Ronald Arias"/>
        <s v="Susan Lambert"/>
        <s v="Christopher Patrick"/>
        <s v="Joy Garcia"/>
        <s v="Ryan Jordan"/>
        <s v="Cynthia Conway"/>
        <s v="Sarah Thompson"/>
        <s v="Jack Phelps"/>
        <s v="Willie Hodge"/>
        <s v="Jerry Carroll"/>
        <s v="Michael Allen"/>
        <s v="Zachary Phillips"/>
        <s v="Ricardo Moran"/>
        <s v="Ms. Sheila Ward"/>
        <s v="Stephen Allen"/>
        <s v="Austin Reilly"/>
        <s v="Michael Crawford"/>
        <s v="Marie Nelson"/>
        <s v="Christina Meyers"/>
        <s v="Lisa Vang"/>
        <s v="Dylan Armstrong"/>
        <s v="Stephen Berry"/>
        <s v="David Vincent"/>
        <s v="Mary Singh"/>
        <s v="Robin Hughes"/>
        <s v="Jonathan Schmidt"/>
        <s v="Grace Montoya"/>
        <s v="Ashley Nguyen"/>
        <s v="Paige Lee"/>
        <s v="Beth Wolfe"/>
        <s v="Jessica Carr"/>
        <s v="Becky Gordon"/>
        <s v="Mary Kline"/>
        <s v="Selena Baker"/>
        <s v="Mr. Lawrence Parks"/>
        <s v="Martha Fitzgerald"/>
        <s v="Alexandria Smith"/>
        <s v="Nicholas Fisher"/>
        <s v="Barbara Patel"/>
        <s v="Brent Rios"/>
        <s v="Jesus Ramirez"/>
        <s v="Jennifer Dominguez"/>
        <s v="Evan Huynh"/>
        <s v="Valerie Perry"/>
        <s v="Michelle Johnson"/>
        <s v="Kimberly Harrington"/>
        <s v="Stephanie Harrington"/>
        <s v="Rachel Bryan"/>
        <s v="Matthew Stein"/>
        <s v="Andrea Hull DDS"/>
        <s v="Kelly Garcia"/>
        <s v="Kelsey King"/>
        <s v="Haley Herrera"/>
        <s v="Monica Flores"/>
        <s v="Sheri Steele"/>
        <s v="Aaron Ramirez"/>
        <s v="Michael Walls"/>
        <s v="Gregory Garza"/>
        <s v="Dustin Blackburn"/>
        <s v="Richard Anderson"/>
        <s v="Richard Santiago"/>
        <s v="William Reyes"/>
        <s v="Lisa Moss"/>
        <s v="Patrick Chen"/>
        <s v="David Wilson"/>
        <s v="Cynthia Mullen"/>
        <s v="Sandra Jensen"/>
        <s v="John Sanders"/>
        <s v="Shannon Lee"/>
        <s v="Ruth Bennett"/>
        <s v="Jack Romero"/>
        <s v="Glen Anderson"/>
        <s v="Robert Hunter DDS"/>
        <s v="Michael Sullivan"/>
        <s v="Martin White"/>
        <s v="Emma Sharp"/>
        <s v="Dr. Brandi Stone"/>
        <s v="Roger Hall"/>
        <s v="Roberta Thompson"/>
        <s v="Jacqueline Ward"/>
        <s v="Mrs. Denise Solis DDS"/>
        <s v="Matthew Barajas"/>
        <s v="Jeffery Hoover"/>
        <s v="Johnny George"/>
        <s v="Pamela Johnson"/>
        <s v="Gregory Palmer"/>
        <s v="Douglas Lane"/>
        <s v="April Delgado"/>
        <s v="Felicia Fox"/>
        <s v="Tammy Deleon"/>
        <s v="Maria Krueger"/>
        <s v="Grant Juarez"/>
        <s v="Brandon Davis"/>
        <s v="Thomas Hawkins"/>
        <s v="Dr. Emily Thomas"/>
        <s v="Kendra Herman"/>
        <s v="Karen Hunt"/>
        <s v="Lisa Moore"/>
        <s v="Brian Lara"/>
        <s v="Zachary Lee"/>
        <s v="Robert Smith"/>
        <s v="Brian Robinson"/>
        <s v="Mark Robertson"/>
        <s v="Heather Campbell"/>
        <s v="Angela Lopez"/>
        <s v="Renee Moss"/>
        <s v="Kevin Larson"/>
        <s v="Michael Williams"/>
        <s v="Jo King"/>
        <s v="Jonathan Harris"/>
        <s v="Dennis Jacobs"/>
        <s v="Kelly Dixon"/>
        <s v="Danielle Love"/>
        <s v="Mrs. Danielle Kerr"/>
        <s v="Wanda Gonzalez"/>
        <s v="John Bailey"/>
        <s v="Caitlin Daniels"/>
        <s v="Jerry Bell"/>
        <s v="Michael Jackson"/>
        <s v="Charlotte Reed"/>
        <s v="Peter Baldwin"/>
        <s v="Jerry Ramirez"/>
        <s v="Brooke Trevino"/>
        <s v="Hannah Marquez"/>
        <s v="Amanda Walker"/>
        <s v="John Russo"/>
        <s v="Anthony Hale"/>
        <s v="Nicole Miller"/>
        <s v="Amanda Ashley"/>
        <s v="Susan Salazar"/>
        <s v="Shawn Mejia"/>
        <s v="Rhonda Rodriguez"/>
        <s v="Christopher Cabrera"/>
        <s v="Michael Barnes"/>
        <s v="Eric Carter"/>
        <s v="Justin Wright"/>
        <s v="Kristen Vasquez"/>
        <s v="James Snyder"/>
        <s v="Maureen Adams"/>
        <s v="Elizabeth Walker"/>
        <s v="Ashley Malone"/>
        <s v="Joshua Mendoza"/>
        <s v="Amy Hampton"/>
        <s v="Kelly Diaz"/>
        <s v="Mr. Nathaniel Cox"/>
        <s v="Ms. Brianna Jones"/>
        <s v="Andrea Fowler"/>
        <s v="Joseph Hall"/>
        <s v="Caitlin Hawkins"/>
        <s v="Lisa Smith"/>
        <s v="Paul Garrison"/>
        <s v="Alfred Marsh"/>
        <s v="Eric Cooper"/>
        <s v="Priscilla Williams"/>
        <s v="Michael Vasquez"/>
        <s v="Timothy Walton"/>
        <s v="Christopher Evans"/>
        <s v="Angela Roberts"/>
        <s v="Cory Chambers"/>
        <s v="Ann Melton"/>
        <s v="Dylan Roth"/>
        <s v="Jonathan Lambert"/>
        <s v="Heather Graves"/>
        <s v="Andrew Martinez"/>
        <s v="Jeffrey Fischer"/>
        <s v="Barbara Schmidt"/>
        <s v="Kimberly Reyes"/>
        <s v="Paul Walker"/>
        <s v="Melanie Phillips"/>
        <s v="Alicia Mclean"/>
        <s v="Carl Mahoney"/>
        <s v="Eric Beasley"/>
        <s v="Bonnie Hall"/>
        <s v="Sarah King"/>
        <s v="Nicholas Evans"/>
        <s v="Patricia Brooks"/>
        <s v="Kristin Gonzalez"/>
        <s v="Jessica Mckenzie"/>
        <s v="Katherine Berry"/>
        <s v="Mrs. Deborah Boone"/>
        <s v="Sonya Mendoza"/>
        <s v="Jennifer Sullivan"/>
        <s v="Jessica Jones"/>
        <s v="Denise Mcconnell"/>
        <s v="Madison Joseph"/>
        <s v="Michael Bradshaw"/>
        <s v="David Powers"/>
        <s v="Ricardo Davis"/>
        <s v="Maurice Reynolds"/>
        <s v="Mark Williams"/>
        <s v="Mr. Daniel Knox"/>
        <s v="Mary Diaz"/>
        <s v="Tonya Kirby"/>
        <s v="Amanda Holmes"/>
        <s v="Kyle Wright II"/>
        <s v="Brenda Rasmussen"/>
        <s v="Brian Wilson"/>
        <s v="Ross Wilson"/>
        <s v="Dr. Meredith Murphy"/>
        <s v="John Wade"/>
        <s v="Paula Pineda"/>
        <s v="Meagan Johnson"/>
        <s v="Nathan Garcia"/>
        <s v="Christopher Burgess"/>
        <s v="Bryce Hooper"/>
        <s v="Bruce Brown"/>
        <s v="Deborah James"/>
        <s v="Andrew Espinoza"/>
        <s v="Rodney Lee"/>
        <s v="Stephanie Callahan"/>
        <s v="Adam Sanchez"/>
        <s v="Benjamin Garrett"/>
        <s v="Christopher Lloyd"/>
        <s v="Darren Pittman"/>
        <s v="Brandon Lawrence"/>
        <s v="Corey Padilla"/>
        <s v="Kimberly Bowers"/>
        <s v="Ruth King"/>
        <s v="Bethany Gallagher"/>
        <s v="Patrick Benson"/>
        <s v="Connie Wilson"/>
        <s v="Anthony Rich"/>
        <s v="Anthony Sandoval"/>
        <s v="Regina Allen"/>
        <s v="Jesse Carter"/>
        <s v="Tim Alvarez"/>
        <s v="Lisa Perez"/>
        <s v="Vincent Torres"/>
        <s v="Sean Warren DDS"/>
        <s v="Mary Allen"/>
        <s v="Michelle Walsh"/>
        <s v="Tim Dean"/>
        <s v="Kristen Mahoney"/>
        <s v="Destiny Harris"/>
        <s v="Martin Miller"/>
        <s v="Kyle Lopez"/>
        <s v="Madison Gonzales"/>
        <s v="William Hudson"/>
        <s v="Steven Huynh"/>
        <s v="Richard Nichols"/>
        <s v="William Martinez"/>
        <s v="Devin Monroe"/>
        <s v="Craig Matthews"/>
        <s v="Michelle Bennett"/>
        <s v="Justin Forbes"/>
        <s v="Anna Rogers"/>
        <s v="Aaron Woods"/>
        <s v="Lisa Lewis"/>
        <s v="Miss Angela Webb"/>
        <s v="Sean Smith"/>
        <s v="James Brown"/>
        <s v="Paula Robinson"/>
        <s v="Jonathan Melton"/>
        <s v="Deanna Ortiz"/>
        <s v="Janet Murray MD"/>
        <s v="Megan Scott"/>
        <s v="Spencer Jacobs"/>
        <s v="Isaac Montgomery"/>
        <s v="Johnny Walker"/>
        <s v="Dawn Thompson"/>
        <s v="Amber Fernandez"/>
        <s v="Lisa Hernandez"/>
        <s v="Luis Vazquez"/>
        <s v="Angelica Hansen"/>
        <s v="Tracey Taylor"/>
        <s v="Stephanie Wolfe"/>
        <s v="Melissa Weaver"/>
        <s v="Sarah Gonzalez"/>
        <s v="Gregory Munoz"/>
        <s v="Gregory Wilson"/>
        <s v="Carla Mcneil"/>
        <s v="Michael Gray"/>
        <s v="Cody Atkins"/>
        <s v="Thomas Shepard"/>
        <s v="Mary Hill"/>
        <s v="Donna Fisher"/>
        <s v="Christian Johnson"/>
        <s v="Janet Evans"/>
        <s v="Christopher Martin"/>
        <s v="Melanie Noble"/>
        <s v="Leslie White"/>
        <s v="Carolyn Nicholson"/>
        <s v="Victor Hill"/>
        <s v="Dillon Cruz"/>
        <s v="Danny Ayers"/>
        <s v="Marcia Moore"/>
        <s v="Lori Williams"/>
        <s v="Joanne Mitchell"/>
        <s v="Manuel Carter"/>
        <s v="Heather Gardner"/>
        <s v="Julia Crawford"/>
        <s v="Vicki Kennedy"/>
        <s v="Thomas Howard"/>
        <s v="Glenn Blackwell"/>
        <s v="Christopher Ortiz"/>
        <s v="Adam Larson"/>
        <s v="Jeffrey Hess"/>
        <s v="Megan Carter"/>
        <s v="Ryan Schultz"/>
        <s v="Jennifer Ruiz"/>
        <s v="Justin Harvey"/>
        <s v="Kristen Martin"/>
        <s v="Carlos Bishop"/>
        <s v="Brian Garner"/>
        <s v="Casey Mathews"/>
        <s v="Heidi Ward"/>
        <s v="Kayla Andersen"/>
        <s v="Alexandra Park"/>
        <s v="Dennis Morales"/>
        <s v="Emma Chavez"/>
        <s v="Susan Davis"/>
        <s v="Stephanie Baker"/>
        <s v="Robert Mcgrath PhD"/>
        <s v="Matthew Gibson"/>
        <s v="Laura Anderson"/>
        <s v="David Perry"/>
        <s v="Gabriel Brooks"/>
        <s v="Adam Villarreal"/>
        <s v="Todd Edwards"/>
        <s v="David Hanson"/>
        <s v="Tracy Thomas"/>
        <s v="Vanessa Hale"/>
        <s v="Kelly Scott"/>
        <s v="Nicole Adkins"/>
        <s v="Larry Kent"/>
        <s v="Nicole Munoz MD"/>
        <s v="Anna Nguyen"/>
        <s v="Christopher Martinez"/>
        <s v="Amanda Jones"/>
        <s v="Ronald Black"/>
        <s v="John White"/>
        <s v="Robert Fletcher"/>
        <s v="Johnny Powell"/>
        <s v="Abigail Wilson"/>
        <s v="Lisa Scott"/>
        <s v="Brandon Rodriguez"/>
        <s v="Amanda Evans"/>
        <s v="Amy Gibson"/>
        <s v="Jessica Stafford"/>
        <s v="Bryan Jarvis"/>
        <s v="Dylan Salas"/>
        <s v="Blake Holland"/>
        <s v="George Nelson"/>
        <s v="Victoria Lee"/>
        <s v="Garrett Dudley"/>
        <s v="Eric Armstrong"/>
        <s v="Mr. John Carroll Jr."/>
        <s v="Amy Khan"/>
        <s v="Carla Hernandez"/>
        <s v="Charles Brown"/>
        <s v="Samuel Schroeder"/>
        <s v="Matthew Hester"/>
        <s v="Adam Barnes"/>
        <s v="Christopher Taylor"/>
        <s v="Samuel Jordan"/>
        <s v="Desiree Jacobs"/>
        <s v="John Sanchez"/>
        <s v="Rebecca Flowers"/>
        <s v="Tracy Santana"/>
        <s v="Andrea Jones"/>
        <s v="Patricia Robinson"/>
        <s v="Amanda Gray"/>
        <s v="Bruce Chavez"/>
        <s v="Michelle Palmer"/>
        <s v="Zachary Bowers"/>
        <s v="Lisa Sanders"/>
        <s v="Joseph Carney"/>
        <s v="Crystal Ferguson"/>
        <s v="James Keller"/>
        <s v="Taylor Martin"/>
        <s v="Joshua Roberts"/>
        <s v="Charles Warner"/>
        <s v="Debra Gibson"/>
        <s v="Jeff Gordon"/>
        <s v="Jesus Swanson"/>
        <s v="David Hodges"/>
        <s v="Daniel Mills"/>
        <s v="Frank Garcia MD"/>
        <s v="Steven Gutierrez"/>
        <s v="Amy Ramsey"/>
        <s v="Kimberly Morgan"/>
        <s v="Matthew Mcgee"/>
        <s v="Monica Jackson"/>
        <s v="Richard Chandler"/>
        <s v="Ricardo Jordan"/>
        <s v="Ashley Nielsen"/>
        <s v="Stephen Lynn"/>
        <s v="Mr. Anthony Williams MD"/>
        <s v="Heather Zimmerman"/>
        <s v="Amy Cook"/>
        <s v="Courtney Brown"/>
        <s v="Willie Barron"/>
        <s v="Dr. Joseph Guzman MD"/>
        <s v="Amy Parker"/>
        <s v="Justin Dougherty"/>
        <s v="Luis Turner"/>
        <s v="Cindy Marsh"/>
        <s v="Eduardo Hardy"/>
        <s v="Brandon Mccormick"/>
        <s v="Brenda Graham"/>
        <s v="Rhonda Patterson"/>
        <s v="Cassandra Wright"/>
        <s v="Andre Jefferson"/>
        <s v="Chelsey Morales DVM"/>
        <s v="Jennifer Ayala"/>
        <s v="Lisa Gomez"/>
        <s v="Michael Dillon"/>
        <s v="Thomas Robertson"/>
        <s v="Colleen Wallace"/>
        <s v="Jordan Hamilton"/>
        <s v="Kevin Flores"/>
        <s v="Mikayla Smith"/>
        <s v="Angela Wheeler"/>
        <s v="Kristen Gutierrez"/>
        <s v="Michael Kennedy"/>
        <s v="Andrea Ryan"/>
        <s v="Stephanie Mccormick"/>
        <s v="Jennifer Rich"/>
        <s v="George Bonilla"/>
        <s v="Laurie Stephens"/>
        <s v="Randall Chapman"/>
        <s v="Tammy Jennings"/>
        <s v="Amanda Williams"/>
        <s v="Michael Logan"/>
        <s v="James Gilbert"/>
        <s v="Cynthia Hopkins"/>
        <s v="Sandra Simmons"/>
        <s v="Lori Bush"/>
        <s v="Sarah Ortiz"/>
        <s v="Sheila Miller"/>
        <s v="Sara Dillon"/>
        <s v="Nancy Wood"/>
        <s v="Annette Campbell"/>
        <s v="Cheryl Roberts"/>
        <s v="Darlene Cervantes"/>
        <s v="Emily Chambers"/>
        <s v="Jacob Curry"/>
        <s v="Sandra Fernandez"/>
        <s v="Billy Smith"/>
        <s v="Douglas Rhodes"/>
        <s v="Paul Kennedy"/>
        <s v="James Spencer"/>
        <s v="John Mora Jr."/>
        <s v="Kayla Mclaughlin"/>
        <s v="Kayla Marshall MD"/>
        <s v="Veronica Everett"/>
        <s v="Samuel Mitchell"/>
        <s v="Lisa Saunders"/>
        <s v="Veronica Long"/>
        <s v="Donna Mendoza"/>
        <s v="Dennis Harris"/>
        <s v="Angela Warren"/>
        <s v="Jeremy Phillips"/>
        <s v="Karen Patterson"/>
        <s v="Kristen Barnes"/>
        <s v="Bobby Brock"/>
        <s v="Jeffrey Lewis"/>
        <s v="Deborah Gordon"/>
        <s v="Heather Taylor"/>
        <s v="Brian Kim"/>
        <s v="Wendy Rodriguez"/>
        <s v="Jade Dawson"/>
        <s v="Crystal Mcneil"/>
        <s v="Matthew Gross"/>
        <s v="Dennis Brown"/>
        <s v="Stephanie Williams"/>
        <s v="Paul Estrada"/>
        <s v="Michelle Anderson"/>
        <s v="Steven Kelly"/>
        <s v="Matthew Hicks"/>
        <s v="Natalie Adams"/>
        <s v="Jacob Kline"/>
        <s v="David Brown"/>
        <s v="Kristopher Gregory"/>
        <s v="Barry Ali"/>
        <s v="Kenneth Bryant"/>
        <s v="Lindsey Walker"/>
        <s v="Joel Wright"/>
        <s v="Judith Graves"/>
        <s v="Shannon White"/>
        <s v="Ronnie Perry"/>
        <s v="Courtney Wright"/>
        <s v="Martin Alvarez"/>
        <s v="Amanda Hester"/>
        <s v="Jasmine Torres"/>
        <s v="John Melton"/>
        <s v="Brandon Rojas"/>
        <s v="Michael Mccormick"/>
        <s v="Raymond Hernandez"/>
        <s v="Kristine Anderson"/>
        <s v="Tina Castillo"/>
        <s v="Troy Smith"/>
        <s v="Aaron Kaiser"/>
        <s v="Shawn Santiago"/>
        <s v="Elizabeth Ramirez"/>
        <s v="Danielle Hill"/>
        <s v="Virginia Murphy"/>
        <s v="Bobby Morrison"/>
        <s v="Daniel Martin"/>
        <s v="Kevin Carpenter"/>
        <s v="Michele Hicks"/>
        <s v="Samantha Richards"/>
        <s v="Zachary Macdonald"/>
        <s v="Regina Rodriguez"/>
        <s v="Nathan Hendrix"/>
        <s v="Joshua Blake"/>
        <s v="Kelly Juarez"/>
        <s v="David Wood"/>
        <s v="Lisa Ford"/>
        <s v="Robert Cline"/>
        <s v="Louis Holt"/>
        <s v="Mr. Alexander Costa Jr."/>
        <s v="Natalie Bernard"/>
        <s v="Kelsey Hampton"/>
        <s v="Anthony Daniels"/>
        <s v="April Davis MD"/>
        <s v="April Jones"/>
        <s v="Logan Russell"/>
        <s v="Jessica Lee"/>
        <s v="Aaron Miller"/>
        <s v="Melissa Rodriguez"/>
        <s v="Debra Wilcox"/>
        <s v="Mary Ruiz"/>
        <s v="Mary Fletcher"/>
        <s v="Jonathan Caldwell"/>
        <s v="Matthew Johnson"/>
        <s v="Marcus Harris"/>
        <s v="Devin Gallagher"/>
        <s v="Diana Campbell"/>
        <s v="Sharon Decker"/>
        <s v="Andrew Trevino"/>
        <s v="Julie Arnold"/>
        <s v="Taylor Aguirre"/>
        <s v="Terry Estrada"/>
        <s v="Alyssa Carter"/>
        <s v="John Case Jr."/>
        <s v="Danielle Stevenson"/>
        <s v="Richard Santos"/>
        <s v="Clifford Deleon"/>
        <s v="John Wu"/>
        <s v="Lauren Cook"/>
        <s v="Susan Mejia PhD"/>
        <s v="Tyler Clark"/>
        <s v="Julian Nielsen"/>
        <s v="Jennifer Jordan"/>
        <s v="Alan Carpenter"/>
        <s v="Shirley Fuller"/>
        <s v="Johnny Doyle"/>
        <s v="Jennifer Ware"/>
        <s v="Susan Morris"/>
        <s v="Leslie Clark"/>
        <s v="Christian Green"/>
        <s v="Patricia Henderson"/>
        <s v="Scott Sweeney"/>
        <s v="Carmen Cline"/>
        <s v="Adam Hopkins"/>
        <s v="Valerie King"/>
        <s v="John Romero"/>
        <s v="Thomas Murillo"/>
        <s v="Susan Buck"/>
        <s v="Martin Lynch"/>
        <s v="Laura Perez"/>
        <s v="Larry Mills"/>
        <s v="Jo Mckinney"/>
        <s v="Christina Martinez"/>
        <s v="Emma Sanchez"/>
        <s v="Susan Young"/>
        <s v="Mark Henderson"/>
        <s v="David Gutierrez"/>
        <s v="Ariel Velasquez"/>
        <s v="Omar Norman"/>
        <s v="Shannon Bell"/>
        <s v="Gary Ferrell"/>
        <s v="Martha Smith"/>
        <s v="Justin Aguilar"/>
        <s v="James Ibarra"/>
        <s v="Lacey Solis"/>
        <s v="Linda Riley"/>
        <s v="Theresa Stone"/>
        <s v="Christopher Brown Jr."/>
        <s v="Mary Miller"/>
        <s v="Nancy Chandler"/>
        <s v="Sheryl Brown"/>
        <s v="Amy Mcpherson"/>
        <s v="Robin Rios"/>
        <s v="Sheila Gutierrez"/>
        <s v="Jennifer Delgado"/>
        <s v="Kelly Thomas"/>
        <s v="Gabriel Conley"/>
        <s v="Kelsey Mcdonald"/>
        <s v="Mary Gilbert"/>
        <s v="Tracy Knight"/>
        <s v="Stephanie Jones"/>
        <s v="David Rodriguez"/>
        <s v="Christine Riley"/>
        <s v="Justin Garza"/>
        <s v="Stephanie Cook MD"/>
        <s v="Phillip Smith"/>
        <s v="Audrey Pittman"/>
        <s v="Jeremy Booth"/>
        <s v="Stephanie Ford"/>
        <s v="Shawn Martinez"/>
        <s v="Alexa Davis"/>
        <s v="April Harrison"/>
        <s v="April Ward"/>
        <s v="Monique Brown"/>
        <s v="Jessica Campbell"/>
        <s v="Victor Peterson"/>
        <s v="David Garcia MD"/>
        <s v="Andrea Young"/>
        <s v="Brian Garcia"/>
        <s v="Amanda Smith"/>
        <s v="Sharon Cain"/>
        <s v="Dustin Skinner"/>
        <s v="Timothy Thompson"/>
        <s v="Christina Carter"/>
        <s v="Mrs. Crystal Stokes"/>
        <s v="Joseph Wilson"/>
        <s v="Brittany Hicks"/>
        <s v="Raymond Floyd"/>
        <s v="Daniel Smith"/>
        <s v="Sydney Warren"/>
        <s v="Morgan Blankenship"/>
        <s v="Heather Walsh"/>
        <s v="Robin Jennings"/>
        <s v="Anita Rose"/>
        <s v="Gregory Kennedy"/>
        <s v="Robert Nelson"/>
        <s v="Stephen Barber"/>
        <s v="Jay Bates"/>
        <s v="Samuel Wilson"/>
        <s v="Denise Spencer"/>
        <s v="Walter Richard"/>
        <s v="Susan Gonzalez"/>
        <s v="Christopher Hawkins"/>
        <s v="David Moreno"/>
        <s v="John Boyd"/>
        <s v="John Johns"/>
        <s v="Victoria Greene"/>
        <s v="Joe Reed"/>
        <s v="Kurt Best"/>
        <s v="Tammy Jackson"/>
        <s v="Cynthia Wright"/>
        <s v="Robert Page"/>
        <s v="Rachel Alvarez"/>
        <s v="Catherine Young"/>
        <s v="Kimberly Villanueva"/>
        <s v="Jeanette Maldonado"/>
        <s v="John Scott"/>
        <s v="William Brown"/>
        <s v="Cody Benson"/>
        <s v="Kara Waller"/>
        <s v="Veronica Jones"/>
        <s v="Michelle Robertson"/>
        <s v="Aaron Molina"/>
        <s v="Javier Sloan"/>
        <s v="Michael Roberts"/>
        <s v="Brittney Scott"/>
        <s v="Laura Shaw"/>
        <s v="Charles Ray"/>
        <s v="Dominic Baker"/>
        <s v="Thomas Carr"/>
        <s v="Michael Bright"/>
        <s v="Ralph Owens"/>
        <s v="Norman Owens"/>
        <s v="David Mitchell"/>
        <s v="Katie Montoya"/>
        <s v="Daniel Greer"/>
        <s v="Lacey Buchanan"/>
        <s v="Dr. Dawn Martin"/>
        <s v="Jeanette Gordon"/>
        <s v="Deborah Weber"/>
        <s v="Eric Hoffman"/>
        <s v="Diana Hall"/>
        <s v="Amy Barker"/>
        <s v="Danielle Davis"/>
        <s v="Daniel Ray"/>
        <s v="Renee Martinez"/>
        <s v="Daniel Hamilton"/>
        <s v="Debbie Wade"/>
        <s v="Adrienne Anderson MD"/>
        <s v="David Snyder"/>
        <s v="Jennifer Palmer"/>
        <s v="Amanda Pham"/>
        <s v="Gary Andrade"/>
        <s v="Austin Quinn"/>
        <s v="Jim Strong"/>
        <s v="Amy Frederick"/>
        <s v="Whitney Mathis"/>
        <s v="Kayla Peters"/>
        <s v="Caitlin Callahan"/>
        <s v="Joseph Barton"/>
        <s v="Melissa Norman"/>
        <s v="Mary Smith"/>
        <s v="Robert Henderson"/>
        <s v="Laurie Williams"/>
        <s v="Jeffrey Owens"/>
        <s v="Melinda Cohen"/>
        <s v="Kevin Miller"/>
        <s v="Jeffrey Martinez"/>
        <s v="Nicole Smith"/>
        <s v="Regina Lewis"/>
        <s v="Christopher Williams"/>
        <s v="Donald Howard"/>
        <s v="Charles Johnson"/>
        <s v="Candace Huff"/>
        <s v="Matthew Good"/>
        <s v="Rebekah Parker"/>
        <s v="Alex Marshall"/>
        <s v="Ashley Harrison"/>
        <s v="Mario Scott"/>
        <s v="Victor Jones"/>
        <s v="James Day"/>
        <s v="Jeffery Blankenship"/>
        <s v="Jacqueline Peck"/>
        <s v="Sean Tran"/>
        <s v="Craig Miller"/>
        <s v="Melissa Clark"/>
        <s v="Alex Nash"/>
        <s v="John Ramirez"/>
        <s v="Jared Hill"/>
        <s v="Patrick Hernandez"/>
        <s v="Kenneth Anthony"/>
        <s v="Jason Stanley"/>
        <s v="Kyle Jordan"/>
        <s v="John Fisher"/>
        <s v="Sarah Glass"/>
        <s v="Sean Moore"/>
        <s v="Jessica Gonzalez"/>
        <s v="Christine Scott"/>
        <s v="Erin Cook"/>
        <s v="Alexa Mclaughlin"/>
        <s v="Matthew Whitaker"/>
        <s v="Ronald Cohen"/>
        <s v="Robert Martinez"/>
        <s v="James Edwards"/>
        <s v="Elizabeth Rice"/>
        <s v="Allison Mccann"/>
        <s v="Dr. Nicholas Martinez"/>
        <s v="Katie Berger"/>
        <s v="Robert Sosa"/>
        <s v="Anna Hernandez"/>
        <s v="Robert Nichols"/>
        <s v="Angel Gutierrez"/>
        <s v="Stephanie Frank"/>
        <s v="Cindy Anderson"/>
        <s v="Jon Hernandez"/>
        <s v="David Alvarez"/>
        <s v="John Perry"/>
        <s v="Amanda Schroeder"/>
        <s v="Kendra Alvarado"/>
        <s v="Melanie Howe"/>
        <s v="Kathryn Chang"/>
        <s v="Javier Williams"/>
        <s v="Cynthia Rhodes"/>
        <s v="Travis Boyd"/>
        <s v="Ashley Williams"/>
        <s v="Christine Decker"/>
        <s v="Brandon Flowers"/>
        <s v="Amy Clark"/>
        <s v="Timothy Smith"/>
        <s v="Maureen Cohen"/>
        <s v="Crystal Ortiz"/>
        <s v="Joshua Knight"/>
        <s v="Rachael Terrell"/>
        <s v="Kimberly Andrews"/>
        <s v="John Lawrence"/>
        <s v="Laura Chen"/>
        <s v="Lindsey Craig"/>
        <s v="Kristin Scott"/>
        <s v="Matthew Alvarez"/>
        <s v="Andrea Cortez"/>
        <s v="Heather Flores"/>
        <s v="Jill Eaton"/>
        <s v="Amy Potts"/>
        <s v="Antonio Woods"/>
        <s v="Cindy Zamora"/>
        <s v="Amanda Day"/>
        <s v="Miss Roberta Gonzalez MD"/>
        <s v="Brian Taylor"/>
        <s v="Mark Bonilla"/>
        <s v="Carrie Larson"/>
        <s v="Brian Howard"/>
        <s v="Darren Bailey"/>
        <s v="Wanda Medina"/>
        <s v="Kenneth Hooper"/>
        <s v="Eric Rogers"/>
        <s v="Trevor Lynch DVM"/>
        <s v="Amy Robinson"/>
        <s v="Jeremiah Salas"/>
        <s v="Jeff Dorsey"/>
        <s v="Shannon Bean"/>
        <s v="Allison Miller"/>
        <s v="Sean Rogers"/>
        <s v="William Wells"/>
        <s v="John Hayes"/>
        <s v="Hannah Jackson"/>
        <s v="Kim Chavez"/>
        <s v="Robert Burnett"/>
        <s v="Cory Evans"/>
        <s v="Amanda Benson"/>
        <s v="Ashley Martin"/>
        <s v="Courtney Smith"/>
        <s v="Selena Johnson"/>
        <s v="Anthony Contreras"/>
        <s v="Michelle Greene"/>
        <s v="Jennifer Ortiz"/>
        <s v="Russell King"/>
        <s v="Alyssa Horn"/>
        <s v="Carlos Valencia"/>
        <s v="Erica Smith"/>
        <s v="Brianna Bonilla"/>
        <s v="Steven Reed"/>
        <s v="Dr. Jacqueline Henry"/>
        <s v="Kathryn Green"/>
        <s v="Ashley Miller"/>
        <s v="Ricky Nelson"/>
        <s v="Joshua Greer"/>
        <s v="Nicholas Dennis"/>
        <s v="Crystal Hubbard"/>
        <s v="Jessica Garrett"/>
        <s v="Randall Bruce"/>
        <s v="Christopher Moore"/>
        <s v="James Aguilar"/>
        <s v="Mr. Wayne Fletcher DVM"/>
        <s v="Yvonne Perez"/>
        <s v="Michael Deleon"/>
        <s v="Miss Natalie Aguilar"/>
        <s v="Kevin Allison"/>
        <s v="Douglas Scott"/>
        <s v="Rachel Williams"/>
        <s v="Traci Jennings"/>
        <s v="Ryan Braun"/>
        <s v="Patrick Hill"/>
        <s v="Colin Osborne"/>
        <s v="Anthony Love"/>
        <s v="Mark Wood"/>
        <s v="Debra Romero"/>
        <s v="Edward Santos"/>
        <s v="Deborah Richmond"/>
        <s v="Nathan Washington"/>
        <s v="Kenneth Harris"/>
        <s v="Jeffrey Cook"/>
        <s v="Loretta Perry"/>
        <s v="Shelley Olson"/>
        <s v="Jason Tucker"/>
        <s v="Dawn Perkins"/>
        <s v="Cody Rogers"/>
        <s v="Michael Freeman"/>
        <s v="Kenneth Bennett"/>
        <s v="Ryan Bowen"/>
        <s v="Raymond Mcdonald"/>
        <s v="Richard Alexander"/>
        <s v="Tamara Hopkins"/>
        <s v="Ashley Fernandez"/>
        <s v="Christine Garcia"/>
        <s v="Julie Grant"/>
        <s v="Sharon Sharp"/>
        <s v="Thomas Nielsen"/>
        <s v="Michael Day"/>
        <s v="James Thompson"/>
        <s v="Jessica Wilkerson"/>
        <s v="Brian Young"/>
        <s v="Travis Watson"/>
        <s v="Elizabeth Vargas"/>
        <s v="Amy Garcia"/>
        <s v="Jason Davis PhD"/>
        <s v="Scott Stephenson"/>
        <s v="Sally Morales"/>
        <s v="William Doyle"/>
        <s v="Rebecca Lowery"/>
        <s v="Tina Wilson"/>
        <s v="Samantha Gould"/>
        <s v="Jessica Park"/>
        <s v="Kathy Smith"/>
        <s v="Maurice Mcconnell"/>
        <s v="Danielle Kaufman"/>
        <s v="Christine James"/>
        <s v="Michael Diaz"/>
        <s v="Tony Davis"/>
        <s v="Kelly Saunders"/>
        <s v="Steve Tran"/>
        <s v="Christopher Davis"/>
        <s v="Stephanie Franco"/>
        <s v="Kristie Williams"/>
        <s v="Stephanie King"/>
        <s v="Travis Thomas"/>
        <s v="Carol Young"/>
        <s v="Angela Wiggins"/>
        <s v="Diana Buchanan"/>
        <s v="George Moody"/>
        <s v="Michael Morris"/>
        <s v="James Hayes"/>
        <s v="Timothy Nash"/>
        <s v="Amanda Wolf"/>
        <s v="Barbara Thompson"/>
        <s v="Natasha Willis"/>
        <s v="Kathleen Sharp"/>
        <s v="Shirley Mann"/>
        <s v="Sarah Nguyen"/>
        <s v="Austin Warner"/>
        <s v="Heather Hall"/>
        <s v="Colin Dillon"/>
        <s v="Brittany Perkins"/>
        <s v="Patricia Stokes"/>
        <s v="Brenda Lewis"/>
        <s v="Catherine Good"/>
        <s v="Walter Jenkins"/>
        <s v="James Leonard"/>
        <s v="Sarah Craig"/>
        <s v="Sheila Crawford"/>
        <s v="Annette Miller"/>
        <s v="Michael Green"/>
        <s v="Kimberly Morris"/>
        <s v="James Soto"/>
        <s v="Scott Bryant"/>
        <s v="Teresa Carlson"/>
        <s v="Jennifer Richardson"/>
        <s v="Karen Bridges"/>
        <s v="Amy Riley"/>
        <s v="Deanna Woods"/>
        <s v="Sharon Reed"/>
        <s v="Rachel Brown"/>
        <s v="Richard Lopez"/>
        <s v="Jordan Pierce"/>
        <s v="Andrew Sharp"/>
        <s v="Kimberly Mitchell"/>
        <s v="Patricia Stanley"/>
        <s v="Gabriel Browning"/>
        <s v="Kaitlin Thompson"/>
        <s v="April Nichols"/>
        <s v="Susan Solis"/>
        <s v="Melissa Flowers"/>
        <s v="Sydney Chambers"/>
        <s v="Laurie Potter"/>
        <s v="Robyn Downs"/>
        <s v="Sara Duffy"/>
        <s v="Lisa Frederick"/>
        <s v="John Kim"/>
        <s v="Ashley Hernandez"/>
        <s v="Toni Allison"/>
        <s v="John Irwin"/>
        <s v="Randall Mcdonald"/>
        <s v="Matthew Estes"/>
        <s v="Alexandra Washington"/>
        <s v="Joshua Warren"/>
        <s v="Jeff Holland"/>
        <s v="Kristina Gutierrez"/>
        <s v="Briana Ford"/>
        <s v="Gregory Douglas"/>
        <s v="Michelle Williams"/>
        <s v="Brenda Cooper"/>
        <s v="Nathaniel Ramos"/>
        <s v="Angela Hart MD"/>
        <s v="Valerie Miles"/>
        <s v="Timothy Murphy"/>
        <s v="Amanda Love"/>
        <s v="Charles Friedman"/>
        <s v="Jamie Wilkerson"/>
        <s v="Joshua Wade"/>
        <s v="Hailey Braun"/>
        <s v="Lauren Kelley"/>
        <s v="Nancy Palmer"/>
        <s v="Tiffany Baker"/>
        <s v="Jennifer Vargas"/>
        <s v="Jeffrey Powell"/>
        <s v="Jillian Castillo"/>
        <s v="Mr. Robert Washington"/>
        <s v="Nancy Carroll"/>
        <s v="Christopher Terrell"/>
        <s v="Erin Alvarado"/>
        <s v="Brenda Williams"/>
        <s v="Kendra James MD"/>
        <s v="Tanya Johnson"/>
        <s v="Kim Mendez"/>
        <s v="Daniel Hale"/>
        <s v="Lisa Weaver"/>
        <s v="Gabriel Williams"/>
        <s v="Kevin Gilbert"/>
        <s v="Tyrone Brown"/>
        <s v="Krystal Cortez"/>
        <s v="Theresa Barnes"/>
        <s v="Elizabeth Obrien"/>
        <s v="Crystal Mercer"/>
        <s v="Crystal Campbell"/>
        <s v="Linda Figueroa"/>
        <s v="Jesse Peck"/>
        <s v="Yvonne Williams"/>
        <s v="Randy Miller"/>
        <s v="Julia Fuentes"/>
        <s v="Michaela Key"/>
        <s v="Benjamin Hicks"/>
        <s v="Amanda Gonzalez"/>
        <s v="Brittney Perez"/>
        <s v="Matthew Valenzuela"/>
        <s v="Michael Ball"/>
        <s v="Nicholas Mitchell"/>
        <s v="Alec Santos"/>
        <s v="Karen Flores"/>
        <s v="Courtney Pearson"/>
        <s v="Bethany Johnson"/>
        <s v="Lawrence Turner"/>
        <s v="Nicholas Miller"/>
        <s v="Tracy Howard"/>
        <s v="Jessica Stone"/>
        <s v="Brandy Sellers"/>
        <s v="Andrea Parker"/>
        <s v="Carlos Hernandez"/>
        <s v="Marvin Williams"/>
        <s v="Brittney Hamilton"/>
        <s v="Sharon Russell"/>
        <s v="Shelly Richardson"/>
        <s v="Alexander Cox"/>
        <s v="Jessica White"/>
        <s v="David Hawkins"/>
        <s v="Thomas Pham"/>
        <s v="Karen Brown"/>
        <s v="Elizabeth Ingram"/>
        <s v="Jermaine Hicks"/>
        <s v="Mary Gomez"/>
        <s v="Adrian Martinez"/>
        <s v="Joshua Obrien"/>
        <s v="Brianna Little"/>
        <s v="Todd Smith"/>
        <s v="Michael Lee"/>
        <s v="Sandra Hobbs"/>
        <s v="Walter Stanton"/>
        <s v="Wendy Ellison"/>
        <s v="Robert Gray"/>
        <s v="Holly Mclean"/>
        <s v="Rebekah Wolf"/>
        <s v="Laura Hernandez"/>
        <s v="Brandon Richmond"/>
        <s v="Paul Thompson"/>
        <s v="Tyler Curtis"/>
        <s v="Mrs. Andrea Skinner MD"/>
        <s v="Jeff Bowman"/>
        <s v="Alexandra Perez"/>
        <s v="Todd Lynch"/>
        <s v="Alan Beard"/>
        <s v="Stephanie Jensen"/>
        <s v="Nicholas Morgan"/>
        <s v="Mr. Kenneth Anderson"/>
        <s v="Brian Craig"/>
        <s v="Andrea West"/>
        <s v="Sara Miller"/>
        <s v="Steven Sharp"/>
        <s v="Sandra Hudson"/>
        <s v="Joseph Williams"/>
        <s v="Brian Wells"/>
        <s v="Justin Charles"/>
        <s v="Hannah Allen"/>
        <s v="Jennifer Hall"/>
        <s v="Angela Carlson"/>
        <s v="David Garner"/>
        <s v="Antonio Crosby"/>
        <s v="Erin Kim"/>
        <s v="Paul Harvey"/>
        <s v="Christopher Kidd"/>
        <s v="Wesley Valencia"/>
        <s v="Janet Chang"/>
        <s v="Ashley Bishop"/>
        <s v="Rebecca Marsh"/>
        <s v="Ebony Jones"/>
        <s v="Frederick Henry"/>
        <s v="Janet Lopez"/>
        <s v="Frank Mitchell"/>
        <s v="Matthew Cole"/>
        <s v="Daniel Perez"/>
        <s v="Caroline Roth"/>
        <s v="Tami Leonard"/>
        <s v="Gerald Snow"/>
        <s v="Alexis Wu"/>
        <s v="Angela Miller"/>
        <s v="Stephanie Thomas"/>
        <s v="Elizabeth Ford"/>
        <s v="Scott Kent"/>
        <s v="Eric Fletcher"/>
        <s v="Paul Smith"/>
        <s v="Walter Pham"/>
        <s v="Kaylee Wilkins"/>
        <s v="Christina Barnes"/>
        <s v="Mark Olson"/>
        <s v="Amanda Berry"/>
        <s v="Robert Kelly"/>
        <s v="Sean Medina"/>
        <s v="Benjamin Boyd"/>
        <s v="Julie Jones"/>
        <s v="Tanner Nguyen"/>
        <s v="Maria Morris"/>
        <s v="Dylan Serrano"/>
        <s v="Samantha Wells"/>
        <s v="Mike Velasquez"/>
        <s v="Margaret Hall"/>
        <s v="Robert Perry MD"/>
        <s v="Wesley Lopez"/>
        <s v="Mary Lopez"/>
        <s v="Roger Bennett"/>
        <s v="Ashley Manning"/>
        <s v="Isaac Watson"/>
        <s v="Timothy Wilson"/>
        <s v="Larry Yang"/>
        <s v="Betty Espinoza MD"/>
        <s v="Stephanie Johnson"/>
        <s v="Denise Crawford"/>
        <s v="Matthew Bates"/>
        <s v="Julie Gomez"/>
        <s v="Michele Martin"/>
        <s v="James Maddox"/>
        <s v="Richard Dyer"/>
        <s v="Tracy Mitchell"/>
        <s v="Norman Henderson"/>
        <s v="Brent Gutierrez"/>
        <s v="Stephen Wright"/>
        <s v="Daryl Reynolds"/>
        <s v="Meghan Robinson"/>
        <s v="Patricia Mcbride"/>
        <s v="Lisa Larsen"/>
        <s v="Timothy Brown"/>
        <s v="Lindsey Kelly"/>
        <s v="Kathleen Hill"/>
        <s v="Laura Graham"/>
        <s v="Kayla Foster"/>
        <s v="Rick Peters"/>
        <s v="Cindy Simmons"/>
        <s v="Natalie Smith"/>
        <s v="Samuel Torres Jr."/>
        <s v="Robert White"/>
        <s v="Cynthia Johnson"/>
        <s v="Ana Davis"/>
        <s v="Alyssa Patel"/>
        <s v="Jennifer Schultz"/>
        <s v="Janice Ballard"/>
        <s v="Gregg Beck"/>
        <s v="Stephen Rivera"/>
        <s v="Phillip Lutz"/>
        <s v="Robert Miller"/>
        <s v="Jacqueline Cochran"/>
        <s v="Stephanie Thompson"/>
        <s v="Ricardo Miller"/>
        <s v="Julie Anthony"/>
        <s v="Jonathan Hughes"/>
        <s v="Wanda Ramos"/>
        <s v="Joanne Walls"/>
        <s v="Stacie Santiago"/>
        <s v="Casey Watkins"/>
        <s v="Felicia Saunders"/>
        <s v="Richard Sanders"/>
        <s v="Sherri Roth"/>
        <s v="Mallory Lee DVM"/>
        <s v="Briana Robles"/>
        <s v="Erin Martin"/>
        <s v="Jeffrey Wiggins"/>
        <s v="Julie Welch MD"/>
        <s v="Jennifer Leblanc"/>
        <s v="James Case DDS"/>
        <s v="Wesley Jackson"/>
        <s v="Joe Schmitt"/>
        <s v="Maria Blackburn"/>
        <s v="Angela Diaz"/>
        <s v="Garrett Hall"/>
        <s v="Brandi Powell"/>
        <s v="Laura Robertson"/>
        <s v="Lisa Kline"/>
        <s v="Emily Rhodes"/>
        <s v="Kevin Skinner"/>
        <s v="Kathy Patel"/>
        <s v="Charles Mcgee"/>
        <s v="Timothy Farley PhD"/>
        <s v="Jasmine Mcgee"/>
        <s v="Karen Houston"/>
        <s v="Suzanne Thomas"/>
        <s v="Francisco Flowers"/>
        <s v="Lisa Reid"/>
        <s v="Kathy Tate"/>
        <s v="Tara Rivas"/>
        <s v="Derek Richards"/>
        <s v="Lisa James"/>
        <s v="Brian Wallace"/>
        <s v="Daniel Reyes"/>
        <s v="Kevin Wong"/>
        <s v="Kaitlin Baldwin"/>
        <s v="Andrew Brown"/>
        <s v="Danielle Nguyen"/>
        <s v="David Walker"/>
        <s v="Tanya Pham"/>
        <s v="Sean Cunningham"/>
        <s v="Virginia Rowland"/>
        <s v="Megan Nixon"/>
        <s v="Albert Fowler"/>
        <s v="Michael Garcia"/>
        <s v="Matthew Jones"/>
        <s v="Stacy Graves"/>
        <s v="Chelsea Hunter"/>
        <s v="Jamie Meyer"/>
        <s v="Kimberly Harrison"/>
        <s v="Edward Anderson"/>
        <s v="Morgan Sharp"/>
        <s v="Nicholas Bryant"/>
        <s v="Timothy Peterson"/>
        <s v="Andrew Lopez"/>
        <s v="Olivia Decker"/>
        <s v="Albert Garcia"/>
        <s v="Donald Simmons"/>
        <s v="Cheryl Baker"/>
        <s v="Zachary Robinson"/>
        <s v="Mark Bailey"/>
        <s v="Christine Davenport"/>
        <s v="William Vargas"/>
        <s v="David Quinn"/>
        <s v="Jeffrey Wilson"/>
        <s v="Sara Woods"/>
        <s v="Miguel Reed"/>
        <s v="Cynthia Fox"/>
        <s v="Danielle Hernandez"/>
        <s v="David Davis"/>
        <s v="Megan Johnson"/>
        <s v="Maurice Craig"/>
        <s v="Jerry Gutierrez"/>
        <s v="Lauren Smith"/>
        <s v="Amy Kim"/>
        <s v="George Thomas"/>
        <s v="John Blankenship"/>
        <s v="Chris Russell"/>
        <s v="Terri Patton"/>
        <s v="Daniel Haney"/>
        <s v="Charlene Knight"/>
        <s v="Karina Lee"/>
        <s v="Rebecca West"/>
        <s v="Jennifer Simpson"/>
        <s v="Ronnie Oconnor"/>
        <s v="Jason Rivera"/>
        <s v="Jody Park"/>
        <s v="Daniel Hicks"/>
        <s v="Nicholas Molina"/>
        <s v="James Juarez"/>
        <s v="Gary Smith"/>
        <s v="Angie Garza"/>
        <s v="Preston Gomez"/>
        <s v="Chelsea Singleton"/>
        <s v="Molly Adams"/>
        <s v="Mario Ponce"/>
        <s v="Joel Martinez"/>
        <s v="Carol Williams"/>
        <s v="Angela Palmer"/>
        <s v="Charles Morgan"/>
        <s v="Jacob Taylor"/>
        <s v="Adam Rowe"/>
        <s v="Danielle Archer"/>
        <s v="Alfred Harris"/>
        <s v="Joel Johnson MD"/>
        <s v="Amy Miller"/>
        <s v="Alexandra Jones"/>
        <s v="John Lee"/>
        <s v="Brendan Martin"/>
        <s v="James Olson"/>
        <s v="Christina Simmons"/>
        <s v="Tina Williams"/>
        <s v="Julie Moon MD"/>
        <s v="Bailey Keller"/>
        <s v="Bryan Conway"/>
        <s v="Alexander Gonzalez"/>
        <s v="Elizabeth Mills"/>
        <s v="Jeffrey Kennedy"/>
        <s v="Lauren Harrell"/>
        <s v="Morgan Bullock"/>
        <s v="Paige Mosley"/>
        <s v="Johnny Good"/>
        <s v="Brittany Torres"/>
        <s v="Kelly Willis"/>
        <s v="Kara Howell"/>
        <s v="Christopher Cannon"/>
        <s v="Kathleen Rose"/>
        <s v="Travis Wells"/>
        <s v="Christine Wilson"/>
        <s v="Deborah Frederick"/>
        <s v="Robert Goodwin"/>
        <s v="Amanda Mclaughlin"/>
        <s v="Peter Merritt"/>
        <s v="Christopher Rice"/>
        <s v="Laurie Martinez"/>
        <s v="Dave Williams"/>
        <s v="Lori Alexander"/>
        <s v="Misty Higgins"/>
        <s v="Brandon Ritter"/>
        <s v="Jacob Conrad"/>
        <s v="Jessica Nguyen"/>
        <s v="Spencer Collins"/>
        <s v="Nathan Lyons"/>
        <s v="Eric Stone"/>
        <s v="Anthony Smith"/>
        <s v="Lindsey Merritt"/>
        <s v="Richard Fuentes"/>
        <s v="Kimberly Ward"/>
        <s v="David Wheeler"/>
        <s v="Alicia Jones"/>
        <s v="Jonathan Leonard"/>
        <s v="Michelle Duncan"/>
        <s v="Jennifer Hancock"/>
        <s v="Tamara Ross"/>
        <s v="Miranda Gutierrez"/>
        <s v="Jennifer Mills"/>
        <s v="Shawn Campos"/>
        <s v="William Nelson"/>
        <s v="Stephen Williamson"/>
        <s v="Brittany Jones"/>
        <s v="Amber Morales"/>
        <s v="Johnathan Owens"/>
        <s v="Clinton Ross"/>
        <s v="Brian Alexander"/>
        <s v="Dylan Harris"/>
        <s v="Charlene Garrett"/>
        <s v="Brian Sims"/>
        <s v="Gloria Barrett"/>
        <s v="Edward Porter"/>
        <s v="Mark Soto"/>
        <s v="Cameron Medina"/>
        <s v="Gabriel Chen"/>
        <s v="Dennis Bryant"/>
        <s v="Rebecca Newman"/>
        <s v="Sean Nelson"/>
        <s v="Jeffrey Levy"/>
        <s v="Mason Ruiz"/>
        <s v="Patrick Frye"/>
        <s v="Heather Gibson"/>
        <s v="Nicole Miller MD"/>
        <s v="Megan Simpson"/>
        <s v="Nathaniel Martin Jr."/>
        <s v="Melissa Fleming"/>
        <s v="Mr. Michael Martinez"/>
        <s v="Jeremy Hendricks"/>
        <s v="Harold Adams"/>
        <s v="Angela Kidd"/>
        <s v="Eric Ellison"/>
        <s v="Douglas Cummings"/>
        <s v="Susan Haynes"/>
        <s v="Melissa Mcdonald"/>
        <s v="Christine Lewis"/>
        <s v="Andrea Smith"/>
        <s v="Alexander Page"/>
        <s v="Kyle Salinas"/>
        <s v="Justin Black"/>
        <s v="Lisa Norris"/>
        <s v="Casey Johnson MD"/>
        <s v="Timothy Thomas"/>
        <s v="Robert Ballard"/>
        <s v="Michael Martin"/>
        <s v="George Bishop"/>
        <s v="Jesse Wilson"/>
        <s v="Robert Cox"/>
        <s v="Maria Yang"/>
        <s v="Susan Freeman"/>
        <s v="Frederick Allen"/>
        <s v="Jesse Bush"/>
        <s v="Kelly Baker"/>
        <s v="Jessica Fox"/>
        <s v="Tammy Vargas"/>
        <s v="Shelby Bowen"/>
        <s v="Joy Ingram"/>
        <s v="William Gibson"/>
        <s v="Jennifer Buckley"/>
        <s v="Alicia Curry"/>
        <s v="Rebecca Palmer"/>
        <s v="Benjamin Frye"/>
        <s v="Frank Griffin"/>
        <s v="Kenneth Griffith"/>
        <s v="Rick Taylor"/>
        <s v="Susan Barajas"/>
        <s v="Randy Burke"/>
        <s v="Thomas Martin"/>
        <s v="Peggy Hill"/>
        <s v="Charles Francis"/>
        <s v="Tracy Mejia"/>
        <s v="Miguel Edwards"/>
        <s v="Jessica Hudson"/>
        <s v="Mr. Mark Wolfe"/>
        <s v="Mary Long"/>
        <s v="Michael Pierce"/>
        <s v="Paul Frederick"/>
        <s v="Connie Meyer"/>
        <s v="Christina Crawford"/>
        <s v="Luis Flores"/>
        <s v="Catherine Mendoza"/>
        <s v="Matthew Thomas"/>
        <s v="Ryan Porter"/>
        <s v="Amy Kline"/>
        <s v="Joel Chambers"/>
        <s v="Joseph Gilmore MD"/>
        <s v="Veronica Goodwin"/>
        <s v="Eric Bridges"/>
        <s v="Vickie Brown DDS"/>
        <s v="Margaret Porter"/>
        <s v="Whitney Nelson"/>
        <s v="Karen Harmon"/>
        <s v="Andrew Forbes"/>
        <s v="David Chambers"/>
        <s v="Alyssa Nichols"/>
        <s v="Joshua Oconnor"/>
        <s v="Edward Fischer"/>
        <s v="Mark West PhD"/>
        <s v="Stephanie Cook"/>
        <s v="Marilyn Garcia"/>
        <s v="Suzanne Doyle"/>
        <s v="Maria Garcia"/>
        <s v="Michael Knight"/>
        <s v="Shelly Jordan"/>
        <s v="Andrea Perry"/>
        <s v="Raymond Robinson"/>
        <s v="Catherine Spencer"/>
        <s v="Tara Day"/>
        <s v="Heather Knight"/>
        <s v="Patricia Jackson"/>
        <s v="Taylor Maxwell"/>
        <s v="Justin Rice"/>
        <s v="Valerie Grant"/>
        <s v="Trevor Higgins"/>
        <s v="Rodney Ellis"/>
        <s v="Dale Davis"/>
        <s v="Paul Lewis"/>
        <s v="Daniel Blanchard"/>
        <s v="Rachel Harris"/>
        <s v="Patricia Moore"/>
        <s v="Linda Dunn"/>
        <s v="Kendra May"/>
        <s v="Lori Martin"/>
        <s v="Justin Walker"/>
        <s v="Brianna Patel"/>
        <s v="Jennifer Anderson"/>
        <s v="Wendy Sandoval"/>
        <s v="Paul Allen"/>
        <s v="Scott Griffin"/>
        <s v="Matthew Bryant"/>
        <s v="Melinda Hood"/>
        <s v="Tiffany Smith"/>
        <s v="Denise Ashley"/>
        <s v="Donna Rodriguez"/>
        <s v="Scott Lee"/>
        <s v="Michelle Cruz"/>
        <s v="Michelle Morrow"/>
        <s v="Tina Hartman"/>
        <s v="Gregory Pierce"/>
        <s v="Christine Brock"/>
        <s v="Christine Young"/>
        <s v="James Villarreal"/>
        <s v="Timothy Sheppard"/>
        <s v="William Goodman"/>
        <s v="Robert Rogers"/>
        <s v="Robin Ortiz"/>
        <s v="Gerald Drake"/>
        <s v="Brittany Brown"/>
        <s v="Shelby Johnson"/>
        <s v="Melissa Larson"/>
        <s v="Cindy Bowen"/>
        <s v="Elizabeth Deleon"/>
        <s v="Timothy Tyler"/>
        <s v="Danielle Jones"/>
        <s v="Jeffrey Maynard"/>
        <s v="Bonnie Huerta"/>
        <s v="Xavier Sampson"/>
        <s v="Karen Clayton"/>
        <s v="Mr. David Green MD"/>
        <s v="Jason Watson"/>
        <s v="Tammy Smith"/>
        <s v="David Gillespie"/>
        <s v="Brittany Sweeney"/>
        <s v="Michelle Kennedy"/>
        <s v="Bryan Molina"/>
        <s v="Cody Williams"/>
        <s v="Kelly Henry"/>
        <s v="Brian Clark"/>
        <s v="Dale Palmer"/>
        <s v="Sandra Ho"/>
        <s v="Andrew Perry"/>
        <s v="Jennifer Casey"/>
        <s v="Jeffrey Dalton"/>
        <s v="Nicholas Mclaughlin"/>
        <s v="Juan Morris"/>
        <s v="Patrick Olson"/>
        <s v="Yvonne Gibbs"/>
        <s v="Monique Robles"/>
        <s v="Melissa Davila"/>
        <s v="Jessica Ward"/>
        <s v="Nicholas Glenn"/>
        <s v="Linda Taylor"/>
        <s v="Cynthia Vargas DDS"/>
        <s v="Kelly Contreras"/>
        <s v="Mathew Jackson"/>
        <s v="Kathleen Villarreal"/>
        <s v="Nancy Guerrero"/>
        <s v="Melissa Parker"/>
        <s v="Paul Orozco"/>
        <s v="Edward Saunders"/>
        <s v="Christopher Haley"/>
        <s v="Elizabeth Smith"/>
        <s v="Daniel Burnett"/>
        <s v="Michelle Gonzalez"/>
        <s v="Cheryl Allen"/>
        <s v="Scott Levine"/>
        <s v="Kimberly Lee"/>
        <s v="Dana Erickson"/>
        <s v="Paul West"/>
        <s v="Jeremy Garcia"/>
        <s v="Briana Greer"/>
        <s v="Thomas White"/>
        <s v="Elaine Cohen"/>
        <s v="Caroline Perry"/>
        <s v="Joyce Dixon"/>
        <s v="John Woods"/>
        <s v="Mariah Kidd"/>
        <s v="Sabrina Copeland"/>
        <s v="Brandi Walker"/>
        <s v="Sarah Clark"/>
        <s v="Daniel Bernard"/>
        <s v="Jennifer Manning"/>
        <s v="Gregory Daugherty"/>
        <s v="Brenda Rodriguez"/>
        <s v="Pamela Wolf"/>
        <s v="Angela Leon"/>
        <s v="Jeffery Hubbard"/>
        <s v="Dawn Barrett"/>
        <s v="Evelyn Mckenzie"/>
        <s v="Michelle Smith"/>
        <s v="Anita Ramirez"/>
        <s v="Donna Terry"/>
        <s v="George Gonzales"/>
        <s v="Samantha Mora"/>
        <s v="Max Everett"/>
        <s v="Crystal Thomas"/>
        <s v="William Johnson"/>
        <s v="Henry Bryan"/>
        <s v="Melanie Wolf"/>
        <s v="Tammy Hatfield"/>
        <s v="Erin Beck"/>
        <s v="Sandra Patrick"/>
        <s v="Alan Hall"/>
        <s v="Cathy Zamora"/>
        <s v="Jennifer Fowler"/>
        <s v="Lindsay Harris"/>
        <s v="Richard Gregory"/>
        <s v="Matthew Ortega"/>
        <s v="Nathan Maynard"/>
        <s v="Stacie Duncan"/>
        <s v="Hannah Nguyen"/>
        <s v="Keith Jones"/>
        <s v="Barbara Gutierrez"/>
        <s v="Christine Burns"/>
        <s v="Courtney Munoz"/>
        <s v="Jason Bradley"/>
        <s v="Nicholas Cox"/>
        <s v="Emily Sosa"/>
        <s v="Daniel Mullins"/>
        <s v="Jessica Villa DDS"/>
        <s v="Benjamin Jenkins"/>
        <s v="Amanda Simmons"/>
        <s v="Kevin Carson"/>
        <s v="Wendy Coleman"/>
        <s v="Jessica Bradley"/>
        <s v="Michelle Clayton"/>
        <s v="Gregory Mitchell"/>
        <s v="Justin Frye"/>
        <s v="Julia Campbell"/>
        <s v="George Macdonald"/>
        <s v="Christopher Gordon"/>
        <s v="Kristen Alexander"/>
        <s v="Debbie Cross"/>
        <s v="Holly Lopez"/>
        <s v="Leslie Castro"/>
        <s v="Joshua Carter"/>
        <s v="Cheyenne Benson"/>
        <s v="Allison Hill"/>
        <s v="John Davis"/>
        <s v="Cynthia Fisher"/>
        <s v="Carolyn Mitchell"/>
        <s v="Katrina Pugh"/>
        <s v="Marissa Howard"/>
        <s v="Amanda Dixon"/>
        <s v="Sarah Bradley DDS"/>
        <s v="Dylan Price"/>
        <s v="Kevin Walker"/>
        <s v="Caitlin Baker"/>
        <s v="Cassandra Gill"/>
        <s v="Joy Hester"/>
        <s v="James Cooper"/>
        <s v="Christopher Bell"/>
        <s v="Erin Rodriguez"/>
        <s v="Hector Morris"/>
        <s v="Regina Wilson"/>
        <s v="Felicia Young"/>
        <s v="Rachel Martin"/>
        <s v="John Brown MD"/>
        <s v="Shawn Campbell"/>
        <s v="Andrew Berger"/>
        <s v="Scott Hernandez"/>
        <s v="Zachary Price"/>
        <s v="Adrian Cross"/>
        <s v="Katie Ryan"/>
        <s v="Mark Peters"/>
        <s v="Tanner Gates"/>
        <s v="Steve Gonzalez"/>
        <s v="Hector Brewer"/>
        <s v="Rebecca Burnett"/>
        <s v="Thomas Cole"/>
        <s v="Wesley Walker"/>
        <s v="Corey Sanchez"/>
        <s v="Christopher Stone"/>
        <s v="Ricky Hudson"/>
        <s v="April Anderson"/>
        <s v="Anthony Patrick"/>
        <s v="Shelly Garcia"/>
        <s v="Barbara Moore"/>
        <s v="Calvin Wright"/>
        <s v="Alicia White"/>
        <s v="Patrick Mendez"/>
        <s v="Cindy Webb"/>
        <s v="Nicholas Callahan"/>
        <s v="Olivia Knox"/>
        <s v="Jonathan Blake"/>
        <s v="Stephen Jensen"/>
        <s v="Diane Powers"/>
        <s v="Jill Singh"/>
        <s v="Rebecca Mullins"/>
        <s v="Sarah Cruz"/>
        <s v="Suzanne Medina"/>
        <s v="Sean Pruitt"/>
        <s v="Mark Frazier"/>
        <s v="Linda Simpson"/>
        <s v="Amanda Mckenzie"/>
        <s v="Eric Perry MD"/>
        <s v="Dwayne Hampton"/>
        <s v="Monica Young"/>
        <s v="Allison Franklin"/>
        <s v="Luis Gardner"/>
        <s v="Christina Odonnell"/>
        <s v="Raymond Vincent"/>
        <s v="Crystal Martin"/>
        <s v="Emily Kennedy"/>
        <s v="Michelle Scott"/>
        <s v="Jeffery Howard"/>
        <s v="Michelle Chapman"/>
        <s v="Derek Holder"/>
        <s v="Kathleen Collins"/>
        <s v="Alyssa Figueroa"/>
        <s v="Crystal Beasley"/>
        <s v="Shelly Wilson"/>
        <s v="Marie Hansen"/>
        <s v="Samantha Ruiz"/>
        <s v="Justin Melton"/>
        <s v="Thomas Camacho"/>
        <s v="Kristin Gould"/>
        <s v="Wayne Johnson"/>
        <s v="Leslie Chandler"/>
        <s v="Alyssa Perry"/>
        <s v="Mr. Tyrone Kaiser"/>
        <s v="Vickie Cooper"/>
        <s v="Mark Vang"/>
        <s v="Nancy Owens"/>
        <s v="Anthony Thompson"/>
        <s v="Robert Odom"/>
        <s v="Connor Meza"/>
        <s v="Allison Hammond"/>
        <s v="Kimberly Garcia"/>
        <s v="Mary Johnson"/>
        <s v="Timothy Grant"/>
        <s v="Michael Lynch"/>
        <s v="Willie Sherman"/>
        <s v="Sandra Kemp"/>
        <s v="Gregory Ponce"/>
        <s v="Bridget Galvan"/>
        <s v="Andrea Schneider"/>
        <s v="Stephen Burton"/>
        <s v="Tara Villegas"/>
        <s v="David Murphy"/>
        <s v="Franklin Harrell"/>
        <s v="Robert Jones"/>
        <s v="Kevin Peters"/>
        <s v="Cynthia Andrews"/>
        <s v="Allison Bennett"/>
        <s v="Tracey Fischer"/>
        <s v="Michelle Jones"/>
        <s v="Kevin Kim"/>
        <s v="Lisa Delacruz"/>
        <s v="Aaron Adams"/>
        <s v="Megan Ellis"/>
        <s v="Lisa Shaw"/>
        <s v="Ryan Barker"/>
        <s v="Logan Phillips"/>
        <s v="Michael Brown"/>
        <s v="Mike Hayes"/>
        <s v="Kyle Gomez"/>
        <s v="Savannah Peters"/>
        <s v="Terry Short MD"/>
        <s v="Valerie Smith"/>
        <s v="James Clay"/>
        <s v="Kathleen Nelson"/>
        <s v="Sean Hensley"/>
        <s v="Brooke Elliott"/>
        <s v="Kathryn Burch"/>
        <s v="Anthony Rodriguez"/>
        <s v="Lisa Thornton"/>
        <s v="Jeremiah Reese"/>
        <s v="Nicholas Harris"/>
        <s v="Carol Mack"/>
        <s v="Traci Singleton"/>
        <s v="John Williams"/>
        <s v="Gabriella George"/>
        <s v="Richard Gutierrez"/>
        <s v="Christopher Phillips"/>
        <s v="Charles Kelly"/>
        <s v="Stephanie Flores"/>
        <s v="Carrie Mclaughlin"/>
        <s v="Mario Smith"/>
        <s v="Roger Blake"/>
        <s v="Christopher Shepherd"/>
        <s v="Bill Turner"/>
        <s v="Amanda Rich"/>
        <s v="Patricia Pham"/>
        <s v="Anthony Ruiz"/>
        <s v="Michael Webb"/>
        <s v="Amanda Rios"/>
        <s v="Tina Russell"/>
        <s v="Shirley Stevens"/>
        <s v="Christopher Chen"/>
        <s v="Alison Weber MD"/>
        <s v="Tiffany Johnson"/>
        <s v="Austin Meadows"/>
        <s v="Joshua Hill"/>
        <s v="Lisa Fisher"/>
        <s v="Jennifer Shaw"/>
        <s v="Steven Schwartz"/>
        <s v="Samantha Arnold"/>
        <s v="Richard Murray"/>
        <s v="Walter Nolan"/>
        <s v="Larry Holland"/>
        <s v="Erica Clay"/>
        <s v="Christine Henderson"/>
        <s v="Mitchell Lloyd"/>
        <s v="Nicholas Johnson"/>
        <s v="Miss Alexa Smith"/>
        <s v="Gerald Webb"/>
        <s v="David Harper"/>
        <s v="Mrs. Jessica Thompson"/>
        <s v="Sarah Brooks"/>
        <s v="Brenda Gonzales"/>
        <s v="Joseph Pennington"/>
        <s v="Erin Johnson"/>
        <s v="Elizabeth Garcia"/>
        <s v="Nathan Webb"/>
        <s v="Kathryn Swanson"/>
        <s v="Lisa Nelson"/>
        <s v="Donald George"/>
        <s v="Preston Carroll"/>
        <s v="Timothy Hamilton"/>
        <s v="Jonathan Meadows"/>
        <s v="Keith Manning"/>
        <s v="Ryan West"/>
        <s v="Allen Williams"/>
        <s v="Jonathan Hill"/>
        <s v="Alejandro Cochran"/>
        <s v="Angela Adkins"/>
        <s v="Zachary Werner"/>
      </sharedItems>
    </cacheField>
    <cacheField name="Product_Category" numFmtId="0">
      <sharedItems count="6">
        <s v="Jeans"/>
        <s v="Jackets"/>
        <s v="Shoes"/>
        <s v="Accessories"/>
        <s v="T-Shirts"/>
        <s v="Dresses"/>
      </sharedItems>
    </cacheField>
    <cacheField name="Product_Name" numFmtId="0">
      <sharedItems count="24">
        <s v="Slim Fit Jeans"/>
        <s v="Puffer Coat"/>
        <s v="Loafers"/>
        <s v="Belts"/>
        <s v="Crop Top"/>
        <s v="Boyfriend Jeans"/>
        <s v="Casual Midi"/>
        <s v="Sunglasses"/>
        <s v="Oversized T-shirt"/>
        <s v="Straight Cut"/>
        <s v="Sneakers"/>
        <s v="Maxi Dress"/>
        <s v="Wrap Dress"/>
        <s v="Slip-ons"/>
        <s v="Classic Tee"/>
        <s v="Bomber Jacket"/>
        <s v="Graphic Tee"/>
        <s v="Boots"/>
        <s v="Denim Jacket"/>
        <s v="Bodycon"/>
        <s v="Ripped Denim"/>
        <s v="Watches"/>
        <s v="Leather Jacket"/>
        <s v="Caps"/>
      </sharedItems>
    </cacheField>
    <cacheField name="Units_Sold" numFmtId="0">
      <sharedItems containsSemiMixedTypes="0" containsString="0" containsNumber="1" containsInteger="1" minValue="-2" maxValue="6"/>
    </cacheField>
    <cacheField name="Unit_Price" numFmtId="0">
      <sharedItems containsString="0" containsBlank="1" containsNumber="1" minValue="400.21" maxValue="4998.91"/>
    </cacheField>
    <cacheField name="Total_price" numFmtId="0">
      <sharedItems containsSemiMixedTypes="0" containsString="0" containsNumber="1" minValue="-9898.34" maxValue="29907.899999999998"/>
    </cacheField>
    <cacheField name="Discount_%" numFmtId="0">
      <sharedItems containsString="0" containsBlank="1" containsNumber="1" minValue="0" maxValue="1.3" count="131">
        <n v="0.6"/>
        <m/>
        <n v="0.27"/>
        <n v="0.21"/>
        <n v="0.62"/>
        <n v="0.7"/>
        <n v="0.15"/>
        <n v="1.19"/>
        <n v="0.94"/>
        <n v="1.1000000000000001"/>
        <n v="0.56000000000000005"/>
        <n v="0.92"/>
        <n v="0.41"/>
        <n v="0.56999999999999995"/>
        <n v="1.29"/>
        <n v="0.04"/>
        <n v="1.08"/>
        <n v="0.19"/>
        <n v="0.33"/>
        <n v="1.3"/>
        <n v="1.1299999999999999"/>
        <n v="0.18"/>
        <n v="1.06"/>
        <n v="1.1499999999999999"/>
        <n v="0.81"/>
        <n v="1.28"/>
        <n v="0.53"/>
        <n v="0.02"/>
        <n v="0.46"/>
        <n v="0.88"/>
        <n v="0.22"/>
        <n v="0.2"/>
        <n v="0.42"/>
        <n v="0.4"/>
        <n v="0.59"/>
        <n v="7.0000000000000007E-2"/>
        <n v="0.43"/>
        <n v="0.23"/>
        <n v="0.99"/>
        <n v="0.57999999999999996"/>
        <n v="0.84"/>
        <n v="0.47"/>
        <n v="0.26"/>
        <n v="1.0900000000000001"/>
        <n v="1.1100000000000001"/>
        <n v="1.26"/>
        <n v="0.64"/>
        <n v="0.93"/>
        <n v="0.09"/>
        <n v="0.77"/>
        <n v="0.14000000000000001"/>
        <n v="0.68"/>
        <n v="0.08"/>
        <n v="0.91"/>
        <n v="0.48"/>
        <n v="0.9"/>
        <n v="0.76"/>
        <n v="0.87"/>
        <n v="0.71"/>
        <n v="0.12"/>
        <n v="0.63"/>
        <n v="1.2"/>
        <n v="0.37"/>
        <n v="1.1599999999999999"/>
        <n v="1.17"/>
        <n v="1.05"/>
        <n v="0.25"/>
        <n v="0.05"/>
        <n v="1.18"/>
        <n v="0.28999999999999998"/>
        <n v="0.69"/>
        <n v="0.03"/>
        <n v="1.24"/>
        <n v="0.52"/>
        <n v="1.1200000000000001"/>
        <n v="1.03"/>
        <n v="0.61"/>
        <n v="0.13"/>
        <n v="0.96"/>
        <n v="1.02"/>
        <n v="0"/>
        <n v="1.27"/>
        <n v="0.06"/>
        <n v="0.82"/>
        <n v="0.39"/>
        <n v="1.23"/>
        <n v="0.01"/>
        <n v="0.44"/>
        <n v="0.65"/>
        <n v="1.07"/>
        <n v="0.35"/>
        <n v="0.17"/>
        <n v="0.86"/>
        <n v="0.67"/>
        <n v="0.34"/>
        <n v="0.32"/>
        <n v="0.54"/>
        <n v="0.55000000000000004"/>
        <n v="0.98"/>
        <n v="0.49"/>
        <n v="1.01"/>
        <n v="0.97"/>
        <n v="0.24"/>
        <n v="0.28000000000000003"/>
        <n v="0.95"/>
        <n v="0.1"/>
        <n v="0.89"/>
        <n v="0.78"/>
        <n v="0.45"/>
        <n v="0.79"/>
        <n v="0.85"/>
        <n v="1"/>
        <n v="0.11"/>
        <n v="0.38"/>
        <n v="0.31"/>
        <n v="0.51"/>
        <n v="0.83"/>
        <n v="0.16"/>
        <n v="0.3"/>
        <n v="1.1399999999999999"/>
        <n v="1.25"/>
        <n v="0.8"/>
        <n v="0.72"/>
        <n v="0.74"/>
        <n v="1.21"/>
        <n v="0.36"/>
        <n v="0.5"/>
        <n v="1.22"/>
        <n v="0.75"/>
        <n v="0.66"/>
        <n v="1.04"/>
      </sharedItems>
    </cacheField>
    <cacheField name="Sales_Amount" numFmtId="0">
      <sharedItems containsSemiMixedTypes="0" containsString="0" containsNumber="1" minValue="-9898.34" maxValue="29860.86"/>
    </cacheField>
    <cacheField name="Order_Date" numFmtId="0">
      <sharedItems containsNonDate="0" containsDate="1" containsString="0" containsBlank="1" minDate="2023-07-23T00:00:00" maxDate="2025-07-23T00:00:00" count="562">
        <d v="2025-02-27T00:00:00"/>
        <d v="2025-07-15T00:00:00"/>
        <d v="2025-01-02T00:00:00"/>
        <d v="2025-06-18T00:00:00"/>
        <m/>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d v="2024-09-16T00:00:00"/>
        <d v="2025-05-18T00:00:00"/>
        <d v="2023-08-13T00:00:00"/>
        <d v="2025-06-13T00:00:00"/>
        <d v="2024-09-25T00:00:00"/>
        <d v="2024-08-26T00:00:00"/>
        <d v="2024-10-19T00:00:00"/>
        <d v="2025-05-04T00:00:00"/>
        <d v="2024-11-10T00:00:00"/>
        <d v="2024-06-15T00:00:00"/>
        <d v="2024-04-20T00:00:00"/>
        <d v="2025-06-23T00:00:00"/>
        <d v="2025-04-30T00:00:00"/>
        <d v="2024-07-30T00:00:00"/>
        <d v="2023-12-16T00:00:00"/>
        <d v="2024-10-11T00:00:00"/>
        <d v="2023-10-31T00:00:00"/>
        <d v="2024-09-30T00:00:00"/>
        <d v="2023-08-29T00:00:00"/>
        <d v="2024-12-11T00:00:00"/>
        <d v="2023-12-22T00:00:00"/>
        <d v="2025-05-13T00:00:00"/>
        <d v="2025-01-06T00:00:00"/>
        <d v="2025-03-29T00:00:00"/>
        <d v="2024-09-03T00:00:00"/>
        <d v="2025-05-15T00:00:00"/>
        <d v="2025-01-12T00:00:00"/>
        <d v="2023-12-13T00:00:00"/>
        <d v="2025-01-11T00:00:00"/>
        <d v="2024-08-12T00:00:00"/>
        <d v="2024-12-01T00:00:00"/>
        <d v="2025-03-13T00:00:00"/>
        <d v="2025-01-05T00:00:00"/>
        <d v="2025-06-22T00:00:00"/>
        <d v="2024-03-29T00:00:00"/>
        <d v="2025-05-03T00:00:00"/>
        <d v="2025-05-31T00:00:00"/>
        <d v="2025-03-05T00:00:00"/>
        <d v="2025-04-03T00:00:00"/>
        <d v="2023-08-18T00:00:00"/>
        <d v="2024-09-17T00:00:00"/>
        <d v="2023-10-08T00:00:00"/>
        <d v="2025-02-26T00:00:00"/>
        <d v="2025-01-08T00:00:00"/>
        <d v="2023-08-04T00:00:00"/>
        <d v="2023-10-13T00:00:00"/>
        <d v="2024-03-10T00:00:00"/>
        <d v="2023-08-24T00:00:00"/>
        <d v="2024-12-14T00:00:00"/>
        <d v="2024-04-15T00:00:00"/>
        <d v="2023-09-09T00:00:00"/>
        <d v="2024-08-16T00:00:00"/>
        <d v="2025-07-02T00:00:00"/>
        <d v="2024-09-24T00:00:00"/>
        <d v="2025-02-07T00:00:00"/>
        <d v="2025-06-14T00:00:00"/>
        <d v="2024-08-19T00:00:00"/>
        <d v="2025-06-01T00:00:00"/>
        <d v="2024-08-10T00:00:00"/>
        <d v="2023-10-10T00:00:00"/>
        <d v="2024-11-14T00:00:00"/>
        <d v="2024-07-21T00:00:00"/>
        <d v="2024-02-15T00:00:00"/>
        <d v="2024-12-28T00:00:00"/>
        <d v="2024-08-05T00:00:00"/>
        <d v="2025-07-12T00:00:00"/>
        <d v="2024-10-02T00:00:00"/>
        <d v="2024-09-27T00:00:00"/>
        <d v="2024-07-29T00:00:00"/>
        <d v="2025-02-09T00:00:00"/>
        <d v="2025-01-30T00:00:00"/>
        <d v="2025-06-05T00:00:00"/>
        <d v="2024-11-01T00:00:00"/>
        <d v="2025-05-19T00:00:00"/>
        <d v="2024-07-23T00:00:00"/>
        <d v="2025-05-25T00:00:00"/>
        <d v="2025-03-15T00:00:00"/>
        <d v="2023-07-31T00:00:00"/>
        <d v="2025-02-03T00:00:00"/>
        <d v="2024-08-28T00:00:00"/>
        <d v="2023-11-06T00:00:00"/>
        <d v="2025-01-29T00:00:00"/>
        <d v="2025-01-01T00:00:00"/>
        <d v="2024-01-13T00:00:00"/>
        <d v="2024-04-07T00:00:00"/>
        <d v="2024-07-17T00:00:00"/>
        <d v="2023-07-30T00:00:00"/>
        <d v="2025-03-11T00:00:00"/>
        <d v="2025-03-06T00:00:00"/>
        <d v="2025-02-21T00:00:00"/>
        <d v="2023-07-26T00:00:00"/>
        <d v="2023-09-28T00:00:00"/>
        <d v="2024-02-28T00:00:00"/>
        <d v="2024-08-01T00:00:00"/>
        <d v="2024-10-08T00:00:00"/>
        <d v="2024-11-16T00:00:00"/>
        <d v="2025-05-16T00:00:00"/>
        <d v="2025-02-08T00:00:00"/>
        <d v="2025-06-03T00:00:00"/>
        <d v="2024-07-19T00:00:00"/>
        <d v="2025-01-26T00:00:00"/>
        <d v="2024-08-17T00:00:00"/>
        <d v="2024-02-24T00:00:00"/>
        <d v="2024-11-27T00:00:00"/>
        <d v="2024-02-29T00:00:00"/>
        <d v="2024-11-17T00:00:00"/>
        <d v="2025-07-04T00:00:00"/>
        <d v="2024-12-08T00:00:00"/>
        <d v="2023-08-05T00:00:00"/>
        <d v="2024-04-26T00:00:00"/>
        <d v="2023-09-15T00:00:00"/>
        <d v="2024-11-20T00:00:00"/>
        <d v="2025-04-10T00:00:00"/>
        <d v="2024-05-07T00:00:00"/>
        <d v="2024-02-20T00:00:00"/>
        <d v="2024-06-23T00:00:00"/>
        <d v="2024-08-20T00:00:00"/>
        <d v="2025-04-28T00:00:00"/>
        <d v="2023-08-22T00:00:00"/>
        <d v="2024-12-17T00:00:00"/>
        <d v="2025-05-22T00:00:00"/>
        <d v="2025-07-10T00:00:00"/>
        <d v="2024-03-16T00:00:00"/>
        <d v="2024-01-06T00:00:00"/>
        <d v="2025-05-30T00:00:00"/>
        <d v="2024-05-26T00:00:00"/>
        <d v="2025-01-13T00:00:00"/>
        <d v="2024-12-05T00:00:00"/>
        <d v="2024-05-01T00:00:00"/>
        <d v="2024-03-14T00:00:00"/>
        <d v="2023-11-26T00:00:00"/>
        <d v="2024-03-23T00:00:00"/>
        <d v="2023-12-07T00:00:00"/>
        <d v="2025-02-01T00:00:00"/>
        <d v="2024-08-18T00:00:00"/>
        <d v="2025-04-09T00:00:00"/>
        <d v="2023-10-14T00:00:00"/>
        <d v="2023-10-04T00:00:00"/>
        <d v="2025-05-09T00:00:00"/>
        <d v="2023-12-14T00:00:00"/>
        <d v="2024-11-29T00:00:00"/>
        <d v="2024-11-23T00:00:00"/>
        <d v="2023-11-12T00:00:00"/>
        <d v="2025-04-20T00:00:00"/>
        <d v="2024-06-14T00:00:00"/>
        <d v="2025-02-28T00:00:00"/>
        <d v="2024-05-31T00:00:00"/>
        <d v="2024-07-28T00:00:00"/>
        <d v="2024-01-04T00:00:00"/>
        <d v="2025-05-21T00:00:00"/>
        <d v="2024-04-29T00:00:00"/>
        <d v="2024-09-19T00:00:00"/>
        <d v="2023-09-23T00:00:00"/>
        <d v="2025-03-20T00:00:00"/>
        <d v="2025-01-20T00:00:00"/>
        <d v="2024-10-07T00:00:00"/>
        <d v="2025-04-07T00:00:00"/>
        <d v="2024-04-22T00:00:00"/>
        <d v="2025-07-16T00:00:00"/>
        <d v="2024-09-15T00:00:00"/>
        <d v="2024-09-18T00:00:00"/>
        <d v="2024-03-12T00:00:00"/>
        <d v="2023-08-20T00:00:00"/>
        <d v="2023-08-17T00:00:00"/>
        <d v="2023-09-13T00:00:00"/>
        <d v="2023-09-02T00:00:00"/>
        <d v="2025-03-17T00:00:00"/>
        <d v="2024-02-06T00:00:00"/>
        <d v="2025-06-07T00:00:00"/>
        <d v="2024-01-23T00:00:00"/>
        <d v="2023-12-10T00:00:00"/>
        <d v="2024-05-04T00:00:00"/>
        <d v="2025-05-23T00:00:00"/>
        <d v="2023-11-18T00:00:00"/>
        <d v="2024-01-30T00:00:00"/>
        <d v="2024-04-16T00:00:00"/>
        <d v="2024-09-09T00:00:00"/>
        <d v="2024-11-22T00:00:00"/>
        <d v="2024-10-06T00:00:00"/>
        <d v="2024-07-24T00:00:00"/>
        <d v="2023-10-17T00:00:00"/>
        <d v="2024-04-09T00:00:00"/>
        <d v="2024-08-23T00:00:00"/>
        <d v="2023-08-09T00:00:00"/>
        <d v="2023-11-30T00:00:00"/>
        <d v="2023-12-23T00:00:00"/>
        <d v="2025-03-08T00:00:00"/>
        <d v="2024-04-28T00:00:00"/>
        <d v="2025-04-13T00:00:00"/>
        <d v="2024-01-22T00:00:00"/>
        <d v="2024-10-21T00:00:00"/>
        <d v="2025-02-11T00:00:00"/>
        <d v="2024-01-31T00:00:00"/>
        <d v="2024-12-19T00:00:00"/>
        <d v="2024-11-26T00:00:00"/>
        <d v="2024-01-29T00:00:00"/>
        <d v="2024-01-15T00:00:00"/>
        <d v="2023-11-19T00:00:00"/>
        <d v="2024-02-21T00:00:00"/>
        <d v="2024-03-22T00:00:00"/>
        <d v="2024-11-19T00:00:00"/>
        <d v="2023-10-19T00:00:00"/>
        <d v="2024-03-13T00:00:00"/>
        <d v="2024-09-01T00:00:00"/>
        <d v="2023-12-19T00:00:00"/>
        <d v="2025-01-17T00:00:00"/>
        <d v="2024-08-31T00:00:00"/>
        <d v="2024-05-29T00:00:00"/>
        <d v="2023-09-25T00:00:00"/>
        <d v="2024-09-22T00:00:00"/>
        <d v="2025-07-07T00:00:00"/>
        <d v="2025-03-14T00:00:00"/>
        <d v="2025-05-17T00:00:00"/>
        <d v="2024-05-06T00:00:00"/>
        <d v="2024-12-27T00:00:00"/>
        <d v="2024-03-08T00:00:00"/>
        <d v="2023-10-22T00:00:00"/>
        <d v="2024-09-13T00:00:00"/>
        <d v="2024-08-09T00:00:00"/>
        <d v="2024-12-18T00:00:00"/>
        <d v="2023-09-24T00:00:00"/>
        <d v="2023-12-30T00:00:00"/>
        <d v="2024-01-12T00:00:00"/>
        <d v="2024-04-01T00:00:00"/>
        <d v="2024-04-10T00:00:00"/>
        <d v="2024-09-07T00:00:00"/>
        <d v="2024-05-30T00:00:00"/>
        <d v="2024-06-21T00:00:00"/>
        <d v="2024-09-06T00:00:00"/>
        <d v="2024-09-02T00:00:00"/>
        <d v="2023-08-10T00:00:00"/>
        <d v="2023-10-11T00:00:00"/>
        <d v="2024-01-11T00:00:00"/>
        <d v="2024-02-03T00:00:00"/>
        <d v="2025-04-14T00:00:00"/>
        <d v="2024-07-31T00:00:00"/>
        <d v="2024-08-25T00:00:00"/>
        <d v="2024-03-31T00:00:00"/>
        <d v="2024-09-29T00:00:00"/>
        <d v="2023-10-24T00:00:00"/>
        <d v="2024-07-10T00:00:00"/>
        <d v="2023-12-17T00:00:00"/>
        <d v="2025-05-07T00:00:00"/>
        <d v="2023-07-27T00:00:00"/>
        <d v="2023-08-23T00:00:00"/>
        <d v="2023-09-30T00:00:00"/>
        <d v="2024-01-03T00:00:00"/>
        <d v="2024-06-05T00:00:00"/>
        <d v="2024-10-24T00:00:00"/>
        <d v="2024-05-19T00:00:00"/>
        <d v="2024-06-08T00:00:00"/>
        <d v="2023-12-21T00:00:00"/>
        <d v="2024-12-09T00:00:00"/>
        <d v="2025-05-10T00:00:00"/>
        <d v="2024-01-26T00:00:00"/>
        <d v="2025-02-23T00:00:00"/>
        <d v="2024-10-29T00:00:00"/>
        <d v="2024-08-24T00:00:00"/>
        <d v="2023-08-28T00:00:00"/>
        <d v="2024-12-20T00:00:00"/>
        <d v="2023-12-04T00:00:00"/>
        <d v="2024-04-21T00:00:00"/>
        <d v="2023-10-30T00:00:00"/>
        <d v="2024-02-05T00:00:00"/>
        <d v="2025-04-19T00:00:00"/>
        <d v="2025-03-01T00:00:00"/>
        <d v="2023-12-18T00:00:00"/>
        <d v="2024-01-19T00:00:00"/>
        <d v="2024-05-10T00:00:00"/>
        <d v="2024-06-01T00:00:00"/>
        <d v="2024-04-14T00:00:00"/>
        <d v="2024-03-24T00:00:00"/>
        <d v="2023-08-08T00:00:00"/>
        <d v="2024-02-23T00:00:00"/>
        <d v="2024-10-18T00:00:00"/>
        <d v="2024-02-25T00:00:00"/>
        <d v="2024-08-30T00:00:00"/>
        <d v="2023-10-12T00:00:00"/>
        <d v="2024-04-05T00:00:00"/>
        <d v="2025-02-25T00:00:00"/>
        <d v="2023-10-02T00:00:00"/>
        <d v="2023-08-25T00:00:00"/>
        <d v="2024-10-14T00:00:00"/>
        <d v="2023-11-24T00:00:00"/>
        <d v="2023-08-12T00:00:00"/>
        <d v="2024-03-09T00:00:00"/>
        <d v="2024-07-20T00:00:00"/>
        <d v="2024-11-04T00:00:00"/>
        <d v="2024-06-10T00:00:00"/>
        <d v="2024-02-19T00:00:00"/>
        <d v="2023-08-07T00:00:00"/>
        <d v="2025-07-19T00:00:00"/>
        <d v="2023-12-31T00:00:00"/>
      </sharedItems>
      <fieldGroup par="15"/>
    </cacheField>
    <cacheField name="City" numFmtId="0">
      <sharedItems count="10">
        <s v="Delhi"/>
        <s v="Ahmedabad"/>
        <s v="Mumbai"/>
        <s v="Bangalore"/>
        <s v="NaviMumbai"/>
        <s v="Pune"/>
        <s v="bengaluru" u="1"/>
        <s v="hyderbad" u="1"/>
        <s v="Hyd" u="1"/>
        <s v="Hyderabad" u="1"/>
      </sharedItems>
    </cacheField>
    <cacheField name="Segment" numFmtId="0">
      <sharedItems containsBlank="1" count="3">
        <s v="B2C"/>
        <s v="B2B"/>
        <m u="1"/>
      </sharedItems>
    </cacheField>
    <cacheField name="Profit" numFmtId="0">
      <sharedItems containsSemiMixedTypes="0" containsString="0" containsNumber="1" minValue="-992.61" maxValue="2997.11"/>
    </cacheField>
    <cacheField name="Months (Order_Date)" numFmtId="0" databaseField="0">
      <fieldGroup base="9">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9">
        <rangePr groupBy="quarters" startDate="2023-07-23T00:00:00" endDate="2025-07-23T00:00:00"/>
        <groupItems count="6">
          <s v="&lt;23-07-2023"/>
          <s v="Qtr1"/>
          <s v="Qtr2"/>
          <s v="Qtr3"/>
          <s v="Qtr4"/>
          <s v="&gt;23-07-2025"/>
        </groupItems>
      </fieldGroup>
    </cacheField>
    <cacheField name="Years (Order_Date)" numFmtId="0" databaseField="0">
      <fieldGroup base="9">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pivotCacheId="16153327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9.862217708331" createdVersion="8" refreshedVersion="8" minRefreshableVersion="3" recordCount="2500" xr:uid="{6A6A7ED9-E829-4E62-8E58-6D7EA9745605}">
  <cacheSource type="worksheet">
    <worksheetSource name="Table5[[Customer_Name]:[Profit]]"/>
  </cacheSource>
  <cacheFields count="12">
    <cacheField name="Customer_Name" numFmtId="0">
      <sharedItems count="2458">
        <s v="Brian Thompson"/>
        <s v="Shaun Ross"/>
        <s v="Sarah Snyder"/>
        <s v="Jay Briggs"/>
        <s v="Maria Blake"/>
        <s v="Samuel Miller"/>
        <s v="John Mclean"/>
        <s v="Dr. Kathryn Bass PhD"/>
        <s v="Marie Fisher"/>
        <s v="Dale Perry"/>
        <s v="Oscar Turner"/>
        <s v="Jacob Sanchez"/>
        <s v="Valerie Hampton"/>
        <s v="James Delgado"/>
        <s v="Richard Hood"/>
        <s v="Julie Fox"/>
        <s v="Valerie Garner"/>
        <s v="Alejandro Johnson"/>
        <s v="Andrew Washington"/>
        <s v="Mark Allison"/>
        <s v="Russell Eaton"/>
        <s v="Amber Bowman"/>
        <s v="Lauren Jensen"/>
        <s v="David Arnold"/>
        <s v="Thomas Long"/>
        <s v="Christine Reed"/>
        <s v="Colton Baxter"/>
        <s v="Rebecca Dorsey"/>
        <s v="Felicia Orozco"/>
        <s v="Terry Anderson"/>
        <s v="Brandi Jones"/>
        <s v="William Williams"/>
        <s v="Kim Harris"/>
        <s v="Jonathan Neal"/>
        <s v="Nathan Stewart"/>
        <s v="Joshua Thomas"/>
        <s v="Connie Cunningham"/>
        <s v="Amy Martin"/>
        <s v="Courtney Riddle"/>
        <s v="Ashley Ramirez"/>
        <s v="Angel Nelson"/>
        <s v="Teresa Chavez"/>
        <s v="Richard Williams"/>
        <s v="Deborah Walker"/>
        <s v="Elizabeth Williams"/>
        <s v="Connie Mills"/>
        <s v="Charlotte Cook"/>
        <s v="Matthew Thompson"/>
        <s v="James Hughes"/>
        <s v="Kimberly Anderson"/>
        <s v="Matthew Schmidt"/>
        <s v="Eric Wilson"/>
        <s v="Zachary Ramos"/>
        <s v="Debra Pollard"/>
        <s v="Angela Martinez"/>
        <s v="Brett Burch"/>
        <s v="Jennifer English"/>
        <s v="Penny Campbell"/>
        <s v="Karen Garcia"/>
        <s v="John Ramos"/>
        <s v="Dylan Roberson"/>
        <s v="Kelsey Reyes"/>
        <s v="Larry Gibson"/>
        <s v="Kristin Ho"/>
        <s v="Jessica Johnston"/>
        <s v="Amanda Parker"/>
        <s v="Joshua Figueroa"/>
        <s v="Julie Howard"/>
        <s v="Brandon Lin"/>
        <s v="Anna Allen"/>
        <s v="Kimberly Ho"/>
        <s v="Nancy White"/>
        <s v="Eric Salazar"/>
        <s v="Michael Williamson"/>
        <s v="Lynn Morales"/>
        <s v="Jennifer Horn"/>
        <s v="Lori Preston"/>
        <s v="Gabriel Parrish"/>
        <s v="Debbie Raymond"/>
        <s v="Cheryl Clark"/>
        <s v="Laura Thompson"/>
        <s v="Mary Lin"/>
        <s v="Nicholas White"/>
        <s v="Timothy Farmer"/>
        <s v="Kevin Martinez"/>
        <s v="James Martinez"/>
        <s v="Douglas Nelson"/>
        <s v="Thomas Ramirez"/>
        <s v="David Faulkner"/>
        <s v="Dennis Ross"/>
        <s v="Heather Arnold"/>
        <s v="David Bridges"/>
        <s v="Jennifer Keller"/>
        <s v="Amanda Myers"/>
        <s v="Betty Middleton"/>
        <s v="Laura Porter"/>
        <s v="Carla Phillips"/>
        <s v="Amber Smith"/>
        <s v="Diana Jones"/>
        <s v="Valerie Walker"/>
        <s v="Daniel Brown"/>
        <s v="Stephen Smith"/>
        <s v="Kimberly Walter"/>
        <s v="Brandon Webb"/>
        <s v="Andrew Moreno"/>
        <s v="Willie Smith"/>
        <s v="Evelyn Allison"/>
        <s v="Elizabeth Hood"/>
        <s v="Nathaniel Thomas"/>
        <s v="Nicole Evans"/>
        <s v="Michael Velasquez"/>
        <s v="Tammy Gonzales"/>
        <s v="Sherry Shepard"/>
        <s v="Derek Edwards"/>
        <s v="Robert Williams"/>
        <s v="Carolyn Nelson"/>
        <s v="Olivia Jones"/>
        <s v="Molly Johnson"/>
        <s v="Jose Jackson"/>
        <s v="Elizabeth Vega"/>
        <s v="Angelica Gonzalez"/>
        <s v="Henry Parker"/>
        <s v="Jennifer Lee"/>
        <s v="Michael Clarke"/>
        <s v="Jessica Gibson"/>
        <s v="Jason Turner"/>
        <s v="Grant Munoz"/>
        <s v="Rhonda Ray"/>
        <s v="Susan Anderson"/>
        <s v="Miranda Thomas"/>
        <s v="Grace Chavez"/>
        <s v="Andrew Carlson"/>
        <s v="Erin Williams"/>
        <s v="Melissa Jenkins"/>
        <s v="Ronald Ballard"/>
        <s v="Danielle Johnson"/>
        <s v="Jason Moore"/>
        <s v="Thomas Freeman"/>
        <s v="Katherine Reyes"/>
        <s v="Dawn Smith"/>
        <s v="Sarah Pacheco"/>
        <s v="Daniel Alvarez"/>
        <s v="Bernard Ramirez"/>
        <s v="Mrs. Julia Ramirez"/>
        <s v="Jorge Anderson"/>
        <s v="Jacqueline Jenkins"/>
        <s v="Tracy Miller"/>
        <s v="Travis Lopez"/>
        <s v="Steven Ortiz"/>
        <s v="Brittany Robinson"/>
        <s v="Joseph Allen"/>
        <s v="Matthew Deleon"/>
        <s v="Julia Evans"/>
        <s v="Robert Parks"/>
        <s v="Sean Small"/>
        <s v="Jacob Moore"/>
        <s v="Dean Allen"/>
        <s v="Vicki Jackson"/>
        <s v="Robert Knox"/>
        <s v="Ruben Oconnell"/>
        <s v="Laura Gallegos"/>
        <s v="Christopher Harvey"/>
        <s v="Scott Hampton"/>
        <s v="Steven Ingram"/>
        <s v="Joshua Jones"/>
        <s v="Jennifer Johnson"/>
        <s v="Robert Evans"/>
        <s v="Eugene Olson Jr."/>
        <s v="Kristine Sexton"/>
        <s v="Marc Hull"/>
        <s v="Richard Johnson"/>
        <s v="Diane Davis"/>
        <s v="Shaun Bush"/>
        <s v="Tiffany Flores"/>
        <s v="Ashley Brown"/>
        <s v="Bailey Williamson"/>
        <s v="Elizabeth Torres"/>
        <s v="Joshua Anderson"/>
        <s v="Kevin Allen"/>
        <s v="Michelle Moore"/>
        <s v="John Barber"/>
        <s v="Andrew Mclaughlin"/>
        <s v="Sherry Ward"/>
        <s v="Craig Farrell"/>
        <s v="Stacy Brady"/>
        <s v="Daniel Patton"/>
        <s v="Karen Smith"/>
        <s v="Maria Morrow"/>
        <s v="Elizabeth Johnson"/>
        <s v="Antonio Boyd PhD"/>
        <s v="John Tucker"/>
        <s v="Steve Mann"/>
        <s v="Christine Lopez"/>
        <s v="Stephanie Booth"/>
        <s v="Christine Rodgers"/>
        <s v="Michael Hawkins"/>
        <s v="Dean Jimenez"/>
        <s v="Jacqueline Erickson"/>
        <s v="Jade Chavez"/>
        <s v="Laura Green"/>
        <s v="Crystal Hayes MD"/>
        <s v="Amy Walker"/>
        <s v="Amy Gonzales"/>
        <s v="David Parker"/>
        <s v="Jennifer Williams"/>
        <s v="Charles White"/>
        <s v="Jerome Richardson"/>
        <s v="Jean Yoder"/>
        <s v="Theodore Yang"/>
        <s v="Rebecca Grant"/>
        <s v="Kelli Young"/>
        <s v="Bradley Quinn"/>
        <s v="Darrell Reynolds"/>
        <s v="Alicia Hernandez"/>
        <s v="Melanie Hoffman"/>
        <s v="Benjamin Dunlap"/>
        <s v="Cheryl King"/>
        <s v="Jamie Alexander"/>
        <s v="Kayla Crawford"/>
        <s v="Amber Rivera"/>
        <s v="Cody Mitchell"/>
        <s v="Karen Pennington"/>
        <s v="Nicholas Thompson"/>
        <s v="Shelby Lewis"/>
        <s v="Gregory Flores"/>
        <s v="Jeffrey Haynes"/>
        <s v="Antonio Moses"/>
        <s v="Dr. Adam Schultz"/>
        <s v="Allen Burton"/>
        <s v="Adam Bennett"/>
        <s v="Ashley Stevens"/>
        <s v="Sierra Miller"/>
        <s v="Katie Garcia"/>
        <s v="Timothy Goodman"/>
        <s v="Rebecca Drake"/>
        <s v="Juan White"/>
        <s v="Matthew Holloway"/>
        <s v="Scott Weeks"/>
        <s v="Karina Davis"/>
        <s v="Melanie Ramirez"/>
        <s v="Caroline Thomas"/>
        <s v="Pamela Navarro"/>
        <s v="Jack Mccoy"/>
        <s v="Ashley Walker"/>
        <s v="Christopher Mcknight"/>
        <s v="Dr. Derrick Scott"/>
        <s v="Jared Tate"/>
        <s v="Edward Morgan"/>
        <s v="Tim Bauer"/>
        <s v="Anthony Lee"/>
        <s v="Hailey Sullivan"/>
        <s v="Brandy Clark"/>
        <s v="Carlos Anderson"/>
        <s v="Michael Henson"/>
        <s v="Kim Campos"/>
        <s v="Janet Cooley"/>
        <s v="Mr. Matthew Gomez DDS"/>
        <s v="Shane Gomez"/>
        <s v="Tyler Haney"/>
        <s v="Lindsay Haney"/>
        <s v="Manuel Prince"/>
        <s v="George Gray"/>
        <s v="Ryan Graves"/>
        <s v="Ernest Myers"/>
        <s v="Brandi Lang"/>
        <s v="Gloria Barnett"/>
        <s v="Sarah Andrews"/>
        <s v="Sonya Martinez"/>
        <s v="Brittany Harris"/>
        <s v="Vanessa Kelley"/>
        <s v="Robert Gonzalez"/>
        <s v="Angela Taylor"/>
        <s v="Bradley Myers"/>
        <s v="Russell Love"/>
        <s v="Kelly Wong"/>
        <s v="Erin Wright"/>
        <s v="Michael Coleman"/>
        <s v="Jessica Kirby"/>
        <s v="Laura Romero"/>
        <s v="Joseph Joseph"/>
        <s v="Christopher Ferguson"/>
        <s v="Kevin Hunter"/>
        <s v="Kelly Gray"/>
        <s v="Carlos Walsh"/>
        <s v="Deborah Mckee"/>
        <s v="Andrew Harmon"/>
        <s v="Todd Hall"/>
        <s v="Danny Gilbert"/>
        <s v="Lauren Johnson"/>
        <s v="Katherine Parsons"/>
        <s v="Jason Calhoun"/>
        <s v="Amy Howard"/>
        <s v="Cindy Hall"/>
        <s v="Jeff Hernandez"/>
        <s v="Tiffany Maxwell"/>
        <s v="Lori Orozco"/>
        <s v="Sharon Combs"/>
        <s v="Dylan Newton"/>
        <s v="John Levine"/>
        <s v="Latoya Johnson"/>
        <s v="Caroline Turner"/>
        <s v="Adam Bryan"/>
        <s v="Laura Smith"/>
        <s v="Timothy Potter"/>
        <s v="Kelsey Stein"/>
        <s v="Aaron Johnson"/>
        <s v="Amber Lee"/>
        <s v="Michael Joseph"/>
        <s v="Tina Brown"/>
        <s v="Thomas Smith"/>
        <s v="Jennifer Watson"/>
        <s v="Wendy Garcia"/>
        <s v="Sean Pope"/>
        <s v="Brad Mccarty"/>
        <s v="Mark Gonzales"/>
        <s v="Theresa Wiggins"/>
        <s v="Mitchell Gomez"/>
        <s v="Tony Reynolds"/>
        <s v="Kristine Byrd"/>
        <s v="Mark Murray"/>
        <s v="Michael Velazquez"/>
        <s v="Lori Benson"/>
        <s v="Kimberly Flores"/>
        <s v="Mike Rhodes"/>
        <s v="Teresa Gilbert"/>
        <s v="Theodore Sanchez"/>
        <s v="Sarah Sosa"/>
        <s v="Christine Drake"/>
        <s v="Eric Medina"/>
        <s v="Joseph Sims"/>
        <s v="Gwendolyn Guerrero"/>
        <s v="Chelsea Brown"/>
        <s v="John Taylor"/>
        <s v="Russell Douglas"/>
        <s v="Kristen Drake"/>
        <s v="Katie Brown"/>
        <s v="Michelle Russell"/>
        <s v="Charles Aguilar"/>
        <s v="Emily Christensen"/>
        <s v="Annette Robinson"/>
        <s v="William White"/>
        <s v="Chloe Martinez"/>
        <s v="Catherine Barnett"/>
        <s v="Jason Dixon"/>
        <s v="Tim Jennings"/>
        <s v="Leah Gonzalez"/>
        <s v="Andrew Davis"/>
        <s v="Justin Bowen"/>
        <s v="Lisa Henry"/>
        <s v="Sarah Vance"/>
        <s v="Brian Edwards"/>
        <s v="Matthew Robbins"/>
        <s v="Kathleen Moore"/>
        <s v="Mr. George Cooper"/>
        <s v="Ryan James"/>
        <s v="Veronica Cordova"/>
        <s v="Jacob Brooks"/>
        <s v="Matthew Brown"/>
        <s v="Robert Harmon"/>
        <s v="Rebecca Gonzalez"/>
        <s v="Hannah Ball"/>
        <s v="Krista Wright"/>
        <s v="Marcus Powell"/>
        <s v="Leah Madden"/>
        <s v="Shawn Gardner"/>
        <s v="Karen Nunez"/>
        <s v="Laura Johnson"/>
        <s v="Lauren Kaufman"/>
        <s v="Patricia Pratt"/>
        <s v="Brandon Williams"/>
        <s v="Christopher Wilson"/>
        <s v="Ryan Gonzalez"/>
        <s v="Lisa Morton"/>
        <s v="Nicholas Lee"/>
        <s v="Kelly Vang"/>
        <s v="Megan Smith"/>
        <s v="Mark Matthews"/>
        <s v="Melissa Hale"/>
        <s v="Michael James"/>
        <s v="Brittney Branch"/>
        <s v="Brian Bridges"/>
        <s v="Jeffery Green"/>
        <s v="Rachel Bradford"/>
        <s v="Michelle Rodriguez"/>
        <s v="Veronica Taylor"/>
        <s v="Crystal Molina"/>
        <s v="Michael White"/>
        <s v="Michael Beltran"/>
        <s v="Barbara Jones"/>
        <s v="Randy Baker"/>
        <s v="James Collins"/>
        <s v="Jonathan Montgomery"/>
        <s v="Christina Hernandez"/>
        <s v="Jody Larsen"/>
        <s v="Andrew Wood"/>
        <s v="James Rocha"/>
        <s v="Rebekah Gonzalez"/>
        <s v="Aaron Ruiz"/>
        <s v="Olivia Lee"/>
        <s v="John Carr"/>
        <s v="Daniel Wilson"/>
        <s v="Daniel Hernandez Jr."/>
        <s v="John Clark"/>
        <s v="Hannah Martin"/>
        <s v="Alyssa Ramirez"/>
        <s v="Alan Johnson"/>
        <s v="Joseph Freeman"/>
        <s v="William Golden"/>
        <s v="Heather Cross"/>
        <s v="Dawn Caldwell"/>
        <s v="Michael Bond"/>
        <s v="Luis Mcdaniel"/>
        <s v="Michael Harris"/>
        <s v="Elizabeth Buchanan"/>
        <s v="Sydney Travis"/>
        <s v="Joshua Johnson"/>
        <s v="Nicholas Harrell"/>
        <s v="Christopher Anderson"/>
        <s v="Brittney Rivera"/>
        <s v="James Patterson"/>
        <s v="Kenneth Jackson"/>
        <s v="Marvin Cox"/>
        <s v="Christopher Reeves"/>
        <s v="Jennifer Villarreal"/>
        <s v="Stacey Irwin"/>
        <s v="Bryan Parks"/>
        <s v="Angela Hall"/>
        <s v="Stephanie Gonzalez"/>
        <s v="Travis Vargas"/>
        <s v="Rose Delgado"/>
        <s v="Jennifer Lyons"/>
        <s v="Steven Taylor"/>
        <s v="Jesse Cooke"/>
        <s v="Marie Sullivan"/>
        <s v="Nicole Mills"/>
        <s v="Erin Yu"/>
        <s v="Rachel Savage"/>
        <s v="Teresa Nichols"/>
        <s v="Elijah Anderson"/>
        <s v="Candace Smith"/>
        <s v="Michelle Lara"/>
        <s v="Emma Ramirez"/>
        <s v="Danielle Shelton"/>
        <s v="Paula Leon"/>
        <s v="Dr. Dennis Pena"/>
        <s v="Kelsey Wright"/>
        <s v="Eric Williams"/>
        <s v="Brandon Andrews"/>
        <s v="Michelle Phillips"/>
        <s v="Valerie Ramirez"/>
        <s v="Rebecca Murphy"/>
        <s v="Ricardo Kent"/>
        <s v="Justin Carpenter"/>
        <s v="Justin Clements"/>
        <s v="Patty Thomas"/>
        <s v="Madison Berry"/>
        <s v="Danielle Washington"/>
        <s v="Rachel Marshall"/>
        <s v="Anna King"/>
        <s v="Leah Chaney"/>
        <s v="Rebecca Leach"/>
        <s v="Miranda Higgins"/>
        <s v="Danielle Gonzales"/>
        <s v="Jill Johnson"/>
        <s v="William Peck"/>
        <s v="Keith Schroeder"/>
        <s v="William Ortiz"/>
        <s v="Jeremy Nash"/>
        <s v="Craig Conner MD"/>
        <s v="Victoria Hayden"/>
        <s v="Tammy Johnson"/>
        <s v="William Mullins"/>
        <s v="Alicia Reynolds"/>
        <s v="Rachel Shelton"/>
        <s v="Nancy James"/>
        <s v="Seth Gonzalez"/>
        <s v="Rachel Allen"/>
        <s v="Jaclyn Lynch"/>
        <s v="Vicki Peterson DDS"/>
        <s v="Troy Love"/>
        <s v="David Baker"/>
        <s v="Kristen Fuentes"/>
        <s v="Kenneth Barry"/>
        <s v="Judith Johnson"/>
        <s v="Oscar Williams"/>
        <s v="Gloria Orr"/>
        <s v="Nancy Taylor"/>
        <s v="Jennifer Morales DVM"/>
        <s v="Kimberly Hammond"/>
        <s v="Wendy Hernandez"/>
        <s v="Allen Garner"/>
        <s v="Richard Stephenson"/>
        <s v="Mr. Gary Wilson"/>
        <s v="Elizabeth Nelson"/>
        <s v="James Mcguire"/>
        <s v="Laura Myers"/>
        <s v="Joseph Anderson"/>
        <s v="Tiffany Calhoun"/>
        <s v="Lauren Ellis"/>
        <s v="Jerry Turner"/>
        <s v="Brian Maldonado"/>
        <s v="Randy Robertson"/>
        <s v="Linda Allen"/>
        <s v="James Matthews"/>
        <s v="Angela Newman"/>
        <s v="Robert Brooks"/>
        <s v="Michael Smith"/>
        <s v="Justin Dean"/>
        <s v="Rachel Johnston"/>
        <s v="Susan Bird"/>
        <s v="Michael Ruiz"/>
        <s v="Sarah Stokes"/>
        <s v="Laura Simmons"/>
        <s v="Kenneth Mcdaniel"/>
        <s v="Lauren Bailey"/>
        <s v="Brittany Munoz"/>
        <s v="Benjamin Lutz"/>
        <s v="Andrew Williams"/>
        <s v="Jennifer Alvarado"/>
        <s v="James Taylor"/>
        <s v="Krista Nichols"/>
        <s v="Juan Rogers"/>
        <s v="Bradley Rogers"/>
        <s v="Cameron Bowen"/>
        <s v="David Morales"/>
        <s v="Rachel Rios"/>
        <s v="Mary Campos"/>
        <s v="Jacob Morris"/>
        <s v="John Robinson"/>
        <s v="Michael Erickson"/>
        <s v="Yesenia Thompson"/>
        <s v="Teresa Davis"/>
        <s v="Mark Reed"/>
        <s v="Colin Lewis"/>
        <s v="Austin Barrett"/>
        <s v="Mark Compton"/>
        <s v="Jonathan Holmes"/>
        <s v="Sabrina Barnett"/>
        <s v="Sheryl Davis"/>
        <s v="Kurt Murillo"/>
        <s v="Michael Hodge"/>
        <s v="Sarah Welch"/>
        <s v="Angela Young"/>
        <s v="Karen Contreras"/>
        <s v="Anthony Stephens"/>
        <s v="Daniel Brady"/>
        <s v="Carlos Rogers"/>
        <s v="David Garcia"/>
        <s v="Jenna Wong"/>
        <s v="Bradley Oneal"/>
        <s v="Stanley Velez"/>
        <s v="Daniel Villegas"/>
        <s v="Denise Snyder"/>
        <s v="Christian Williamson"/>
        <s v="Linda Estrada"/>
        <s v="Courtney Page"/>
        <s v="Timothy Garcia"/>
        <s v="Jacob Williams"/>
        <s v="William Phillips"/>
        <s v="Angela Graham"/>
        <s v="Melissa Smith"/>
        <s v="Richard Harris"/>
        <s v="Cassie Johnson"/>
        <s v="Jerome Martinez"/>
        <s v="Angel Gonzalez"/>
        <s v="Brooke Garcia"/>
        <s v="Andre Stone"/>
        <s v="Toni Marquez"/>
        <s v="David Weaver"/>
        <s v="William Aguilar"/>
        <s v="William James"/>
        <s v="Ross Taylor"/>
        <s v="Jeff Weaver"/>
        <s v="Megan Rodriguez"/>
        <s v="Aaron Patel"/>
        <s v="Rick Moran"/>
        <s v="Dalton Logan"/>
        <s v="Lauren Pearson"/>
        <s v="Wesley Harper"/>
        <s v="Faith Ray"/>
        <s v="Donald Brown"/>
        <s v="David Noble"/>
        <s v="Anthony Calhoun"/>
        <s v="Bryan Hughes"/>
        <s v="Tina Keith"/>
        <s v="Scott Carroll"/>
        <s v="Leslie Jones"/>
        <s v="Amanda Wilkinson"/>
        <s v="Scott Davis"/>
        <s v="Jesse Kennedy"/>
        <s v="Bradley Lewis"/>
        <s v="Casey Sparks"/>
        <s v="Kristen Hernandez"/>
        <s v="Patrick Garza"/>
        <s v="Ronald Mcdaniel"/>
        <s v="Mark Campbell"/>
        <s v="Linda Ross"/>
        <s v="Amanda Wilson"/>
        <s v="Jeffery Elliott"/>
        <s v="Sonya Burke"/>
        <s v="Samuel Cortez"/>
        <s v="Scott Lewis"/>
        <s v="Lisa Carter"/>
        <s v="Gloria Phillips"/>
        <s v="Michele Ortiz"/>
        <s v="Jeremy Dickson"/>
        <s v="Matthew Marshall"/>
        <s v="Lindsay Sanchez"/>
        <s v="Brian Flores"/>
        <s v="Chase Torres"/>
        <s v="Victor Acosta"/>
        <s v="Stephanie Ferguson"/>
        <s v="Anna Valdez"/>
        <s v="Robert Ingram"/>
        <s v="Joel Fitzpatrick"/>
        <s v="Louis Owens"/>
        <s v="Shelby Alvarez"/>
        <s v="Leslie Morton"/>
        <s v="Anne Johnson"/>
        <s v="John Garcia"/>
        <s v="Scott Webb"/>
        <s v="Sarah Griffin"/>
        <s v="Kimberly Gomez"/>
        <s v="Mark Mendoza"/>
        <s v="Edwin Brennan"/>
        <s v="Jennifer Olsen"/>
        <s v="Heather Gordon"/>
        <s v="Gary Simon"/>
        <s v="Dr. Daniel Sanchez"/>
        <s v="Taylor Duran"/>
        <s v="Michelle French"/>
        <s v="Wesley Brown"/>
        <s v="Ryan Taylor"/>
        <s v="Catherine Brock"/>
        <s v="David Stuart"/>
        <s v="Ryan Griffin"/>
        <s v="Mr. Nicholas Reed"/>
        <s v="Jimmy Evans"/>
        <s v="Matthew Moses"/>
        <s v="Heather Mitchell"/>
        <s v="Martha Lynch"/>
        <s v="Alyssa Zhang"/>
        <s v="Thomas Tanner"/>
        <s v="Brian Floyd"/>
        <s v="Cody Mahoney"/>
        <s v="Katherine Moore"/>
        <s v="Tracy Frey"/>
        <s v="Amy Wood"/>
        <s v="Anne Hall"/>
        <s v="Jennifer White MD"/>
        <s v="Richard Hayes"/>
        <s v="Benjamin Johnson"/>
        <s v="Andrew Clark"/>
        <s v="Anthony Kent"/>
        <s v="John Lopez"/>
        <s v="Christopher Vargas"/>
        <s v="Ryan Weaver"/>
        <s v="Robert Richards"/>
        <s v="Harold Smith"/>
        <s v="Jamie Tucker"/>
        <s v="Christine Burton MD"/>
        <s v="Miguel Odonnell"/>
        <s v="Keith Martinez"/>
        <s v="Christopher Merritt DVM"/>
        <s v="Hannah Santos"/>
        <s v="Taylor Pugh"/>
        <s v="Miranda Holland"/>
        <s v="Brooke Dillon"/>
        <s v="Jennifer Scott"/>
        <s v="Elizabeth Ross"/>
        <s v="Paul Krueger"/>
        <s v="Sierra Evans"/>
        <s v="Jonathan Wagner"/>
        <s v="Samuel Wiley"/>
        <s v="Kristine Khan"/>
        <s v="Amy Stewart"/>
        <s v="Michael Keller"/>
        <s v="Justin Rose"/>
        <s v="Ryan Becker"/>
        <s v="Jessica Lara"/>
        <s v="Sophia Fischer"/>
        <s v="Tracy Taylor"/>
        <s v="Mark Silva"/>
        <s v="Johnny Berg"/>
        <s v="Christine Cox"/>
        <s v="Andrew Harris"/>
        <s v="Donna Winters"/>
        <s v="Travis Washington"/>
        <s v="Mary Tran"/>
        <s v="Kathryn Hardy"/>
        <s v="Robert Willis"/>
        <s v="Dylan Townsend"/>
        <s v="Kenneth Garcia"/>
        <s v="Lance Gonzales"/>
        <s v="Noah Wade"/>
        <s v="Sandra Peterson"/>
        <s v="Megan Mays"/>
        <s v="Linda Long"/>
        <s v="Ronald Arias"/>
        <s v="Susan Lambert"/>
        <s v="Christopher Patrick"/>
        <s v="Joy Garcia"/>
        <s v="Ryan Jordan"/>
        <s v="Cynthia Conway"/>
        <s v="Sarah Thompson"/>
        <s v="Jack Phelps"/>
        <s v="Willie Hodge"/>
        <s v="Jerry Carroll"/>
        <s v="Michael Allen"/>
        <s v="Zachary Phillips"/>
        <s v="Ricardo Moran"/>
        <s v="Ms. Sheila Ward"/>
        <s v="Stephen Allen"/>
        <s v="Austin Reilly"/>
        <s v="Michael Crawford"/>
        <s v="Marie Nelson"/>
        <s v="Christina Meyers"/>
        <s v="Lisa Vang"/>
        <s v="Dylan Armstrong"/>
        <s v="Stephen Berry"/>
        <s v="David Vincent"/>
        <s v="Mary Singh"/>
        <s v="Robin Hughes"/>
        <s v="Jonathan Schmidt"/>
        <s v="Grace Montoya"/>
        <s v="Ashley Nguyen"/>
        <s v="Paige Lee"/>
        <s v="Beth Wolfe"/>
        <s v="Jessica Carr"/>
        <s v="Becky Gordon"/>
        <s v="Mary Kline"/>
        <s v="Selena Baker"/>
        <s v="Mr. Lawrence Parks"/>
        <s v="Martha Fitzgerald"/>
        <s v="Alexandria Smith"/>
        <s v="Nicholas Fisher"/>
        <s v="Barbara Patel"/>
        <s v="Brent Rios"/>
        <s v="Jesus Ramirez"/>
        <s v="Jennifer Dominguez"/>
        <s v="Evan Huynh"/>
        <s v="Valerie Perry"/>
        <s v="Michelle Johnson"/>
        <s v="Kimberly Harrington"/>
        <s v="Stephanie Harrington"/>
        <s v="Rachel Bryan"/>
        <s v="Matthew Stein"/>
        <s v="Andrea Hull DDS"/>
        <s v="Kelly Garcia"/>
        <s v="Kelsey King"/>
        <s v="Haley Herrera"/>
        <s v="Monica Flores"/>
        <s v="Sheri Steele"/>
        <s v="Aaron Ramirez"/>
        <s v="Michael Walls"/>
        <s v="Gregory Garza"/>
        <s v="Dustin Blackburn"/>
        <s v="Richard Anderson"/>
        <s v="Richard Santiago"/>
        <s v="William Reyes"/>
        <s v="Lisa Moss"/>
        <s v="Patrick Chen"/>
        <s v="David Wilson"/>
        <s v="Cynthia Mullen"/>
        <s v="Sandra Jensen"/>
        <s v="John Sanders"/>
        <s v="Shannon Lee"/>
        <s v="Ruth Bennett"/>
        <s v="Jack Romero"/>
        <s v="Glen Anderson"/>
        <s v="Robert Hunter DDS"/>
        <s v="Michael Sullivan"/>
        <s v="Martin White"/>
        <s v="Emma Sharp"/>
        <s v="Dr. Brandi Stone"/>
        <s v="Roger Hall"/>
        <s v="Roberta Thompson"/>
        <s v="Jacqueline Ward"/>
        <s v="Mrs. Denise Solis DDS"/>
        <s v="Matthew Barajas"/>
        <s v="Jeffery Hoover"/>
        <s v="Johnny George"/>
        <s v="Pamela Johnson"/>
        <s v="Gregory Palmer"/>
        <s v="Douglas Lane"/>
        <s v="April Delgado"/>
        <s v="Felicia Fox"/>
        <s v="Tammy Deleon"/>
        <s v="Maria Krueger"/>
        <s v="Grant Juarez"/>
        <s v="Brandon Davis"/>
        <s v="Thomas Hawkins"/>
        <s v="Dr. Emily Thomas"/>
        <s v="Kendra Herman"/>
        <s v="Karen Hunt"/>
        <s v="Lisa Moore"/>
        <s v="Brian Lara"/>
        <s v="Zachary Lee"/>
        <s v="Robert Smith"/>
        <s v="Brian Robinson"/>
        <s v="Mark Robertson"/>
        <s v="Heather Campbell"/>
        <s v="Angela Lopez"/>
        <s v="Renee Moss"/>
        <s v="Kevin Larson"/>
        <s v="Michael Williams"/>
        <s v="Jo King"/>
        <s v="Jonathan Harris"/>
        <s v="Dennis Jacobs"/>
        <s v="Kelly Dixon"/>
        <s v="Danielle Love"/>
        <s v="Mrs. Danielle Kerr"/>
        <s v="Wanda Gonzalez"/>
        <s v="John Bailey"/>
        <s v="Caitlin Daniels"/>
        <s v="Jerry Bell"/>
        <s v="Michael Jackson"/>
        <s v="Charlotte Reed"/>
        <s v="Peter Baldwin"/>
        <s v="Jerry Ramirez"/>
        <s v="Brooke Trevino"/>
        <s v="Hannah Marquez"/>
        <s v="Amanda Walker"/>
        <s v="John Russo"/>
        <s v="Anthony Hale"/>
        <s v="Nicole Miller"/>
        <s v="Amanda Ashley"/>
        <s v="Susan Salazar"/>
        <s v="Shawn Mejia"/>
        <s v="Rhonda Rodriguez"/>
        <s v="Christopher Cabrera"/>
        <s v="Michael Barnes"/>
        <s v="Eric Carter"/>
        <s v="Justin Wright"/>
        <s v="Kristen Vasquez"/>
        <s v="James Snyder"/>
        <s v="Maureen Adams"/>
        <s v="Elizabeth Walker"/>
        <s v="Ashley Malone"/>
        <s v="Joshua Mendoza"/>
        <s v="Amy Hampton"/>
        <s v="Kelly Diaz"/>
        <s v="Mr. Nathaniel Cox"/>
        <s v="Ms. Brianna Jones"/>
        <s v="Andrea Fowler"/>
        <s v="Joseph Hall"/>
        <s v="Caitlin Hawkins"/>
        <s v="Lisa Smith"/>
        <s v="Paul Garrison"/>
        <s v="Alfred Marsh"/>
        <s v="Eric Cooper"/>
        <s v="Priscilla Williams"/>
        <s v="Michael Vasquez"/>
        <s v="Timothy Walton"/>
        <s v="Christopher Evans"/>
        <s v="Angela Roberts"/>
        <s v="Cory Chambers"/>
        <s v="Ann Melton"/>
        <s v="Dylan Roth"/>
        <s v="Jonathan Lambert"/>
        <s v="Heather Graves"/>
        <s v="Andrew Martinez"/>
        <s v="Jeffrey Fischer"/>
        <s v="Barbara Schmidt"/>
        <s v="Kimberly Reyes"/>
        <s v="Paul Walker"/>
        <s v="Melanie Phillips"/>
        <s v="Alicia Mclean"/>
        <s v="Carl Mahoney"/>
        <s v="Eric Beasley"/>
        <s v="Bonnie Hall"/>
        <s v="Sarah King"/>
        <s v="Nicholas Evans"/>
        <s v="Patricia Brooks"/>
        <s v="Kristin Gonzalez"/>
        <s v="Jessica Mckenzie"/>
        <s v="Katherine Berry"/>
        <s v="Mrs. Deborah Boone"/>
        <s v="Sonya Mendoza"/>
        <s v="Jennifer Sullivan"/>
        <s v="Jessica Jones"/>
        <s v="Denise Mcconnell"/>
        <s v="Madison Joseph"/>
        <s v="Michael Bradshaw"/>
        <s v="David Powers"/>
        <s v="Ricardo Davis"/>
        <s v="Maurice Reynolds"/>
        <s v="Mark Williams"/>
        <s v="Mr. Daniel Knox"/>
        <s v="Mary Diaz"/>
        <s v="Tonya Kirby"/>
        <s v="Amanda Holmes"/>
        <s v="Kyle Wright II"/>
        <s v="Brenda Rasmussen"/>
        <s v="Brian Wilson"/>
        <s v="Ross Wilson"/>
        <s v="Dr. Meredith Murphy"/>
        <s v="John Wade"/>
        <s v="Paula Pineda"/>
        <s v="Meagan Johnson"/>
        <s v="Nathan Garcia"/>
        <s v="Christopher Burgess"/>
        <s v="Bryce Hooper"/>
        <s v="Bruce Brown"/>
        <s v="Deborah James"/>
        <s v="Andrew Espinoza"/>
        <s v="Rodney Lee"/>
        <s v="Stephanie Callahan"/>
        <s v="Adam Sanchez"/>
        <s v="Benjamin Garrett"/>
        <s v="Christopher Lloyd"/>
        <s v="Darren Pittman"/>
        <s v="Brandon Lawrence"/>
        <s v="Corey Padilla"/>
        <s v="Kimberly Bowers"/>
        <s v="Ruth King"/>
        <s v="Bethany Gallagher"/>
        <s v="Patrick Benson"/>
        <s v="Connie Wilson"/>
        <s v="Anthony Rich"/>
        <s v="Anthony Sandoval"/>
        <s v="Regina Allen"/>
        <s v="Jesse Carter"/>
        <s v="Tim Alvarez"/>
        <s v="Lisa Perez"/>
        <s v="Vincent Torres"/>
        <s v="Sean Warren DDS"/>
        <s v="Mary Allen"/>
        <s v="Michelle Walsh"/>
        <s v="Tim Dean"/>
        <s v="Kristen Mahoney"/>
        <s v="Destiny Harris"/>
        <s v="Martin Miller"/>
        <s v="Kyle Lopez"/>
        <s v="Madison Gonzales"/>
        <s v="William Hudson"/>
        <s v="Steven Huynh"/>
        <s v="Richard Nichols"/>
        <s v="William Martinez"/>
        <s v="Devin Monroe"/>
        <s v="Craig Matthews"/>
        <s v="Michelle Bennett"/>
        <s v="Justin Forbes"/>
        <s v="Anna Rogers"/>
        <s v="Aaron Woods"/>
        <s v="Lisa Lewis"/>
        <s v="Miss Angela Webb"/>
        <s v="Sean Smith"/>
        <s v="James Brown"/>
        <s v="Paula Robinson"/>
        <s v="Jonathan Melton"/>
        <s v="Deanna Ortiz"/>
        <s v="Janet Murray MD"/>
        <s v="Megan Scott"/>
        <s v="Spencer Jacobs"/>
        <s v="Isaac Montgomery"/>
        <s v="Johnny Walker"/>
        <s v="Dawn Thompson"/>
        <s v="Amber Fernandez"/>
        <s v="Lisa Hernandez"/>
        <s v="Luis Vazquez"/>
        <s v="Angelica Hansen"/>
        <s v="Tracey Taylor"/>
        <s v="Stephanie Wolfe"/>
        <s v="Melissa Weaver"/>
        <s v="Sarah Gonzalez"/>
        <s v="Gregory Munoz"/>
        <s v="Gregory Wilson"/>
        <s v="Carla Mcneil"/>
        <s v="Michael Gray"/>
        <s v="Cody Atkins"/>
        <s v="Thomas Shepard"/>
        <s v="Mary Hill"/>
        <s v="Donna Fisher"/>
        <s v="Christian Johnson"/>
        <s v="Janet Evans"/>
        <s v="Christopher Martin"/>
        <s v="Melanie Noble"/>
        <s v="Leslie White"/>
        <s v="Carolyn Nicholson"/>
        <s v="Victor Hill"/>
        <s v="Dillon Cruz"/>
        <s v="Danny Ayers"/>
        <s v="Marcia Moore"/>
        <s v="Lori Williams"/>
        <s v="Joanne Mitchell"/>
        <s v="Manuel Carter"/>
        <s v="Heather Gardner"/>
        <s v="Julia Crawford"/>
        <s v="Vicki Kennedy"/>
        <s v="Thomas Howard"/>
        <s v="Glenn Blackwell"/>
        <s v="Christopher Ortiz"/>
        <s v="Adam Larson"/>
        <s v="Jeffrey Hess"/>
        <s v="Megan Carter"/>
        <s v="Ryan Schultz"/>
        <s v="Jennifer Ruiz"/>
        <s v="Justin Harvey"/>
        <s v="Kristen Martin"/>
        <s v="Carlos Bishop"/>
        <s v="Brian Garner"/>
        <s v="Casey Mathews"/>
        <s v="Heidi Ward"/>
        <s v="Kayla Andersen"/>
        <s v="Alexandra Park"/>
        <s v="Dennis Morales"/>
        <s v="Emma Chavez"/>
        <s v="Susan Davis"/>
        <s v="Stephanie Baker"/>
        <s v="Robert Mcgrath PhD"/>
        <s v="Matthew Gibson"/>
        <s v="Laura Anderson"/>
        <s v="David Perry"/>
        <s v="Gabriel Brooks"/>
        <s v="Adam Villarreal"/>
        <s v="Todd Edwards"/>
        <s v="David Hanson"/>
        <s v="Tracy Thomas"/>
        <s v="Vanessa Hale"/>
        <s v="Kelly Scott"/>
        <s v="Nicole Adkins"/>
        <s v="Larry Kent"/>
        <s v="Nicole Munoz MD"/>
        <s v="Anna Nguyen"/>
        <s v="Christopher Martinez"/>
        <s v="Amanda Jones"/>
        <s v="Ronald Black"/>
        <s v="John White"/>
        <s v="Robert Fletcher"/>
        <s v="Johnny Powell"/>
        <s v="Abigail Wilson"/>
        <s v="Lisa Scott"/>
        <s v="Brandon Rodriguez"/>
        <s v="Amanda Evans"/>
        <s v="Amy Gibson"/>
        <s v="Jessica Stafford"/>
        <s v="Bryan Jarvis"/>
        <s v="Dylan Salas"/>
        <s v="Blake Holland"/>
        <s v="George Nelson"/>
        <s v="Victoria Lee"/>
        <s v="Garrett Dudley"/>
        <s v="Eric Armstrong"/>
        <s v="Mr. John Carroll Jr."/>
        <s v="Amy Khan"/>
        <s v="Carla Hernandez"/>
        <s v="Charles Brown"/>
        <s v="Samuel Schroeder"/>
        <s v="Matthew Hester"/>
        <s v="Adam Barnes"/>
        <s v="Christopher Taylor"/>
        <s v="Samuel Jordan"/>
        <s v="Desiree Jacobs"/>
        <s v="John Sanchez"/>
        <s v="Rebecca Flowers"/>
        <s v="Tracy Santana"/>
        <s v="Andrea Jones"/>
        <s v="Patricia Robinson"/>
        <s v="Amanda Gray"/>
        <s v="Bruce Chavez"/>
        <s v="Michelle Palmer"/>
        <s v="Zachary Bowers"/>
        <s v="Lisa Sanders"/>
        <s v="Joseph Carney"/>
        <s v="Crystal Ferguson"/>
        <s v="James Keller"/>
        <s v="Taylor Martin"/>
        <s v="Joshua Roberts"/>
        <s v="Charles Warner"/>
        <s v="Debra Gibson"/>
        <s v="Jeff Gordon"/>
        <s v="Jesus Swanson"/>
        <s v="David Hodges"/>
        <s v="Daniel Mills"/>
        <s v="Frank Garcia MD"/>
        <s v="Steven Gutierrez"/>
        <s v="Amy Ramsey"/>
        <s v="Kimberly Morgan"/>
        <s v="Matthew Mcgee"/>
        <s v="Monica Jackson"/>
        <s v="Richard Chandler"/>
        <s v="Ricardo Jordan"/>
        <s v="Ashley Nielsen"/>
        <s v="Stephen Lynn"/>
        <s v="Mr. Anthony Williams MD"/>
        <s v="Heather Zimmerman"/>
        <s v="Amy Cook"/>
        <s v="Courtney Brown"/>
        <s v="Willie Barron"/>
        <s v="Dr. Joseph Guzman MD"/>
        <s v="Amy Parker"/>
        <s v="Justin Dougherty"/>
        <s v="Luis Turner"/>
        <s v="Cindy Marsh"/>
        <s v="Eduardo Hardy"/>
        <s v="Brandon Mccormick"/>
        <s v="Brenda Graham"/>
        <s v="Rhonda Patterson"/>
        <s v="Cassandra Wright"/>
        <s v="Andre Jefferson"/>
        <s v="Chelsey Morales DVM"/>
        <s v="Jennifer Ayala"/>
        <s v="Lisa Gomez"/>
        <s v="Michael Dillon"/>
        <s v="Thomas Robertson"/>
        <s v="Colleen Wallace"/>
        <s v="Jordan Hamilton"/>
        <s v="Kevin Flores"/>
        <s v="Mikayla Smith"/>
        <s v="Angela Wheeler"/>
        <s v="Kristen Gutierrez"/>
        <s v="Michael Kennedy"/>
        <s v="Andrea Ryan"/>
        <s v="Stephanie Mccormick"/>
        <s v="Jennifer Rich"/>
        <s v="George Bonilla"/>
        <s v="Laurie Stephens"/>
        <s v="Randall Chapman"/>
        <s v="Tammy Jennings"/>
        <s v="Amanda Williams"/>
        <s v="Michael Logan"/>
        <s v="James Gilbert"/>
        <s v="Cynthia Hopkins"/>
        <s v="Sandra Simmons"/>
        <s v="Lori Bush"/>
        <s v="Sarah Ortiz"/>
        <s v="Sheila Miller"/>
        <s v="Sara Dillon"/>
        <s v="Nancy Wood"/>
        <s v="Annette Campbell"/>
        <s v="Cheryl Roberts"/>
        <s v="Darlene Cervantes"/>
        <s v="Emily Chambers"/>
        <s v="Jacob Curry"/>
        <s v="Sandra Fernandez"/>
        <s v="Billy Smith"/>
        <s v="Douglas Rhodes"/>
        <s v="Paul Kennedy"/>
        <s v="James Spencer"/>
        <s v="John Mora Jr."/>
        <s v="Kayla Mclaughlin"/>
        <s v="Kayla Marshall MD"/>
        <s v="Veronica Everett"/>
        <s v="Samuel Mitchell"/>
        <s v="Lisa Saunders"/>
        <s v="Veronica Long"/>
        <s v="Donna Mendoza"/>
        <s v="Dennis Harris"/>
        <s v="Angela Warren"/>
        <s v="Jeremy Phillips"/>
        <s v="Karen Patterson"/>
        <s v="Kristen Barnes"/>
        <s v="Bobby Brock"/>
        <s v="Jeffrey Lewis"/>
        <s v="Deborah Gordon"/>
        <s v="Heather Taylor"/>
        <s v="Brian Kim"/>
        <s v="Wendy Rodriguez"/>
        <s v="Jade Dawson"/>
        <s v="Crystal Mcneil"/>
        <s v="Matthew Gross"/>
        <s v="Dennis Brown"/>
        <s v="Stephanie Williams"/>
        <s v="Paul Estrada"/>
        <s v="Michelle Anderson"/>
        <s v="Steven Kelly"/>
        <s v="Matthew Hicks"/>
        <s v="Natalie Adams"/>
        <s v="Jacob Kline"/>
        <s v="David Brown"/>
        <s v="Kristopher Gregory"/>
        <s v="Barry Ali"/>
        <s v="Kenneth Bryant"/>
        <s v="Lindsey Walker"/>
        <s v="Joel Wright"/>
        <s v="Judith Graves"/>
        <s v="Shannon White"/>
        <s v="Ronnie Perry"/>
        <s v="Courtney Wright"/>
        <s v="Martin Alvarez"/>
        <s v="Amanda Hester"/>
        <s v="Jasmine Torres"/>
        <s v="John Melton"/>
        <s v="Brandon Rojas"/>
        <s v="Michael Mccormick"/>
        <s v="Raymond Hernandez"/>
        <s v="Kristine Anderson"/>
        <s v="Tina Castillo"/>
        <s v="Troy Smith"/>
        <s v="Aaron Kaiser"/>
        <s v="Shawn Santiago"/>
        <s v="Elizabeth Ramirez"/>
        <s v="Danielle Hill"/>
        <s v="Virginia Murphy"/>
        <s v="Bobby Morrison"/>
        <s v="Daniel Martin"/>
        <s v="Kevin Carpenter"/>
        <s v="Michele Hicks"/>
        <s v="Samantha Richards"/>
        <s v="Zachary Macdonald"/>
        <s v="Regina Rodriguez"/>
        <s v="Nathan Hendrix"/>
        <s v="Joshua Blake"/>
        <s v="Kelly Juarez"/>
        <s v="David Wood"/>
        <s v="Lisa Ford"/>
        <s v="Robert Cline"/>
        <s v="Louis Holt"/>
        <s v="Mr. Alexander Costa Jr."/>
        <s v="Natalie Bernard"/>
        <s v="Kelsey Hampton"/>
        <s v="Anthony Daniels"/>
        <s v="April Davis MD"/>
        <s v="April Jones"/>
        <s v="Logan Russell"/>
        <s v="Jessica Lee"/>
        <s v="Aaron Miller"/>
        <s v="Melissa Rodriguez"/>
        <s v="Debra Wilcox"/>
        <s v="Mary Ruiz"/>
        <s v="Mary Fletcher"/>
        <s v="Jonathan Caldwell"/>
        <s v="Matthew Johnson"/>
        <s v="Marcus Harris"/>
        <s v="Devin Gallagher"/>
        <s v="Diana Campbell"/>
        <s v="Sharon Decker"/>
        <s v="Andrew Trevino"/>
        <s v="Julie Arnold"/>
        <s v="Taylor Aguirre"/>
        <s v="Terry Estrada"/>
        <s v="Alyssa Carter"/>
        <s v="John Case Jr."/>
        <s v="Danielle Stevenson"/>
        <s v="Richard Santos"/>
        <s v="Clifford Deleon"/>
        <s v="John Wu"/>
        <s v="Lauren Cook"/>
        <s v="Susan Mejia PhD"/>
        <s v="Tyler Clark"/>
        <s v="Julian Nielsen"/>
        <s v="Jennifer Jordan"/>
        <s v="Alan Carpenter"/>
        <s v="Shirley Fuller"/>
        <s v="Johnny Doyle"/>
        <s v="Jennifer Ware"/>
        <s v="Susan Morris"/>
        <s v="Leslie Clark"/>
        <s v="Christian Green"/>
        <s v="Patricia Henderson"/>
        <s v="Scott Sweeney"/>
        <s v="Carmen Cline"/>
        <s v="Adam Hopkins"/>
        <s v="Valerie King"/>
        <s v="John Romero"/>
        <s v="Thomas Murillo"/>
        <s v="Susan Buck"/>
        <s v="Martin Lynch"/>
        <s v="Laura Perez"/>
        <s v="Larry Mills"/>
        <s v="Jo Mckinney"/>
        <s v="Christina Martinez"/>
        <s v="Emma Sanchez"/>
        <s v="Susan Young"/>
        <s v="Mark Henderson"/>
        <s v="David Gutierrez"/>
        <s v="Ariel Velasquez"/>
        <s v="Omar Norman"/>
        <s v="Shannon Bell"/>
        <s v="Gary Ferrell"/>
        <s v="Martha Smith"/>
        <s v="Justin Aguilar"/>
        <s v="James Ibarra"/>
        <s v="Lacey Solis"/>
        <s v="Linda Riley"/>
        <s v="Theresa Stone"/>
        <s v="Christopher Brown Jr."/>
        <s v="Mary Miller"/>
        <s v="Nancy Chandler"/>
        <s v="Sheryl Brown"/>
        <s v="Amy Mcpherson"/>
        <s v="Robin Rios"/>
        <s v="Sheila Gutierrez"/>
        <s v="Jennifer Delgado"/>
        <s v="Kelly Thomas"/>
        <s v="Gabriel Conley"/>
        <s v="Kelsey Mcdonald"/>
        <s v="Mary Gilbert"/>
        <s v="Tracy Knight"/>
        <s v="Stephanie Jones"/>
        <s v="David Rodriguez"/>
        <s v="Christine Riley"/>
        <s v="Justin Garza"/>
        <s v="Stephanie Cook MD"/>
        <s v="Phillip Smith"/>
        <s v="Audrey Pittman"/>
        <s v="Jeremy Booth"/>
        <s v="Stephanie Ford"/>
        <s v="Shawn Martinez"/>
        <s v="Alexa Davis"/>
        <s v="April Harrison"/>
        <s v="April Ward"/>
        <s v="Monique Brown"/>
        <s v="Jessica Campbell"/>
        <s v="Victor Peterson"/>
        <s v="David Garcia MD"/>
        <s v="Andrea Young"/>
        <s v="Brian Garcia"/>
        <s v="Amanda Smith"/>
        <s v="Sharon Cain"/>
        <s v="Dustin Skinner"/>
        <s v="Timothy Thompson"/>
        <s v="Christina Carter"/>
        <s v="Mrs. Crystal Stokes"/>
        <s v="Joseph Wilson"/>
        <s v="Brittany Hicks"/>
        <s v="Raymond Floyd"/>
        <s v="Daniel Smith"/>
        <s v="Sydney Warren"/>
        <s v="Morgan Blankenship"/>
        <s v="Heather Walsh"/>
        <s v="Robin Jennings"/>
        <s v="Anita Rose"/>
        <s v="Gregory Kennedy"/>
        <s v="Robert Nelson"/>
        <s v="Stephen Barber"/>
        <s v="Jay Bates"/>
        <s v="Samuel Wilson"/>
        <s v="Denise Spencer"/>
        <s v="Walter Richard"/>
        <s v="Susan Gonzalez"/>
        <s v="Christopher Hawkins"/>
        <s v="David Moreno"/>
        <s v="John Boyd"/>
        <s v="John Johns"/>
        <s v="Victoria Greene"/>
        <s v="Joe Reed"/>
        <s v="Kurt Best"/>
        <s v="Tammy Jackson"/>
        <s v="Cynthia Wright"/>
        <s v="Robert Page"/>
        <s v="Rachel Alvarez"/>
        <s v="Catherine Young"/>
        <s v="Kimberly Villanueva"/>
        <s v="Jeanette Maldonado"/>
        <s v="John Scott"/>
        <s v="William Brown"/>
        <s v="Cody Benson"/>
        <s v="Kara Waller"/>
        <s v="Veronica Jones"/>
        <s v="Michelle Robertson"/>
        <s v="Aaron Molina"/>
        <s v="Javier Sloan"/>
        <s v="Michael Roberts"/>
        <s v="Brittney Scott"/>
        <s v="Laura Shaw"/>
        <s v="Charles Ray"/>
        <s v="Dominic Baker"/>
        <s v="Thomas Carr"/>
        <s v="Michael Bright"/>
        <s v="Ralph Owens"/>
        <s v="Norman Owens"/>
        <s v="David Mitchell"/>
        <s v="Katie Montoya"/>
        <s v="Daniel Greer"/>
        <s v="Lacey Buchanan"/>
        <s v="Dr. Dawn Martin"/>
        <s v="Jeanette Gordon"/>
        <s v="Deborah Weber"/>
        <s v="Eric Hoffman"/>
        <s v="Diana Hall"/>
        <s v="Amy Barker"/>
        <s v="Danielle Davis"/>
        <s v="Daniel Ray"/>
        <s v="Renee Martinez"/>
        <s v="Daniel Hamilton"/>
        <s v="Debbie Wade"/>
        <s v="Adrienne Anderson MD"/>
        <s v="David Snyder"/>
        <s v="Jennifer Palmer"/>
        <s v="Amanda Pham"/>
        <s v="Gary Andrade"/>
        <s v="Austin Quinn"/>
        <s v="Jim Strong"/>
        <s v="Amy Frederick"/>
        <s v="Whitney Mathis"/>
        <s v="Kayla Peters"/>
        <s v="Caitlin Callahan"/>
        <s v="Joseph Barton"/>
        <s v="Melissa Norman"/>
        <s v="Mary Smith"/>
        <s v="Robert Henderson"/>
        <s v="Laurie Williams"/>
        <s v="Jeffrey Owens"/>
        <s v="Melinda Cohen"/>
        <s v="Kevin Miller"/>
        <s v="Jeffrey Martinez"/>
        <s v="Nicole Smith"/>
        <s v="Regina Lewis"/>
        <s v="Christopher Williams"/>
        <s v="Donald Howard"/>
        <s v="Charles Johnson"/>
        <s v="Candace Huff"/>
        <s v="Matthew Good"/>
        <s v="Rebekah Parker"/>
        <s v="Alex Marshall"/>
        <s v="Ashley Harrison"/>
        <s v="Mario Scott"/>
        <s v="Victor Jones"/>
        <s v="James Day"/>
        <s v="Jeffery Blankenship"/>
        <s v="Jacqueline Peck"/>
        <s v="Sean Tran"/>
        <s v="Craig Miller"/>
        <s v="Melissa Clark"/>
        <s v="Alex Nash"/>
        <s v="John Ramirez"/>
        <s v="Jared Hill"/>
        <s v="Patrick Hernandez"/>
        <s v="Kenneth Anthony"/>
        <s v="Jason Stanley"/>
        <s v="Kyle Jordan"/>
        <s v="John Fisher"/>
        <s v="Sarah Glass"/>
        <s v="Sean Moore"/>
        <s v="Jessica Gonzalez"/>
        <s v="Christine Scott"/>
        <s v="Erin Cook"/>
        <s v="Alexa Mclaughlin"/>
        <s v="Matthew Whitaker"/>
        <s v="Ronald Cohen"/>
        <s v="Robert Martinez"/>
        <s v="James Edwards"/>
        <s v="Elizabeth Rice"/>
        <s v="Allison Mccann"/>
        <s v="Dr. Nicholas Martinez"/>
        <s v="Katie Berger"/>
        <s v="Robert Sosa"/>
        <s v="Anna Hernandez"/>
        <s v="Robert Nichols"/>
        <s v="Angel Gutierrez"/>
        <s v="Stephanie Frank"/>
        <s v="Cindy Anderson"/>
        <s v="Jon Hernandez"/>
        <s v="David Alvarez"/>
        <s v="John Perry"/>
        <s v="Amanda Schroeder"/>
        <s v="Kendra Alvarado"/>
        <s v="Melanie Howe"/>
        <s v="Kathryn Chang"/>
        <s v="Javier Williams"/>
        <s v="Cynthia Rhodes"/>
        <s v="Travis Boyd"/>
        <s v="Ashley Williams"/>
        <s v="Christine Decker"/>
        <s v="Brandon Flowers"/>
        <s v="Amy Clark"/>
        <s v="Timothy Smith"/>
        <s v="Maureen Cohen"/>
        <s v="Crystal Ortiz"/>
        <s v="Joshua Knight"/>
        <s v="Rachael Terrell"/>
        <s v="Kimberly Andrews"/>
        <s v="John Lawrence"/>
        <s v="Laura Chen"/>
        <s v="Lindsey Craig"/>
        <s v="Kristin Scott"/>
        <s v="Matthew Alvarez"/>
        <s v="Andrea Cortez"/>
        <s v="Heather Flores"/>
        <s v="Jill Eaton"/>
        <s v="Amy Potts"/>
        <s v="Antonio Woods"/>
        <s v="Cindy Zamora"/>
        <s v="Amanda Day"/>
        <s v="Miss Roberta Gonzalez MD"/>
        <s v="Brian Taylor"/>
        <s v="Mark Bonilla"/>
        <s v="Carrie Larson"/>
        <s v="Brian Howard"/>
        <s v="Darren Bailey"/>
        <s v="Wanda Medina"/>
        <s v="Kenneth Hooper"/>
        <s v="Eric Rogers"/>
        <s v="Trevor Lynch DVM"/>
        <s v="Amy Robinson"/>
        <s v="Jeremiah Salas"/>
        <s v="Jeff Dorsey"/>
        <s v="Shannon Bean"/>
        <s v="Allison Miller"/>
        <s v="Sean Rogers"/>
        <s v="William Wells"/>
        <s v="John Hayes"/>
        <s v="Hannah Jackson"/>
        <s v="Kim Chavez"/>
        <s v="Robert Burnett"/>
        <s v="Cory Evans"/>
        <s v="Amanda Benson"/>
        <s v="Ashley Martin"/>
        <s v="Courtney Smith"/>
        <s v="Selena Johnson"/>
        <s v="Anthony Contreras"/>
        <s v="Michelle Greene"/>
        <s v="Jennifer Ortiz"/>
        <s v="Russell King"/>
        <s v="Alyssa Horn"/>
        <s v="Carlos Valencia"/>
        <s v="Erica Smith"/>
        <s v="Brianna Bonilla"/>
        <s v="Steven Reed"/>
        <s v="Dr. Jacqueline Henry"/>
        <s v="Kathryn Green"/>
        <s v="Ashley Miller"/>
        <s v="Ricky Nelson"/>
        <s v="Joshua Greer"/>
        <s v="Nicholas Dennis"/>
        <s v="Crystal Hubbard"/>
        <s v="Jessica Garrett"/>
        <s v="Randall Bruce"/>
        <s v="Christopher Moore"/>
        <s v="James Aguilar"/>
        <s v="Mr. Wayne Fletcher DVM"/>
        <s v="Yvonne Perez"/>
        <s v="Michael Deleon"/>
        <s v="Miss Natalie Aguilar"/>
        <s v="Kevin Allison"/>
        <s v="Douglas Scott"/>
        <s v="Rachel Williams"/>
        <s v="Traci Jennings"/>
        <s v="Ryan Braun"/>
        <s v="Patrick Hill"/>
        <s v="Colin Osborne"/>
        <s v="Anthony Love"/>
        <s v="Mark Wood"/>
        <s v="Debra Romero"/>
        <s v="Edward Santos"/>
        <s v="Deborah Richmond"/>
        <s v="Nathan Washington"/>
        <s v="Kenneth Harris"/>
        <s v="Jeffrey Cook"/>
        <s v="Loretta Perry"/>
        <s v="Shelley Olson"/>
        <s v="Jason Tucker"/>
        <s v="Dawn Perkins"/>
        <s v="Cody Rogers"/>
        <s v="Michael Freeman"/>
        <s v="Kenneth Bennett"/>
        <s v="Ryan Bowen"/>
        <s v="Raymond Mcdonald"/>
        <s v="Richard Alexander"/>
        <s v="Tamara Hopkins"/>
        <s v="Ashley Fernandez"/>
        <s v="Christine Garcia"/>
        <s v="Julie Grant"/>
        <s v="Sharon Sharp"/>
        <s v="Thomas Nielsen"/>
        <s v="Michael Day"/>
        <s v="James Thompson"/>
        <s v="Jessica Wilkerson"/>
        <s v="Brian Young"/>
        <s v="Travis Watson"/>
        <s v="Elizabeth Vargas"/>
        <s v="Amy Garcia"/>
        <s v="Jason Davis PhD"/>
        <s v="Scott Stephenson"/>
        <s v="Sally Morales"/>
        <s v="William Doyle"/>
        <s v="Rebecca Lowery"/>
        <s v="Tina Wilson"/>
        <s v="Samantha Gould"/>
        <s v="Jessica Park"/>
        <s v="Kathy Smith"/>
        <s v="Maurice Mcconnell"/>
        <s v="Danielle Kaufman"/>
        <s v="Christine James"/>
        <s v="Michael Diaz"/>
        <s v="Tony Davis"/>
        <s v="Kelly Saunders"/>
        <s v="Steve Tran"/>
        <s v="Christopher Davis"/>
        <s v="Stephanie Franco"/>
        <s v="Kristie Williams"/>
        <s v="Stephanie King"/>
        <s v="Travis Thomas"/>
        <s v="Carol Young"/>
        <s v="Angela Wiggins"/>
        <s v="Diana Buchanan"/>
        <s v="George Moody"/>
        <s v="Michael Morris"/>
        <s v="James Hayes"/>
        <s v="Timothy Nash"/>
        <s v="Amanda Wolf"/>
        <s v="Barbara Thompson"/>
        <s v="Natasha Willis"/>
        <s v="Kathleen Sharp"/>
        <s v="Shirley Mann"/>
        <s v="Sarah Nguyen"/>
        <s v="Austin Warner"/>
        <s v="Heather Hall"/>
        <s v="Colin Dillon"/>
        <s v="Brittany Perkins"/>
        <s v="Patricia Stokes"/>
        <s v="Brenda Lewis"/>
        <s v="Catherine Good"/>
        <s v="Walter Jenkins"/>
        <s v="James Leonard"/>
        <s v="Sarah Craig"/>
        <s v="Sheila Crawford"/>
        <s v="Annette Miller"/>
        <s v="Michael Green"/>
        <s v="Kimberly Morris"/>
        <s v="James Soto"/>
        <s v="Scott Bryant"/>
        <s v="Teresa Carlson"/>
        <s v="Jennifer Richardson"/>
        <s v="Karen Bridges"/>
        <s v="Amy Riley"/>
        <s v="Deanna Woods"/>
        <s v="Sharon Reed"/>
        <s v="Rachel Brown"/>
        <s v="Richard Lopez"/>
        <s v="Jordan Pierce"/>
        <s v="Andrew Sharp"/>
        <s v="Kimberly Mitchell"/>
        <s v="Patricia Stanley"/>
        <s v="Gabriel Browning"/>
        <s v="Kaitlin Thompson"/>
        <s v="April Nichols"/>
        <s v="Susan Solis"/>
        <s v="Melissa Flowers"/>
        <s v="Sydney Chambers"/>
        <s v="Laurie Potter"/>
        <s v="Robyn Downs"/>
        <s v="Sara Duffy"/>
        <s v="Lisa Frederick"/>
        <s v="John Kim"/>
        <s v="Ashley Hernandez"/>
        <s v="Toni Allison"/>
        <s v="John Irwin"/>
        <s v="Randall Mcdonald"/>
        <s v="Matthew Estes"/>
        <s v="Alexandra Washington"/>
        <s v="Joshua Warren"/>
        <s v="Jeff Holland"/>
        <s v="Kristina Gutierrez"/>
        <s v="Briana Ford"/>
        <s v="Gregory Douglas"/>
        <s v="Michelle Williams"/>
        <s v="Brenda Cooper"/>
        <s v="Nathaniel Ramos"/>
        <s v="Angela Hart MD"/>
        <s v="Valerie Miles"/>
        <s v="Timothy Murphy"/>
        <s v="Amanda Love"/>
        <s v="Charles Friedman"/>
        <s v="Jamie Wilkerson"/>
        <s v="Joshua Wade"/>
        <s v="Hailey Braun"/>
        <s v="Lauren Kelley"/>
        <s v="Nancy Palmer"/>
        <s v="Tiffany Baker"/>
        <s v="Jennifer Vargas"/>
        <s v="Jeffrey Powell"/>
        <s v="Jillian Castillo"/>
        <s v="Mr. Robert Washington"/>
        <s v="Nancy Carroll"/>
        <s v="Christopher Terrell"/>
        <s v="Erin Alvarado"/>
        <s v="Brenda Williams"/>
        <s v="Kendra James MD"/>
        <s v="Tanya Johnson"/>
        <s v="Kim Mendez"/>
        <s v="Daniel Hale"/>
        <s v="Lisa Weaver"/>
        <s v="Gabriel Williams"/>
        <s v="Kevin Gilbert"/>
        <s v="Tyrone Brown"/>
        <s v="Krystal Cortez"/>
        <s v="Theresa Barnes"/>
        <s v="Elizabeth Obrien"/>
        <s v="Crystal Mercer"/>
        <s v="Crystal Campbell"/>
        <s v="Linda Figueroa"/>
        <s v="Jesse Peck"/>
        <s v="Yvonne Williams"/>
        <s v="Randy Miller"/>
        <s v="Julia Fuentes"/>
        <s v="Michaela Key"/>
        <s v="Benjamin Hicks"/>
        <s v="Amanda Gonzalez"/>
        <s v="Brittney Perez"/>
        <s v="Matthew Valenzuela"/>
        <s v="Michael Ball"/>
        <s v="Nicholas Mitchell"/>
        <s v="Alec Santos"/>
        <s v="Karen Flores"/>
        <s v="Courtney Pearson"/>
        <s v="Bethany Johnson"/>
        <s v="Lawrence Turner"/>
        <s v="Nicholas Miller"/>
        <s v="Tracy Howard"/>
        <s v="Jessica Stone"/>
        <s v="Brandy Sellers"/>
        <s v="Andrea Parker"/>
        <s v="Carlos Hernandez"/>
        <s v="Marvin Williams"/>
        <s v="Brittney Hamilton"/>
        <s v="Sharon Russell"/>
        <s v="Shelly Richardson"/>
        <s v="Alexander Cox"/>
        <s v="Jessica White"/>
        <s v="David Hawkins"/>
        <s v="Thomas Pham"/>
        <s v="Karen Brown"/>
        <s v="Elizabeth Ingram"/>
        <s v="Jermaine Hicks"/>
        <s v="Mary Gomez"/>
        <s v="Adrian Martinez"/>
        <s v="Joshua Obrien"/>
        <s v="Brianna Little"/>
        <s v="Todd Smith"/>
        <s v="Michael Lee"/>
        <s v="Sandra Hobbs"/>
        <s v="Walter Stanton"/>
        <s v="Wendy Ellison"/>
        <s v="Robert Gray"/>
        <s v="Holly Mclean"/>
        <s v="Rebekah Wolf"/>
        <s v="Laura Hernandez"/>
        <s v="Brandon Richmond"/>
        <s v="Paul Thompson"/>
        <s v="Tyler Curtis"/>
        <s v="Mrs. Andrea Skinner MD"/>
        <s v="Jeff Bowman"/>
        <s v="Alexandra Perez"/>
        <s v="Todd Lynch"/>
        <s v="Alan Beard"/>
        <s v="Stephanie Jensen"/>
        <s v="Nicholas Morgan"/>
        <s v="Mr. Kenneth Anderson"/>
        <s v="Brian Craig"/>
        <s v="Andrea West"/>
        <s v="Sara Miller"/>
        <s v="Steven Sharp"/>
        <s v="Sandra Hudson"/>
        <s v="Joseph Williams"/>
        <s v="Brian Wells"/>
        <s v="Justin Charles"/>
        <s v="Hannah Allen"/>
        <s v="Jennifer Hall"/>
        <s v="Angela Carlson"/>
        <s v="David Garner"/>
        <s v="Antonio Crosby"/>
        <s v="Erin Kim"/>
        <s v="Paul Harvey"/>
        <s v="Christopher Kidd"/>
        <s v="Wesley Valencia"/>
        <s v="Janet Chang"/>
        <s v="Ashley Bishop"/>
        <s v="Rebecca Marsh"/>
        <s v="Ebony Jones"/>
        <s v="Frederick Henry"/>
        <s v="Janet Lopez"/>
        <s v="Frank Mitchell"/>
        <s v="Matthew Cole"/>
        <s v="Daniel Perez"/>
        <s v="Caroline Roth"/>
        <s v="Tami Leonard"/>
        <s v="Gerald Snow"/>
        <s v="Alexis Wu"/>
        <s v="Angela Miller"/>
        <s v="Stephanie Thomas"/>
        <s v="Elizabeth Ford"/>
        <s v="Scott Kent"/>
        <s v="Eric Fletcher"/>
        <s v="Paul Smith"/>
        <s v="Walter Pham"/>
        <s v="Kaylee Wilkins"/>
        <s v="Christina Barnes"/>
        <s v="Mark Olson"/>
        <s v="Amanda Berry"/>
        <s v="Robert Kelly"/>
        <s v="Sean Medina"/>
        <s v="Benjamin Boyd"/>
        <s v="Julie Jones"/>
        <s v="Tanner Nguyen"/>
        <s v="Maria Morris"/>
        <s v="Dylan Serrano"/>
        <s v="Samantha Wells"/>
        <s v="Mike Velasquez"/>
        <s v="Margaret Hall"/>
        <s v="Robert Perry MD"/>
        <s v="Wesley Lopez"/>
        <s v="Mary Lopez"/>
        <s v="Roger Bennett"/>
        <s v="Ashley Manning"/>
        <s v="Isaac Watson"/>
        <s v="Timothy Wilson"/>
        <s v="Larry Yang"/>
        <s v="Betty Espinoza MD"/>
        <s v="Stephanie Johnson"/>
        <s v="Denise Crawford"/>
        <s v="Matthew Bates"/>
        <s v="Julie Gomez"/>
        <s v="Michele Martin"/>
        <s v="James Maddox"/>
        <s v="Richard Dyer"/>
        <s v="Tracy Mitchell"/>
        <s v="Norman Henderson"/>
        <s v="Brent Gutierrez"/>
        <s v="Stephen Wright"/>
        <s v="Daryl Reynolds"/>
        <s v="Meghan Robinson"/>
        <s v="Patricia Mcbride"/>
        <s v="Lisa Larsen"/>
        <s v="Timothy Brown"/>
        <s v="Lindsey Kelly"/>
        <s v="Kathleen Hill"/>
        <s v="Laura Graham"/>
        <s v="Kayla Foster"/>
        <s v="Rick Peters"/>
        <s v="Cindy Simmons"/>
        <s v="Natalie Smith"/>
        <s v="Samuel Torres Jr."/>
        <s v="Robert White"/>
        <s v="Cynthia Johnson"/>
        <s v="Ana Davis"/>
        <s v="Alyssa Patel"/>
        <s v="Jennifer Schultz"/>
        <s v="Janice Ballard"/>
        <s v="Gregg Beck"/>
        <s v="Stephen Rivera"/>
        <s v="Phillip Lutz"/>
        <s v="Robert Miller"/>
        <s v="Jacqueline Cochran"/>
        <s v="Stephanie Thompson"/>
        <s v="Ricardo Miller"/>
        <s v="Julie Anthony"/>
        <s v="Jonathan Hughes"/>
        <s v="Wanda Ramos"/>
        <s v="Joanne Walls"/>
        <s v="Stacie Santiago"/>
        <s v="Casey Watkins"/>
        <s v="Felicia Saunders"/>
        <s v="Richard Sanders"/>
        <s v="Sherri Roth"/>
        <s v="Mallory Lee DVM"/>
        <s v="Briana Robles"/>
        <s v="Erin Martin"/>
        <s v="Jeffrey Wiggins"/>
        <s v="Julie Welch MD"/>
        <s v="Jennifer Leblanc"/>
        <s v="James Case DDS"/>
        <s v="Wesley Jackson"/>
        <s v="Joe Schmitt"/>
        <s v="Maria Blackburn"/>
        <s v="Angela Diaz"/>
        <s v="Garrett Hall"/>
        <s v="Brandi Powell"/>
        <s v="Laura Robertson"/>
        <s v="Lisa Kline"/>
        <s v="Emily Rhodes"/>
        <s v="Kevin Skinner"/>
        <s v="Kathy Patel"/>
        <s v="Charles Mcgee"/>
        <s v="Timothy Farley PhD"/>
        <s v="Jasmine Mcgee"/>
        <s v="Karen Houston"/>
        <s v="Suzanne Thomas"/>
        <s v="Francisco Flowers"/>
        <s v="Lisa Reid"/>
        <s v="Kathy Tate"/>
        <s v="Tara Rivas"/>
        <s v="Derek Richards"/>
        <s v="Lisa James"/>
        <s v="Brian Wallace"/>
        <s v="Daniel Reyes"/>
        <s v="Kevin Wong"/>
        <s v="Kaitlin Baldwin"/>
        <s v="Andrew Brown"/>
        <s v="Danielle Nguyen"/>
        <s v="David Walker"/>
        <s v="Tanya Pham"/>
        <s v="Sean Cunningham"/>
        <s v="Virginia Rowland"/>
        <s v="Megan Nixon"/>
        <s v="Albert Fowler"/>
        <s v="Michael Garcia"/>
        <s v="Matthew Jones"/>
        <s v="Stacy Graves"/>
        <s v="Chelsea Hunter"/>
        <s v="Jamie Meyer"/>
        <s v="Kimberly Harrison"/>
        <s v="Edward Anderson"/>
        <s v="Morgan Sharp"/>
        <s v="Nicholas Bryant"/>
        <s v="Timothy Peterson"/>
        <s v="Andrew Lopez"/>
        <s v="Olivia Decker"/>
        <s v="Albert Garcia"/>
        <s v="Donald Simmons"/>
        <s v="Cheryl Baker"/>
        <s v="Zachary Robinson"/>
        <s v="Mark Bailey"/>
        <s v="Christine Davenport"/>
        <s v="William Vargas"/>
        <s v="David Quinn"/>
        <s v="Jeffrey Wilson"/>
        <s v="Sara Woods"/>
        <s v="Miguel Reed"/>
        <s v="Cynthia Fox"/>
        <s v="Danielle Hernandez"/>
        <s v="David Davis"/>
        <s v="Megan Johnson"/>
        <s v="Maurice Craig"/>
        <s v="Jerry Gutierrez"/>
        <s v="Lauren Smith"/>
        <s v="Amy Kim"/>
        <s v="George Thomas"/>
        <s v="John Blankenship"/>
        <s v="Chris Russell"/>
        <s v="Terri Patton"/>
        <s v="Daniel Haney"/>
        <s v="Charlene Knight"/>
        <s v="Karina Lee"/>
        <s v="Rebecca West"/>
        <s v="Jennifer Simpson"/>
        <s v="Ronnie Oconnor"/>
        <s v="Jason Rivera"/>
        <s v="Jody Park"/>
        <s v="Daniel Hicks"/>
        <s v="Nicholas Molina"/>
        <s v="James Juarez"/>
        <s v="Gary Smith"/>
        <s v="Angie Garza"/>
        <s v="Preston Gomez"/>
        <s v="Chelsea Singleton"/>
        <s v="Molly Adams"/>
        <s v="Mario Ponce"/>
        <s v="Joel Martinez"/>
        <s v="Carol Williams"/>
        <s v="Angela Palmer"/>
        <s v="Charles Morgan"/>
        <s v="Jacob Taylor"/>
        <s v="Adam Rowe"/>
        <s v="Danielle Archer"/>
        <s v="Alfred Harris"/>
        <s v="Joel Johnson MD"/>
        <s v="Amy Miller"/>
        <s v="Alexandra Jones"/>
        <s v="John Lee"/>
        <s v="Brendan Martin"/>
        <s v="James Olson"/>
        <s v="Christina Simmons"/>
        <s v="Tina Williams"/>
        <s v="Julie Moon MD"/>
        <s v="Bailey Keller"/>
        <s v="Bryan Conway"/>
        <s v="Alexander Gonzalez"/>
        <s v="Elizabeth Mills"/>
        <s v="Jeffrey Kennedy"/>
        <s v="Lauren Harrell"/>
        <s v="Morgan Bullock"/>
        <s v="Paige Mosley"/>
        <s v="Johnny Good"/>
        <s v="Brittany Torres"/>
        <s v="Kelly Willis"/>
        <s v="Kara Howell"/>
        <s v="Christopher Cannon"/>
        <s v="Kathleen Rose"/>
        <s v="Travis Wells"/>
        <s v="Christine Wilson"/>
        <s v="Deborah Frederick"/>
        <s v="Robert Goodwin"/>
        <s v="Amanda Mclaughlin"/>
        <s v="Peter Merritt"/>
        <s v="Christopher Rice"/>
        <s v="Laurie Martinez"/>
        <s v="Dave Williams"/>
        <s v="Lori Alexander"/>
        <s v="Misty Higgins"/>
        <s v="Brandon Ritter"/>
        <s v="Jacob Conrad"/>
        <s v="Jessica Nguyen"/>
        <s v="Spencer Collins"/>
        <s v="Nathan Lyons"/>
        <s v="Eric Stone"/>
        <s v="Anthony Smith"/>
        <s v="Lindsey Merritt"/>
        <s v="Richard Fuentes"/>
        <s v="Kimberly Ward"/>
        <s v="David Wheeler"/>
        <s v="Alicia Jones"/>
        <s v="Jonathan Leonard"/>
        <s v="Michelle Duncan"/>
        <s v="Jennifer Hancock"/>
        <s v="Tamara Ross"/>
        <s v="Miranda Gutierrez"/>
        <s v="Jennifer Mills"/>
        <s v="Shawn Campos"/>
        <s v="William Nelson"/>
        <s v="Stephen Williamson"/>
        <s v="Brittany Jones"/>
        <s v="Amber Morales"/>
        <s v="Johnathan Owens"/>
        <s v="Clinton Ross"/>
        <s v="Brian Alexander"/>
        <s v="Dylan Harris"/>
        <s v="Charlene Garrett"/>
        <s v="Brian Sims"/>
        <s v="Gloria Barrett"/>
        <s v="Edward Porter"/>
        <s v="Mark Soto"/>
        <s v="Cameron Medina"/>
        <s v="Gabriel Chen"/>
        <s v="Dennis Bryant"/>
        <s v="Rebecca Newman"/>
        <s v="Sean Nelson"/>
        <s v="Jeffrey Levy"/>
        <s v="Mason Ruiz"/>
        <s v="Patrick Frye"/>
        <s v="Heather Gibson"/>
        <s v="Nicole Miller MD"/>
        <s v="Megan Simpson"/>
        <s v="Nathaniel Martin Jr."/>
        <s v="Melissa Fleming"/>
        <s v="Mr. Michael Martinez"/>
        <s v="Jeremy Hendricks"/>
        <s v="Harold Adams"/>
        <s v="Angela Kidd"/>
        <s v="Eric Ellison"/>
        <s v="Douglas Cummings"/>
        <s v="Susan Haynes"/>
        <s v="Melissa Mcdonald"/>
        <s v="Christine Lewis"/>
        <s v="Andrea Smith"/>
        <s v="Alexander Page"/>
        <s v="Kyle Salinas"/>
        <s v="Justin Black"/>
        <s v="Lisa Norris"/>
        <s v="Casey Johnson MD"/>
        <s v="Timothy Thomas"/>
        <s v="Robert Ballard"/>
        <s v="Michael Martin"/>
        <s v="George Bishop"/>
        <s v="Jesse Wilson"/>
        <s v="Robert Cox"/>
        <s v="Maria Yang"/>
        <s v="Susan Freeman"/>
        <s v="Frederick Allen"/>
        <s v="Jesse Bush"/>
        <s v="Kelly Baker"/>
        <s v="Jessica Fox"/>
        <s v="Tammy Vargas"/>
        <s v="Shelby Bowen"/>
        <s v="Joy Ingram"/>
        <s v="William Gibson"/>
        <s v="Jennifer Buckley"/>
        <s v="Alicia Curry"/>
        <s v="Rebecca Palmer"/>
        <s v="Benjamin Frye"/>
        <s v="Frank Griffin"/>
        <s v="Kenneth Griffith"/>
        <s v="Rick Taylor"/>
        <s v="Susan Barajas"/>
        <s v="Randy Burke"/>
        <s v="Thomas Martin"/>
        <s v="Peggy Hill"/>
        <s v="Charles Francis"/>
        <s v="Tracy Mejia"/>
        <s v="Miguel Edwards"/>
        <s v="Jessica Hudson"/>
        <s v="Mr. Mark Wolfe"/>
        <s v="Mary Long"/>
        <s v="Michael Pierce"/>
        <s v="Paul Frederick"/>
        <s v="Connie Meyer"/>
        <s v="Christina Crawford"/>
        <s v="Luis Flores"/>
        <s v="Catherine Mendoza"/>
        <s v="Matthew Thomas"/>
        <s v="Ryan Porter"/>
        <s v="Amy Kline"/>
        <s v="Joel Chambers"/>
        <s v="Joseph Gilmore MD"/>
        <s v="Veronica Goodwin"/>
        <s v="Eric Bridges"/>
        <s v="Vickie Brown DDS"/>
        <s v="Margaret Porter"/>
        <s v="Whitney Nelson"/>
        <s v="Karen Harmon"/>
        <s v="Andrew Forbes"/>
        <s v="David Chambers"/>
        <s v="Alyssa Nichols"/>
        <s v="Joshua Oconnor"/>
        <s v="Edward Fischer"/>
        <s v="Mark West PhD"/>
        <s v="Stephanie Cook"/>
        <s v="Marilyn Garcia"/>
        <s v="Suzanne Doyle"/>
        <s v="Maria Garcia"/>
        <s v="Michael Knight"/>
        <s v="Shelly Jordan"/>
        <s v="Andrea Perry"/>
        <s v="Raymond Robinson"/>
        <s v="Catherine Spencer"/>
        <s v="Tara Day"/>
        <s v="Heather Knight"/>
        <s v="Patricia Jackson"/>
        <s v="Taylor Maxwell"/>
        <s v="Justin Rice"/>
        <s v="Valerie Grant"/>
        <s v="Trevor Higgins"/>
        <s v="Rodney Ellis"/>
        <s v="Dale Davis"/>
        <s v="Paul Lewis"/>
        <s v="Daniel Blanchard"/>
        <s v="Rachel Harris"/>
        <s v="Patricia Moore"/>
        <s v="Linda Dunn"/>
        <s v="Kendra May"/>
        <s v="Lori Martin"/>
        <s v="Justin Walker"/>
        <s v="Brianna Patel"/>
        <s v="Jennifer Anderson"/>
        <s v="Wendy Sandoval"/>
        <s v="Paul Allen"/>
        <s v="Scott Griffin"/>
        <s v="Matthew Bryant"/>
        <s v="Melinda Hood"/>
        <s v="Tiffany Smith"/>
        <s v="Denise Ashley"/>
        <s v="Donna Rodriguez"/>
        <s v="Scott Lee"/>
        <s v="Michelle Cruz"/>
        <s v="Michelle Morrow"/>
        <s v="Tina Hartman"/>
        <s v="Gregory Pierce"/>
        <s v="Christine Brock"/>
        <s v="Christine Young"/>
        <s v="James Villarreal"/>
        <s v="Timothy Sheppard"/>
        <s v="William Goodman"/>
        <s v="Robert Rogers"/>
        <s v="Robin Ortiz"/>
        <s v="Gerald Drake"/>
        <s v="Brittany Brown"/>
        <s v="Shelby Johnson"/>
        <s v="Melissa Larson"/>
        <s v="Cindy Bowen"/>
        <s v="Elizabeth Deleon"/>
        <s v="Timothy Tyler"/>
        <s v="Danielle Jones"/>
        <s v="Jeffrey Maynard"/>
        <s v="Bonnie Huerta"/>
        <s v="Xavier Sampson"/>
        <s v="Karen Clayton"/>
        <s v="Mr. David Green MD"/>
        <s v="Jason Watson"/>
        <s v="Tammy Smith"/>
        <s v="David Gillespie"/>
        <s v="Brittany Sweeney"/>
        <s v="Michelle Kennedy"/>
        <s v="Bryan Molina"/>
        <s v="Cody Williams"/>
        <s v="Kelly Henry"/>
        <s v="Brian Clark"/>
        <s v="Dale Palmer"/>
        <s v="Sandra Ho"/>
        <s v="Andrew Perry"/>
        <s v="Jennifer Casey"/>
        <s v="Jeffrey Dalton"/>
        <s v="Nicholas Mclaughlin"/>
        <s v="Juan Morris"/>
        <s v="Patrick Olson"/>
        <s v="Yvonne Gibbs"/>
        <s v="Monique Robles"/>
        <s v="Melissa Davila"/>
        <s v="Jessica Ward"/>
        <s v="Nicholas Glenn"/>
        <s v="Linda Taylor"/>
        <s v="Cynthia Vargas DDS"/>
        <s v="Kelly Contreras"/>
        <s v="Mathew Jackson"/>
        <s v="Kathleen Villarreal"/>
        <s v="Nancy Guerrero"/>
        <s v="Melissa Parker"/>
        <s v="Paul Orozco"/>
        <s v="Edward Saunders"/>
        <s v="Christopher Haley"/>
        <s v="Elizabeth Smith"/>
        <s v="Daniel Burnett"/>
        <s v="Michelle Gonzalez"/>
        <s v="Cheryl Allen"/>
        <s v="Scott Levine"/>
        <s v="Kimberly Lee"/>
        <s v="Dana Erickson"/>
        <s v="Paul West"/>
        <s v="Jeremy Garcia"/>
        <s v="Briana Greer"/>
        <s v="Thomas White"/>
        <s v="Elaine Cohen"/>
        <s v="Caroline Perry"/>
        <s v="Joyce Dixon"/>
        <s v="John Woods"/>
        <s v="Mariah Kidd"/>
        <s v="Sabrina Copeland"/>
        <s v="Brandi Walker"/>
        <s v="Sarah Clark"/>
        <s v="Daniel Bernard"/>
        <s v="Jennifer Manning"/>
        <s v="Gregory Daugherty"/>
        <s v="Brenda Rodriguez"/>
        <s v="Pamela Wolf"/>
        <s v="Angela Leon"/>
        <s v="Jeffery Hubbard"/>
        <s v="Dawn Barrett"/>
        <s v="Evelyn Mckenzie"/>
        <s v="Michelle Smith"/>
        <s v="Anita Ramirez"/>
        <s v="Donna Terry"/>
        <s v="George Gonzales"/>
        <s v="Samantha Mora"/>
        <s v="Max Everett"/>
        <s v="Crystal Thomas"/>
        <s v="William Johnson"/>
        <s v="Henry Bryan"/>
        <s v="Melanie Wolf"/>
        <s v="Tammy Hatfield"/>
        <s v="Erin Beck"/>
        <s v="Sandra Patrick"/>
        <s v="Alan Hall"/>
        <s v="Cathy Zamora"/>
        <s v="Jennifer Fowler"/>
        <s v="Lindsay Harris"/>
        <s v="Richard Gregory"/>
        <s v="Matthew Ortega"/>
        <s v="Nathan Maynard"/>
        <s v="Stacie Duncan"/>
        <s v="Hannah Nguyen"/>
        <s v="Keith Jones"/>
        <s v="Barbara Gutierrez"/>
        <s v="Christine Burns"/>
        <s v="Courtney Munoz"/>
        <s v="Jason Bradley"/>
        <s v="Nicholas Cox"/>
        <s v="Emily Sosa"/>
        <s v="Daniel Mullins"/>
        <s v="Jessica Villa DDS"/>
        <s v="Benjamin Jenkins"/>
        <s v="Amanda Simmons"/>
        <s v="Kevin Carson"/>
        <s v="Wendy Coleman"/>
        <s v="Jessica Bradley"/>
        <s v="Michelle Clayton"/>
        <s v="Gregory Mitchell"/>
        <s v="Justin Frye"/>
        <s v="Julia Campbell"/>
        <s v="George Macdonald"/>
        <s v="Christopher Gordon"/>
        <s v="Kristen Alexander"/>
        <s v="Debbie Cross"/>
        <s v="Holly Lopez"/>
        <s v="Leslie Castro"/>
        <s v="Joshua Carter"/>
        <s v="Cheyenne Benson"/>
        <s v="Allison Hill"/>
        <s v="John Davis"/>
        <s v="Cynthia Fisher"/>
        <s v="Carolyn Mitchell"/>
        <s v="Katrina Pugh"/>
        <s v="Marissa Howard"/>
        <s v="Amanda Dixon"/>
        <s v="Sarah Bradley DDS"/>
        <s v="Dylan Price"/>
        <s v="Kevin Walker"/>
        <s v="Caitlin Baker"/>
        <s v="Cassandra Gill"/>
        <s v="Joy Hester"/>
        <s v="James Cooper"/>
        <s v="Christopher Bell"/>
        <s v="Erin Rodriguez"/>
        <s v="Hector Morris"/>
        <s v="Regina Wilson"/>
        <s v="Felicia Young"/>
        <s v="Rachel Martin"/>
        <s v="John Brown MD"/>
        <s v="Shawn Campbell"/>
        <s v="Andrew Berger"/>
        <s v="Scott Hernandez"/>
        <s v="Zachary Price"/>
        <s v="Adrian Cross"/>
        <s v="Katie Ryan"/>
        <s v="Mark Peters"/>
        <s v="Tanner Gates"/>
        <s v="Steve Gonzalez"/>
        <s v="Hector Brewer"/>
        <s v="Rebecca Burnett"/>
        <s v="Thomas Cole"/>
        <s v="Wesley Walker"/>
        <s v="Corey Sanchez"/>
        <s v="Christopher Stone"/>
        <s v="Ricky Hudson"/>
        <s v="April Anderson"/>
        <s v="Anthony Patrick"/>
        <s v="Shelly Garcia"/>
        <s v="Barbara Moore"/>
        <s v="Calvin Wright"/>
        <s v="Alicia White"/>
        <s v="Patrick Mendez"/>
        <s v="Cindy Webb"/>
        <s v="Nicholas Callahan"/>
        <s v="Olivia Knox"/>
        <s v="Jonathan Blake"/>
        <s v="Stephen Jensen"/>
        <s v="Diane Powers"/>
        <s v="Jill Singh"/>
        <s v="Rebecca Mullins"/>
        <s v="Sarah Cruz"/>
        <s v="Suzanne Medina"/>
        <s v="Sean Pruitt"/>
        <s v="Mark Frazier"/>
        <s v="Linda Simpson"/>
        <s v="Amanda Mckenzie"/>
        <s v="Eric Perry MD"/>
        <s v="Dwayne Hampton"/>
        <s v="Monica Young"/>
        <s v="Allison Franklin"/>
        <s v="Luis Gardner"/>
        <s v="Christina Odonnell"/>
        <s v="Raymond Vincent"/>
        <s v="Crystal Martin"/>
        <s v="Emily Kennedy"/>
        <s v="Michelle Scott"/>
        <s v="Jeffery Howard"/>
        <s v="Michelle Chapman"/>
        <s v="Derek Holder"/>
        <s v="Kathleen Collins"/>
        <s v="Alyssa Figueroa"/>
        <s v="Crystal Beasley"/>
        <s v="Shelly Wilson"/>
        <s v="Marie Hansen"/>
        <s v="Samantha Ruiz"/>
        <s v="Justin Melton"/>
        <s v="Thomas Camacho"/>
        <s v="Kristin Gould"/>
        <s v="Wayne Johnson"/>
        <s v="Leslie Chandler"/>
        <s v="Alyssa Perry"/>
        <s v="Mr. Tyrone Kaiser"/>
        <s v="Vickie Cooper"/>
        <s v="Mark Vang"/>
        <s v="Nancy Owens"/>
        <s v="Anthony Thompson"/>
        <s v="Robert Odom"/>
        <s v="Connor Meza"/>
        <s v="Allison Hammond"/>
        <s v="Kimberly Garcia"/>
        <s v="Mary Johnson"/>
        <s v="Timothy Grant"/>
        <s v="Michael Lynch"/>
        <s v="Willie Sherman"/>
        <s v="Sandra Kemp"/>
        <s v="Gregory Ponce"/>
        <s v="Bridget Galvan"/>
        <s v="Andrea Schneider"/>
        <s v="Stephen Burton"/>
        <s v="Tara Villegas"/>
        <s v="David Murphy"/>
        <s v="Franklin Harrell"/>
        <s v="Robert Jones"/>
        <s v="Kevin Peters"/>
        <s v="Cynthia Andrews"/>
        <s v="Allison Bennett"/>
        <s v="Tracey Fischer"/>
        <s v="Michelle Jones"/>
        <s v="Kevin Kim"/>
        <s v="Lisa Delacruz"/>
        <s v="Aaron Adams"/>
        <s v="Megan Ellis"/>
        <s v="Lisa Shaw"/>
        <s v="Ryan Barker"/>
        <s v="Logan Phillips"/>
        <s v="Michael Brown"/>
        <s v="Mike Hayes"/>
        <s v="Kyle Gomez"/>
        <s v="Savannah Peters"/>
        <s v="Terry Short MD"/>
        <s v="Valerie Smith"/>
        <s v="James Clay"/>
        <s v="Kathleen Nelson"/>
        <s v="Sean Hensley"/>
        <s v="Brooke Elliott"/>
        <s v="Kathryn Burch"/>
        <s v="Anthony Rodriguez"/>
        <s v="Lisa Thornton"/>
        <s v="Jeremiah Reese"/>
        <s v="Nicholas Harris"/>
        <s v="Carol Mack"/>
        <s v="Traci Singleton"/>
        <s v="John Williams"/>
        <s v="Gabriella George"/>
        <s v="Richard Gutierrez"/>
        <s v="Christopher Phillips"/>
        <s v="Charles Kelly"/>
        <s v="Stephanie Flores"/>
        <s v="Carrie Mclaughlin"/>
        <s v="Mario Smith"/>
        <s v="Roger Blake"/>
        <s v="Christopher Shepherd"/>
        <s v="Bill Turner"/>
        <s v="Amanda Rich"/>
        <s v="Patricia Pham"/>
        <s v="Anthony Ruiz"/>
        <s v="Michael Webb"/>
        <s v="Amanda Rios"/>
        <s v="Tina Russell"/>
        <s v="Shirley Stevens"/>
        <s v="Christopher Chen"/>
        <s v="Alison Weber MD"/>
        <s v="Tiffany Johnson"/>
        <s v="Austin Meadows"/>
        <s v="Joshua Hill"/>
        <s v="Lisa Fisher"/>
        <s v="Jennifer Shaw"/>
        <s v="Steven Schwartz"/>
        <s v="Samantha Arnold"/>
        <s v="Richard Murray"/>
        <s v="Walter Nolan"/>
        <s v="Larry Holland"/>
        <s v="Erica Clay"/>
        <s v="Christine Henderson"/>
        <s v="Mitchell Lloyd"/>
        <s v="Nicholas Johnson"/>
        <s v="Miss Alexa Smith"/>
        <s v="Gerald Webb"/>
        <s v="David Harper"/>
        <s v="Mrs. Jessica Thompson"/>
        <s v="Sarah Brooks"/>
        <s v="Brenda Gonzales"/>
        <s v="Joseph Pennington"/>
        <s v="Erin Johnson"/>
        <s v="Elizabeth Garcia"/>
        <s v="Nathan Webb"/>
        <s v="Kathryn Swanson"/>
        <s v="Lisa Nelson"/>
        <s v="Donald George"/>
        <s v="Preston Carroll"/>
        <s v="Timothy Hamilton"/>
        <s v="Jonathan Meadows"/>
        <s v="Keith Manning"/>
        <s v="Ryan West"/>
        <s v="Allen Williams"/>
        <s v="Jonathan Hill"/>
        <s v="Alejandro Cochran"/>
        <s v="Angela Adkins"/>
        <s v="Zachary Werner"/>
      </sharedItems>
    </cacheField>
    <cacheField name="Product_Category" numFmtId="0">
      <sharedItems count="6">
        <s v="Jeans"/>
        <s v="Jackets"/>
        <s v="Shoes"/>
        <s v="Accessories"/>
        <s v="T-Shirts"/>
        <s v="Dresses"/>
      </sharedItems>
    </cacheField>
    <cacheField name="Product_Name" numFmtId="0">
      <sharedItems/>
    </cacheField>
    <cacheField name="Units_Sold" numFmtId="0">
      <sharedItems containsSemiMixedTypes="0" containsString="0" containsNumber="1" containsInteger="1" minValue="-2" maxValue="6"/>
    </cacheField>
    <cacheField name="Unit_Price" numFmtId="0">
      <sharedItems containsString="0" containsBlank="1" containsNumber="1" minValue="400.21" maxValue="4998.91"/>
    </cacheField>
    <cacheField name="Total_price" numFmtId="0">
      <sharedItems containsSemiMixedTypes="0" containsString="0" containsNumber="1" minValue="-9898.34" maxValue="29907.899999999998"/>
    </cacheField>
    <cacheField name="Discount_%" numFmtId="0">
      <sharedItems containsString="0" containsBlank="1" containsNumber="1" minValue="0" maxValue="1.3"/>
    </cacheField>
    <cacheField name="Sales_Amount" numFmtId="0">
      <sharedItems containsSemiMixedTypes="0" containsString="0" containsNumber="1" minValue="-9898.34" maxValue="29860.86"/>
    </cacheField>
    <cacheField name="Order_Date" numFmtId="0">
      <sharedItems containsNonDate="0" containsDate="1" containsString="0" containsBlank="1" minDate="2023-07-23T00:00:00" maxDate="2025-07-23T00:00:00" count="562">
        <d v="2025-02-27T00:00:00"/>
        <d v="2025-07-15T00:00:00"/>
        <d v="2025-01-02T00:00:00"/>
        <d v="2025-06-18T00:00:00"/>
        <m/>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d v="2024-09-16T00:00:00"/>
        <d v="2025-05-18T00:00:00"/>
        <d v="2023-08-13T00:00:00"/>
        <d v="2025-06-13T00:00:00"/>
        <d v="2024-09-25T00:00:00"/>
        <d v="2024-08-26T00:00:00"/>
        <d v="2024-10-19T00:00:00"/>
        <d v="2025-05-04T00:00:00"/>
        <d v="2024-11-10T00:00:00"/>
        <d v="2024-06-15T00:00:00"/>
        <d v="2024-04-20T00:00:00"/>
        <d v="2025-06-23T00:00:00"/>
        <d v="2025-04-30T00:00:00"/>
        <d v="2024-07-30T00:00:00"/>
        <d v="2023-12-16T00:00:00"/>
        <d v="2024-10-11T00:00:00"/>
        <d v="2023-10-31T00:00:00"/>
        <d v="2024-09-30T00:00:00"/>
        <d v="2023-08-29T00:00:00"/>
        <d v="2024-12-11T00:00:00"/>
        <d v="2023-12-22T00:00:00"/>
        <d v="2025-05-13T00:00:00"/>
        <d v="2025-01-06T00:00:00"/>
        <d v="2025-03-29T00:00:00"/>
        <d v="2024-09-03T00:00:00"/>
        <d v="2025-05-15T00:00:00"/>
        <d v="2025-01-12T00:00:00"/>
        <d v="2023-12-13T00:00:00"/>
        <d v="2025-01-11T00:00:00"/>
        <d v="2024-08-12T00:00:00"/>
        <d v="2024-12-01T00:00:00"/>
        <d v="2025-03-13T00:00:00"/>
        <d v="2025-01-05T00:00:00"/>
        <d v="2025-06-22T00:00:00"/>
        <d v="2024-03-29T00:00:00"/>
        <d v="2025-05-03T00:00:00"/>
        <d v="2025-05-31T00:00:00"/>
        <d v="2025-03-05T00:00:00"/>
        <d v="2025-04-03T00:00:00"/>
        <d v="2023-08-18T00:00:00"/>
        <d v="2024-09-17T00:00:00"/>
        <d v="2023-10-08T00:00:00"/>
        <d v="2025-02-26T00:00:00"/>
        <d v="2025-01-08T00:00:00"/>
        <d v="2023-08-04T00:00:00"/>
        <d v="2023-10-13T00:00:00"/>
        <d v="2024-03-10T00:00:00"/>
        <d v="2023-08-24T00:00:00"/>
        <d v="2024-12-14T00:00:00"/>
        <d v="2024-04-15T00:00:00"/>
        <d v="2023-09-09T00:00:00"/>
        <d v="2024-08-16T00:00:00"/>
        <d v="2025-07-02T00:00:00"/>
        <d v="2024-09-24T00:00:00"/>
        <d v="2025-02-07T00:00:00"/>
        <d v="2025-06-14T00:00:00"/>
        <d v="2024-08-19T00:00:00"/>
        <d v="2025-06-01T00:00:00"/>
        <d v="2024-08-10T00:00:00"/>
        <d v="2023-10-10T00:00:00"/>
        <d v="2024-11-14T00:00:00"/>
        <d v="2024-07-21T00:00:00"/>
        <d v="2024-02-15T00:00:00"/>
        <d v="2024-12-28T00:00:00"/>
        <d v="2024-08-05T00:00:00"/>
        <d v="2025-07-12T00:00:00"/>
        <d v="2024-10-02T00:00:00"/>
        <d v="2024-09-27T00:00:00"/>
        <d v="2024-07-29T00:00:00"/>
        <d v="2025-02-09T00:00:00"/>
        <d v="2025-01-30T00:00:00"/>
        <d v="2025-06-05T00:00:00"/>
        <d v="2024-11-01T00:00:00"/>
        <d v="2025-05-19T00:00:00"/>
        <d v="2024-07-23T00:00:00"/>
        <d v="2025-05-25T00:00:00"/>
        <d v="2025-03-15T00:00:00"/>
        <d v="2023-07-31T00:00:00"/>
        <d v="2025-02-03T00:00:00"/>
        <d v="2024-08-28T00:00:00"/>
        <d v="2023-11-06T00:00:00"/>
        <d v="2025-01-29T00:00:00"/>
        <d v="2025-01-01T00:00:00"/>
        <d v="2024-01-13T00:00:00"/>
        <d v="2024-04-07T00:00:00"/>
        <d v="2024-07-17T00:00:00"/>
        <d v="2023-07-30T00:00:00"/>
        <d v="2025-03-11T00:00:00"/>
        <d v="2025-03-06T00:00:00"/>
        <d v="2025-02-21T00:00:00"/>
        <d v="2023-07-26T00:00:00"/>
        <d v="2023-09-28T00:00:00"/>
        <d v="2024-02-28T00:00:00"/>
        <d v="2024-08-01T00:00:00"/>
        <d v="2024-10-08T00:00:00"/>
        <d v="2024-11-16T00:00:00"/>
        <d v="2025-05-16T00:00:00"/>
        <d v="2025-02-08T00:00:00"/>
        <d v="2025-06-03T00:00:00"/>
        <d v="2024-07-19T00:00:00"/>
        <d v="2025-01-26T00:00:00"/>
        <d v="2024-08-17T00:00:00"/>
        <d v="2024-02-24T00:00:00"/>
        <d v="2024-11-27T00:00:00"/>
        <d v="2024-02-29T00:00:00"/>
        <d v="2024-11-17T00:00:00"/>
        <d v="2025-07-04T00:00:00"/>
        <d v="2024-12-08T00:00:00"/>
        <d v="2023-08-05T00:00:00"/>
        <d v="2024-04-26T00:00:00"/>
        <d v="2023-09-15T00:00:00"/>
        <d v="2024-11-20T00:00:00"/>
        <d v="2025-04-10T00:00:00"/>
        <d v="2024-05-07T00:00:00"/>
        <d v="2024-02-20T00:00:00"/>
        <d v="2024-06-23T00:00:00"/>
        <d v="2024-08-20T00:00:00"/>
        <d v="2025-04-28T00:00:00"/>
        <d v="2023-08-22T00:00:00"/>
        <d v="2024-12-17T00:00:00"/>
        <d v="2025-05-22T00:00:00"/>
        <d v="2025-07-10T00:00:00"/>
        <d v="2024-03-16T00:00:00"/>
        <d v="2024-01-06T00:00:00"/>
        <d v="2025-05-30T00:00:00"/>
        <d v="2024-05-26T00:00:00"/>
        <d v="2025-01-13T00:00:00"/>
        <d v="2024-12-05T00:00:00"/>
        <d v="2024-05-01T00:00:00"/>
        <d v="2024-03-14T00:00:00"/>
        <d v="2023-11-26T00:00:00"/>
        <d v="2024-03-23T00:00:00"/>
        <d v="2023-12-07T00:00:00"/>
        <d v="2025-02-01T00:00:00"/>
        <d v="2024-08-18T00:00:00"/>
        <d v="2025-04-09T00:00:00"/>
        <d v="2023-10-14T00:00:00"/>
        <d v="2023-10-04T00:00:00"/>
        <d v="2025-05-09T00:00:00"/>
        <d v="2023-12-14T00:00:00"/>
        <d v="2024-11-29T00:00:00"/>
        <d v="2024-11-23T00:00:00"/>
        <d v="2023-11-12T00:00:00"/>
        <d v="2025-04-20T00:00:00"/>
        <d v="2024-06-14T00:00:00"/>
        <d v="2025-02-28T00:00:00"/>
        <d v="2024-05-31T00:00:00"/>
        <d v="2024-07-28T00:00:00"/>
        <d v="2024-01-04T00:00:00"/>
        <d v="2025-05-21T00:00:00"/>
        <d v="2024-04-29T00:00:00"/>
        <d v="2024-09-19T00:00:00"/>
        <d v="2023-09-23T00:00:00"/>
        <d v="2025-03-20T00:00:00"/>
        <d v="2025-01-20T00:00:00"/>
        <d v="2024-10-07T00:00:00"/>
        <d v="2025-04-07T00:00:00"/>
        <d v="2024-04-22T00:00:00"/>
        <d v="2025-07-16T00:00:00"/>
        <d v="2024-09-15T00:00:00"/>
        <d v="2024-09-18T00:00:00"/>
        <d v="2024-03-12T00:00:00"/>
        <d v="2023-08-20T00:00:00"/>
        <d v="2023-08-17T00:00:00"/>
        <d v="2023-09-13T00:00:00"/>
        <d v="2023-09-02T00:00:00"/>
        <d v="2025-03-17T00:00:00"/>
        <d v="2024-02-06T00:00:00"/>
        <d v="2025-06-07T00:00:00"/>
        <d v="2024-01-23T00:00:00"/>
        <d v="2023-12-10T00:00:00"/>
        <d v="2024-05-04T00:00:00"/>
        <d v="2025-05-23T00:00:00"/>
        <d v="2023-11-18T00:00:00"/>
        <d v="2024-01-30T00:00:00"/>
        <d v="2024-04-16T00:00:00"/>
        <d v="2024-09-09T00:00:00"/>
        <d v="2024-11-22T00:00:00"/>
        <d v="2024-10-06T00:00:00"/>
        <d v="2024-07-24T00:00:00"/>
        <d v="2023-10-17T00:00:00"/>
        <d v="2024-04-09T00:00:00"/>
        <d v="2024-08-23T00:00:00"/>
        <d v="2023-08-09T00:00:00"/>
        <d v="2023-11-30T00:00:00"/>
        <d v="2023-12-23T00:00:00"/>
        <d v="2025-03-08T00:00:00"/>
        <d v="2024-04-28T00:00:00"/>
        <d v="2025-04-13T00:00:00"/>
        <d v="2024-01-22T00:00:00"/>
        <d v="2024-10-21T00:00:00"/>
        <d v="2025-02-11T00:00:00"/>
        <d v="2024-01-31T00:00:00"/>
        <d v="2024-12-19T00:00:00"/>
        <d v="2024-11-26T00:00:00"/>
        <d v="2024-01-29T00:00:00"/>
        <d v="2024-01-15T00:00:00"/>
        <d v="2023-11-19T00:00:00"/>
        <d v="2024-02-21T00:00:00"/>
        <d v="2024-03-22T00:00:00"/>
        <d v="2024-11-19T00:00:00"/>
        <d v="2023-10-19T00:00:00"/>
        <d v="2024-03-13T00:00:00"/>
        <d v="2024-09-01T00:00:00"/>
        <d v="2023-12-19T00:00:00"/>
        <d v="2025-01-17T00:00:00"/>
        <d v="2024-08-31T00:00:00"/>
        <d v="2024-05-29T00:00:00"/>
        <d v="2023-09-25T00:00:00"/>
        <d v="2024-09-22T00:00:00"/>
        <d v="2025-07-07T00:00:00"/>
        <d v="2025-03-14T00:00:00"/>
        <d v="2025-05-17T00:00:00"/>
        <d v="2024-05-06T00:00:00"/>
        <d v="2024-12-27T00:00:00"/>
        <d v="2024-03-08T00:00:00"/>
        <d v="2023-10-22T00:00:00"/>
        <d v="2024-09-13T00:00:00"/>
        <d v="2024-08-09T00:00:00"/>
        <d v="2024-12-18T00:00:00"/>
        <d v="2023-09-24T00:00:00"/>
        <d v="2023-12-30T00:00:00"/>
        <d v="2024-01-12T00:00:00"/>
        <d v="2024-04-01T00:00:00"/>
        <d v="2024-04-10T00:00:00"/>
        <d v="2024-09-07T00:00:00"/>
        <d v="2024-05-30T00:00:00"/>
        <d v="2024-06-21T00:00:00"/>
        <d v="2024-09-06T00:00:00"/>
        <d v="2024-09-02T00:00:00"/>
        <d v="2023-08-10T00:00:00"/>
        <d v="2023-10-11T00:00:00"/>
        <d v="2024-01-11T00:00:00"/>
        <d v="2024-02-03T00:00:00"/>
        <d v="2025-04-14T00:00:00"/>
        <d v="2024-07-31T00:00:00"/>
        <d v="2024-08-25T00:00:00"/>
        <d v="2024-03-31T00:00:00"/>
        <d v="2024-09-29T00:00:00"/>
        <d v="2023-10-24T00:00:00"/>
        <d v="2024-07-10T00:00:00"/>
        <d v="2023-12-17T00:00:00"/>
        <d v="2025-05-07T00:00:00"/>
        <d v="2023-07-27T00:00:00"/>
        <d v="2023-08-23T00:00:00"/>
        <d v="2023-09-30T00:00:00"/>
        <d v="2024-01-03T00:00:00"/>
        <d v="2024-06-05T00:00:00"/>
        <d v="2024-10-24T00:00:00"/>
        <d v="2024-05-19T00:00:00"/>
        <d v="2024-06-08T00:00:00"/>
        <d v="2023-12-21T00:00:00"/>
        <d v="2024-12-09T00:00:00"/>
        <d v="2025-05-10T00:00:00"/>
        <d v="2024-01-26T00:00:00"/>
        <d v="2025-02-23T00:00:00"/>
        <d v="2024-10-29T00:00:00"/>
        <d v="2024-08-24T00:00:00"/>
        <d v="2023-08-28T00:00:00"/>
        <d v="2024-12-20T00:00:00"/>
        <d v="2023-12-04T00:00:00"/>
        <d v="2024-04-21T00:00:00"/>
        <d v="2023-10-30T00:00:00"/>
        <d v="2024-02-05T00:00:00"/>
        <d v="2025-04-19T00:00:00"/>
        <d v="2025-03-01T00:00:00"/>
        <d v="2023-12-18T00:00:00"/>
        <d v="2024-01-19T00:00:00"/>
        <d v="2024-05-10T00:00:00"/>
        <d v="2024-06-01T00:00:00"/>
        <d v="2024-04-14T00:00:00"/>
        <d v="2024-03-24T00:00:00"/>
        <d v="2023-08-08T00:00:00"/>
        <d v="2024-02-23T00:00:00"/>
        <d v="2024-10-18T00:00:00"/>
        <d v="2024-02-25T00:00:00"/>
        <d v="2024-08-30T00:00:00"/>
        <d v="2023-10-12T00:00:00"/>
        <d v="2024-04-05T00:00:00"/>
        <d v="2025-02-25T00:00:00"/>
        <d v="2023-10-02T00:00:00"/>
        <d v="2023-08-25T00:00:00"/>
        <d v="2024-10-14T00:00:00"/>
        <d v="2023-11-24T00:00:00"/>
        <d v="2023-08-12T00:00:00"/>
        <d v="2024-03-09T00:00:00"/>
        <d v="2024-07-20T00:00:00"/>
        <d v="2024-11-04T00:00:00"/>
        <d v="2024-06-10T00:00:00"/>
        <d v="2024-02-19T00:00:00"/>
        <d v="2023-08-07T00:00:00"/>
        <d v="2025-07-19T00:00:00"/>
        <d v="2023-12-31T00:00:00"/>
      </sharedItems>
    </cacheField>
    <cacheField name="City" numFmtId="0">
      <sharedItems/>
    </cacheField>
    <cacheField name="Segment" numFmtId="0">
      <sharedItems/>
    </cacheField>
    <cacheField name="Profit" numFmtId="0">
      <sharedItems containsSemiMixedTypes="0" containsString="0" containsNumber="1" minValue="-992.61" maxValue="2997.11"/>
    </cacheField>
  </cacheFields>
  <extLst>
    <ext xmlns:x14="http://schemas.microsoft.com/office/spreadsheetml/2009/9/main" uri="{725AE2AE-9491-48be-B2B4-4EB974FC3084}">
      <x14:pivotCacheDefinition pivotCacheId="185342192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9.865030671295" createdVersion="8" refreshedVersion="8" minRefreshableVersion="3" recordCount="2500" xr:uid="{DA8800A9-C5AA-4192-ACF9-429498FB5DDF}">
  <cacheSource type="worksheet">
    <worksheetSource name="Table5"/>
  </cacheSource>
  <cacheFields count="16">
    <cacheField name="Order_ID" numFmtId="0">
      <sharedItems containsSemiMixedTypes="0" containsString="0" containsNumber="1" containsInteger="1" minValue="1000" maxValue="3499"/>
    </cacheField>
    <cacheField name="Customer_Name" numFmtId="0">
      <sharedItems count="2458">
        <s v="Brian Thompson"/>
        <s v="Shaun Ross"/>
        <s v="Sarah Snyder"/>
        <s v="Jay Briggs"/>
        <s v="Maria Blake"/>
        <s v="Samuel Miller"/>
        <s v="John Mclean"/>
        <s v="Dr. Kathryn Bass PhD"/>
        <s v="Marie Fisher"/>
        <s v="Dale Perry"/>
        <s v="Oscar Turner"/>
        <s v="Jacob Sanchez"/>
        <s v="Valerie Hampton"/>
        <s v="James Delgado"/>
        <s v="Richard Hood"/>
        <s v="Julie Fox"/>
        <s v="Valerie Garner"/>
        <s v="Alejandro Johnson"/>
        <s v="Andrew Washington"/>
        <s v="Mark Allison"/>
        <s v="Russell Eaton"/>
        <s v="Amber Bowman"/>
        <s v="Lauren Jensen"/>
        <s v="David Arnold"/>
        <s v="Thomas Long"/>
        <s v="Christine Reed"/>
        <s v="Colton Baxter"/>
        <s v="Rebecca Dorsey"/>
        <s v="Felicia Orozco"/>
        <s v="Terry Anderson"/>
        <s v="Brandi Jones"/>
        <s v="William Williams"/>
        <s v="Kim Harris"/>
        <s v="Jonathan Neal"/>
        <s v="Nathan Stewart"/>
        <s v="Joshua Thomas"/>
        <s v="Connie Cunningham"/>
        <s v="Amy Martin"/>
        <s v="Courtney Riddle"/>
        <s v="Ashley Ramirez"/>
        <s v="Angel Nelson"/>
        <s v="Teresa Chavez"/>
        <s v="Richard Williams"/>
        <s v="Deborah Walker"/>
        <s v="Elizabeth Williams"/>
        <s v="Connie Mills"/>
        <s v="Charlotte Cook"/>
        <s v="Matthew Thompson"/>
        <s v="James Hughes"/>
        <s v="Kimberly Anderson"/>
        <s v="Matthew Schmidt"/>
        <s v="Eric Wilson"/>
        <s v="Zachary Ramos"/>
        <s v="Debra Pollard"/>
        <s v="Angela Martinez"/>
        <s v="Brett Burch"/>
        <s v="Jennifer English"/>
        <s v="Penny Campbell"/>
        <s v="Karen Garcia"/>
        <s v="John Ramos"/>
        <s v="Dylan Roberson"/>
        <s v="Kelsey Reyes"/>
        <s v="Larry Gibson"/>
        <s v="Kristin Ho"/>
        <s v="Jessica Johnston"/>
        <s v="Amanda Parker"/>
        <s v="Joshua Figueroa"/>
        <s v="Julie Howard"/>
        <s v="Brandon Lin"/>
        <s v="Anna Allen"/>
        <s v="Kimberly Ho"/>
        <s v="Nancy White"/>
        <s v="Eric Salazar"/>
        <s v="Michael Williamson"/>
        <s v="Lynn Morales"/>
        <s v="Jennifer Horn"/>
        <s v="Lori Preston"/>
        <s v="Gabriel Parrish"/>
        <s v="Debbie Raymond"/>
        <s v="Cheryl Clark"/>
        <s v="Laura Thompson"/>
        <s v="Mary Lin"/>
        <s v="Nicholas White"/>
        <s v="Timothy Farmer"/>
        <s v="Kevin Martinez"/>
        <s v="James Martinez"/>
        <s v="Douglas Nelson"/>
        <s v="Thomas Ramirez"/>
        <s v="David Faulkner"/>
        <s v="Dennis Ross"/>
        <s v="Heather Arnold"/>
        <s v="David Bridges"/>
        <s v="Jennifer Keller"/>
        <s v="Amanda Myers"/>
        <s v="Betty Middleton"/>
        <s v="Laura Porter"/>
        <s v="Carla Phillips"/>
        <s v="Amber Smith"/>
        <s v="Diana Jones"/>
        <s v="Valerie Walker"/>
        <s v="Daniel Brown"/>
        <s v="Stephen Smith"/>
        <s v="Kimberly Walter"/>
        <s v="Brandon Webb"/>
        <s v="Andrew Moreno"/>
        <s v="Willie Smith"/>
        <s v="Evelyn Allison"/>
        <s v="Elizabeth Hood"/>
        <s v="Nathaniel Thomas"/>
        <s v="Nicole Evans"/>
        <s v="Michael Velasquez"/>
        <s v="Tammy Gonzales"/>
        <s v="Sherry Shepard"/>
        <s v="Derek Edwards"/>
        <s v="Robert Williams"/>
        <s v="Carolyn Nelson"/>
        <s v="Olivia Jones"/>
        <s v="Molly Johnson"/>
        <s v="Jose Jackson"/>
        <s v="Elizabeth Vega"/>
        <s v="Angelica Gonzalez"/>
        <s v="Henry Parker"/>
        <s v="Jennifer Lee"/>
        <s v="Michael Clarke"/>
        <s v="Jessica Gibson"/>
        <s v="Jason Turner"/>
        <s v="Grant Munoz"/>
        <s v="Rhonda Ray"/>
        <s v="Susan Anderson"/>
        <s v="Miranda Thomas"/>
        <s v="Grace Chavez"/>
        <s v="Andrew Carlson"/>
        <s v="Erin Williams"/>
        <s v="Melissa Jenkins"/>
        <s v="Ronald Ballard"/>
        <s v="Danielle Johnson"/>
        <s v="Jason Moore"/>
        <s v="Thomas Freeman"/>
        <s v="Katherine Reyes"/>
        <s v="Dawn Smith"/>
        <s v="Sarah Pacheco"/>
        <s v="Daniel Alvarez"/>
        <s v="Bernard Ramirez"/>
        <s v="Mrs. Julia Ramirez"/>
        <s v="Jorge Anderson"/>
        <s v="Jacqueline Jenkins"/>
        <s v="Tracy Miller"/>
        <s v="Travis Lopez"/>
        <s v="Steven Ortiz"/>
        <s v="Brittany Robinson"/>
        <s v="Joseph Allen"/>
        <s v="Matthew Deleon"/>
        <s v="Julia Evans"/>
        <s v="Robert Parks"/>
        <s v="Sean Small"/>
        <s v="Jacob Moore"/>
        <s v="Dean Allen"/>
        <s v="Vicki Jackson"/>
        <s v="Robert Knox"/>
        <s v="Ruben Oconnell"/>
        <s v="Laura Gallegos"/>
        <s v="Christopher Harvey"/>
        <s v="Scott Hampton"/>
        <s v="Steven Ingram"/>
        <s v="Joshua Jones"/>
        <s v="Jennifer Johnson"/>
        <s v="Robert Evans"/>
        <s v="Eugene Olson Jr."/>
        <s v="Kristine Sexton"/>
        <s v="Marc Hull"/>
        <s v="Richard Johnson"/>
        <s v="Diane Davis"/>
        <s v="Shaun Bush"/>
        <s v="Tiffany Flores"/>
        <s v="Ashley Brown"/>
        <s v="Bailey Williamson"/>
        <s v="Elizabeth Torres"/>
        <s v="Joshua Anderson"/>
        <s v="Kevin Allen"/>
        <s v="Michelle Moore"/>
        <s v="John Barber"/>
        <s v="Andrew Mclaughlin"/>
        <s v="Sherry Ward"/>
        <s v="Craig Farrell"/>
        <s v="Stacy Brady"/>
        <s v="Daniel Patton"/>
        <s v="Karen Smith"/>
        <s v="Maria Morrow"/>
        <s v="Elizabeth Johnson"/>
        <s v="Antonio Boyd PhD"/>
        <s v="John Tucker"/>
        <s v="Steve Mann"/>
        <s v="Christine Lopez"/>
        <s v="Stephanie Booth"/>
        <s v="Christine Rodgers"/>
        <s v="Michael Hawkins"/>
        <s v="Dean Jimenez"/>
        <s v="Jacqueline Erickson"/>
        <s v="Jade Chavez"/>
        <s v="Laura Green"/>
        <s v="Crystal Hayes MD"/>
        <s v="Amy Walker"/>
        <s v="Amy Gonzales"/>
        <s v="David Parker"/>
        <s v="Jennifer Williams"/>
        <s v="Charles White"/>
        <s v="Jerome Richardson"/>
        <s v="Jean Yoder"/>
        <s v="Theodore Yang"/>
        <s v="Rebecca Grant"/>
        <s v="Kelli Young"/>
        <s v="Bradley Quinn"/>
        <s v="Darrell Reynolds"/>
        <s v="Alicia Hernandez"/>
        <s v="Melanie Hoffman"/>
        <s v="Benjamin Dunlap"/>
        <s v="Cheryl King"/>
        <s v="Jamie Alexander"/>
        <s v="Kayla Crawford"/>
        <s v="Amber Rivera"/>
        <s v="Cody Mitchell"/>
        <s v="Karen Pennington"/>
        <s v="Nicholas Thompson"/>
        <s v="Shelby Lewis"/>
        <s v="Gregory Flores"/>
        <s v="Jeffrey Haynes"/>
        <s v="Antonio Moses"/>
        <s v="Dr. Adam Schultz"/>
        <s v="Allen Burton"/>
        <s v="Adam Bennett"/>
        <s v="Ashley Stevens"/>
        <s v="Sierra Miller"/>
        <s v="Katie Garcia"/>
        <s v="Timothy Goodman"/>
        <s v="Rebecca Drake"/>
        <s v="Juan White"/>
        <s v="Matthew Holloway"/>
        <s v="Scott Weeks"/>
        <s v="Karina Davis"/>
        <s v="Melanie Ramirez"/>
        <s v="Caroline Thomas"/>
        <s v="Pamela Navarro"/>
        <s v="Jack Mccoy"/>
        <s v="Ashley Walker"/>
        <s v="Christopher Mcknight"/>
        <s v="Dr. Derrick Scott"/>
        <s v="Jared Tate"/>
        <s v="Edward Morgan"/>
        <s v="Tim Bauer"/>
        <s v="Anthony Lee"/>
        <s v="Hailey Sullivan"/>
        <s v="Brandy Clark"/>
        <s v="Carlos Anderson"/>
        <s v="Michael Henson"/>
        <s v="Kim Campos"/>
        <s v="Janet Cooley"/>
        <s v="Mr. Matthew Gomez DDS"/>
        <s v="Shane Gomez"/>
        <s v="Tyler Haney"/>
        <s v="Lindsay Haney"/>
        <s v="Manuel Prince"/>
        <s v="George Gray"/>
        <s v="Ryan Graves"/>
        <s v="Ernest Myers"/>
        <s v="Brandi Lang"/>
        <s v="Gloria Barnett"/>
        <s v="Sarah Andrews"/>
        <s v="Sonya Martinez"/>
        <s v="Brittany Harris"/>
        <s v="Vanessa Kelley"/>
        <s v="Robert Gonzalez"/>
        <s v="Angela Taylor"/>
        <s v="Bradley Myers"/>
        <s v="Russell Love"/>
        <s v="Kelly Wong"/>
        <s v="Erin Wright"/>
        <s v="Michael Coleman"/>
        <s v="Jessica Kirby"/>
        <s v="Laura Romero"/>
        <s v="Joseph Joseph"/>
        <s v="Christopher Ferguson"/>
        <s v="Kevin Hunter"/>
        <s v="Kelly Gray"/>
        <s v="Carlos Walsh"/>
        <s v="Deborah Mckee"/>
        <s v="Andrew Harmon"/>
        <s v="Todd Hall"/>
        <s v="Danny Gilbert"/>
        <s v="Lauren Johnson"/>
        <s v="Katherine Parsons"/>
        <s v="Jason Calhoun"/>
        <s v="Amy Howard"/>
        <s v="Cindy Hall"/>
        <s v="Jeff Hernandez"/>
        <s v="Tiffany Maxwell"/>
        <s v="Lori Orozco"/>
        <s v="Sharon Combs"/>
        <s v="Dylan Newton"/>
        <s v="John Levine"/>
        <s v="Latoya Johnson"/>
        <s v="Caroline Turner"/>
        <s v="Adam Bryan"/>
        <s v="Laura Smith"/>
        <s v="Timothy Potter"/>
        <s v="Kelsey Stein"/>
        <s v="Aaron Johnson"/>
        <s v="Amber Lee"/>
        <s v="Michael Joseph"/>
        <s v="Tina Brown"/>
        <s v="Thomas Smith"/>
        <s v="Jennifer Watson"/>
        <s v="Wendy Garcia"/>
        <s v="Sean Pope"/>
        <s v="Brad Mccarty"/>
        <s v="Mark Gonzales"/>
        <s v="Theresa Wiggins"/>
        <s v="Mitchell Gomez"/>
        <s v="Tony Reynolds"/>
        <s v="Kristine Byrd"/>
        <s v="Mark Murray"/>
        <s v="Michael Velazquez"/>
        <s v="Lori Benson"/>
        <s v="Kimberly Flores"/>
        <s v="Mike Rhodes"/>
        <s v="Teresa Gilbert"/>
        <s v="Theodore Sanchez"/>
        <s v="Sarah Sosa"/>
        <s v="Christine Drake"/>
        <s v="Eric Medina"/>
        <s v="Joseph Sims"/>
        <s v="Gwendolyn Guerrero"/>
        <s v="Chelsea Brown"/>
        <s v="John Taylor"/>
        <s v="Russell Douglas"/>
        <s v="Kristen Drake"/>
        <s v="Katie Brown"/>
        <s v="Michelle Russell"/>
        <s v="Charles Aguilar"/>
        <s v="Emily Christensen"/>
        <s v="Annette Robinson"/>
        <s v="William White"/>
        <s v="Chloe Martinez"/>
        <s v="Catherine Barnett"/>
        <s v="Jason Dixon"/>
        <s v="Tim Jennings"/>
        <s v="Leah Gonzalez"/>
        <s v="Andrew Davis"/>
        <s v="Justin Bowen"/>
        <s v="Lisa Henry"/>
        <s v="Sarah Vance"/>
        <s v="Brian Edwards"/>
        <s v="Matthew Robbins"/>
        <s v="Kathleen Moore"/>
        <s v="Mr. George Cooper"/>
        <s v="Ryan James"/>
        <s v="Veronica Cordova"/>
        <s v="Jacob Brooks"/>
        <s v="Matthew Brown"/>
        <s v="Robert Harmon"/>
        <s v="Rebecca Gonzalez"/>
        <s v="Hannah Ball"/>
        <s v="Krista Wright"/>
        <s v="Marcus Powell"/>
        <s v="Leah Madden"/>
        <s v="Shawn Gardner"/>
        <s v="Karen Nunez"/>
        <s v="Laura Johnson"/>
        <s v="Lauren Kaufman"/>
        <s v="Patricia Pratt"/>
        <s v="Brandon Williams"/>
        <s v="Christopher Wilson"/>
        <s v="Ryan Gonzalez"/>
        <s v="Lisa Morton"/>
        <s v="Nicholas Lee"/>
        <s v="Kelly Vang"/>
        <s v="Megan Smith"/>
        <s v="Mark Matthews"/>
        <s v="Melissa Hale"/>
        <s v="Michael James"/>
        <s v="Brittney Branch"/>
        <s v="Brian Bridges"/>
        <s v="Jeffery Green"/>
        <s v="Rachel Bradford"/>
        <s v="Michelle Rodriguez"/>
        <s v="Veronica Taylor"/>
        <s v="Crystal Molina"/>
        <s v="Michael White"/>
        <s v="Michael Beltran"/>
        <s v="Barbara Jones"/>
        <s v="Randy Baker"/>
        <s v="James Collins"/>
        <s v="Jonathan Montgomery"/>
        <s v="Christina Hernandez"/>
        <s v="Jody Larsen"/>
        <s v="Andrew Wood"/>
        <s v="James Rocha"/>
        <s v="Rebekah Gonzalez"/>
        <s v="Aaron Ruiz"/>
        <s v="Olivia Lee"/>
        <s v="John Carr"/>
        <s v="Daniel Wilson"/>
        <s v="Daniel Hernandez Jr."/>
        <s v="John Clark"/>
        <s v="Hannah Martin"/>
        <s v="Alyssa Ramirez"/>
        <s v="Alan Johnson"/>
        <s v="Joseph Freeman"/>
        <s v="William Golden"/>
        <s v="Heather Cross"/>
        <s v="Dawn Caldwell"/>
        <s v="Michael Bond"/>
        <s v="Luis Mcdaniel"/>
        <s v="Michael Harris"/>
        <s v="Elizabeth Buchanan"/>
        <s v="Sydney Travis"/>
        <s v="Joshua Johnson"/>
        <s v="Nicholas Harrell"/>
        <s v="Christopher Anderson"/>
        <s v="Brittney Rivera"/>
        <s v="James Patterson"/>
        <s v="Kenneth Jackson"/>
        <s v="Marvin Cox"/>
        <s v="Christopher Reeves"/>
        <s v="Jennifer Villarreal"/>
        <s v="Stacey Irwin"/>
        <s v="Bryan Parks"/>
        <s v="Angela Hall"/>
        <s v="Stephanie Gonzalez"/>
        <s v="Travis Vargas"/>
        <s v="Rose Delgado"/>
        <s v="Jennifer Lyons"/>
        <s v="Steven Taylor"/>
        <s v="Jesse Cooke"/>
        <s v="Marie Sullivan"/>
        <s v="Nicole Mills"/>
        <s v="Erin Yu"/>
        <s v="Rachel Savage"/>
        <s v="Teresa Nichols"/>
        <s v="Elijah Anderson"/>
        <s v="Candace Smith"/>
        <s v="Michelle Lara"/>
        <s v="Emma Ramirez"/>
        <s v="Danielle Shelton"/>
        <s v="Paula Leon"/>
        <s v="Dr. Dennis Pena"/>
        <s v="Kelsey Wright"/>
        <s v="Eric Williams"/>
        <s v="Brandon Andrews"/>
        <s v="Michelle Phillips"/>
        <s v="Valerie Ramirez"/>
        <s v="Rebecca Murphy"/>
        <s v="Ricardo Kent"/>
        <s v="Justin Carpenter"/>
        <s v="Justin Clements"/>
        <s v="Patty Thomas"/>
        <s v="Madison Berry"/>
        <s v="Danielle Washington"/>
        <s v="Rachel Marshall"/>
        <s v="Anna King"/>
        <s v="Leah Chaney"/>
        <s v="Rebecca Leach"/>
        <s v="Miranda Higgins"/>
        <s v="Danielle Gonzales"/>
        <s v="Jill Johnson"/>
        <s v="William Peck"/>
        <s v="Keith Schroeder"/>
        <s v="William Ortiz"/>
        <s v="Jeremy Nash"/>
        <s v="Craig Conner MD"/>
        <s v="Victoria Hayden"/>
        <s v="Tammy Johnson"/>
        <s v="William Mullins"/>
        <s v="Alicia Reynolds"/>
        <s v="Rachel Shelton"/>
        <s v="Nancy James"/>
        <s v="Seth Gonzalez"/>
        <s v="Rachel Allen"/>
        <s v="Jaclyn Lynch"/>
        <s v="Vicki Peterson DDS"/>
        <s v="Troy Love"/>
        <s v="David Baker"/>
        <s v="Kristen Fuentes"/>
        <s v="Kenneth Barry"/>
        <s v="Judith Johnson"/>
        <s v="Oscar Williams"/>
        <s v="Gloria Orr"/>
        <s v="Nancy Taylor"/>
        <s v="Jennifer Morales DVM"/>
        <s v="Kimberly Hammond"/>
        <s v="Wendy Hernandez"/>
        <s v="Allen Garner"/>
        <s v="Richard Stephenson"/>
        <s v="Mr. Gary Wilson"/>
        <s v="Elizabeth Nelson"/>
        <s v="James Mcguire"/>
        <s v="Laura Myers"/>
        <s v="Joseph Anderson"/>
        <s v="Tiffany Calhoun"/>
        <s v="Lauren Ellis"/>
        <s v="Jerry Turner"/>
        <s v="Brian Maldonado"/>
        <s v="Randy Robertson"/>
        <s v="Linda Allen"/>
        <s v="James Matthews"/>
        <s v="Angela Newman"/>
        <s v="Robert Brooks"/>
        <s v="Michael Smith"/>
        <s v="Justin Dean"/>
        <s v="Rachel Johnston"/>
        <s v="Susan Bird"/>
        <s v="Michael Ruiz"/>
        <s v="Sarah Stokes"/>
        <s v="Laura Simmons"/>
        <s v="Kenneth Mcdaniel"/>
        <s v="Lauren Bailey"/>
        <s v="Brittany Munoz"/>
        <s v="Benjamin Lutz"/>
        <s v="Andrew Williams"/>
        <s v="Jennifer Alvarado"/>
        <s v="James Taylor"/>
        <s v="Krista Nichols"/>
        <s v="Juan Rogers"/>
        <s v="Bradley Rogers"/>
        <s v="Cameron Bowen"/>
        <s v="David Morales"/>
        <s v="Rachel Rios"/>
        <s v="Mary Campos"/>
        <s v="Jacob Morris"/>
        <s v="John Robinson"/>
        <s v="Michael Erickson"/>
        <s v="Yesenia Thompson"/>
        <s v="Teresa Davis"/>
        <s v="Mark Reed"/>
        <s v="Colin Lewis"/>
        <s v="Austin Barrett"/>
        <s v="Mark Compton"/>
        <s v="Jonathan Holmes"/>
        <s v="Sabrina Barnett"/>
        <s v="Sheryl Davis"/>
        <s v="Kurt Murillo"/>
        <s v="Michael Hodge"/>
        <s v="Sarah Welch"/>
        <s v="Angela Young"/>
        <s v="Karen Contreras"/>
        <s v="Anthony Stephens"/>
        <s v="Daniel Brady"/>
        <s v="Carlos Rogers"/>
        <s v="David Garcia"/>
        <s v="Jenna Wong"/>
        <s v="Bradley Oneal"/>
        <s v="Stanley Velez"/>
        <s v="Daniel Villegas"/>
        <s v="Denise Snyder"/>
        <s v="Christian Williamson"/>
        <s v="Linda Estrada"/>
        <s v="Courtney Page"/>
        <s v="Timothy Garcia"/>
        <s v="Jacob Williams"/>
        <s v="William Phillips"/>
        <s v="Angela Graham"/>
        <s v="Melissa Smith"/>
        <s v="Richard Harris"/>
        <s v="Cassie Johnson"/>
        <s v="Jerome Martinez"/>
        <s v="Angel Gonzalez"/>
        <s v="Brooke Garcia"/>
        <s v="Andre Stone"/>
        <s v="Toni Marquez"/>
        <s v="David Weaver"/>
        <s v="William Aguilar"/>
        <s v="William James"/>
        <s v="Ross Taylor"/>
        <s v="Jeff Weaver"/>
        <s v="Megan Rodriguez"/>
        <s v="Aaron Patel"/>
        <s v="Rick Moran"/>
        <s v="Dalton Logan"/>
        <s v="Lauren Pearson"/>
        <s v="Wesley Harper"/>
        <s v="Faith Ray"/>
        <s v="Donald Brown"/>
        <s v="David Noble"/>
        <s v="Anthony Calhoun"/>
        <s v="Bryan Hughes"/>
        <s v="Tina Keith"/>
        <s v="Scott Carroll"/>
        <s v="Leslie Jones"/>
        <s v="Amanda Wilkinson"/>
        <s v="Scott Davis"/>
        <s v="Jesse Kennedy"/>
        <s v="Bradley Lewis"/>
        <s v="Casey Sparks"/>
        <s v="Kristen Hernandez"/>
        <s v="Patrick Garza"/>
        <s v="Ronald Mcdaniel"/>
        <s v="Mark Campbell"/>
        <s v="Linda Ross"/>
        <s v="Amanda Wilson"/>
        <s v="Jeffery Elliott"/>
        <s v="Sonya Burke"/>
        <s v="Samuel Cortez"/>
        <s v="Scott Lewis"/>
        <s v="Lisa Carter"/>
        <s v="Gloria Phillips"/>
        <s v="Michele Ortiz"/>
        <s v="Jeremy Dickson"/>
        <s v="Matthew Marshall"/>
        <s v="Lindsay Sanchez"/>
        <s v="Brian Flores"/>
        <s v="Chase Torres"/>
        <s v="Victor Acosta"/>
        <s v="Stephanie Ferguson"/>
        <s v="Anna Valdez"/>
        <s v="Robert Ingram"/>
        <s v="Joel Fitzpatrick"/>
        <s v="Louis Owens"/>
        <s v="Shelby Alvarez"/>
        <s v="Leslie Morton"/>
        <s v="Anne Johnson"/>
        <s v="John Garcia"/>
        <s v="Scott Webb"/>
        <s v="Sarah Griffin"/>
        <s v="Kimberly Gomez"/>
        <s v="Mark Mendoza"/>
        <s v="Edwin Brennan"/>
        <s v="Jennifer Olsen"/>
        <s v="Heather Gordon"/>
        <s v="Gary Simon"/>
        <s v="Dr. Daniel Sanchez"/>
        <s v="Taylor Duran"/>
        <s v="Michelle French"/>
        <s v="Wesley Brown"/>
        <s v="Ryan Taylor"/>
        <s v="Catherine Brock"/>
        <s v="David Stuart"/>
        <s v="Ryan Griffin"/>
        <s v="Mr. Nicholas Reed"/>
        <s v="Jimmy Evans"/>
        <s v="Matthew Moses"/>
        <s v="Heather Mitchell"/>
        <s v="Martha Lynch"/>
        <s v="Alyssa Zhang"/>
        <s v="Thomas Tanner"/>
        <s v="Brian Floyd"/>
        <s v="Cody Mahoney"/>
        <s v="Katherine Moore"/>
        <s v="Tracy Frey"/>
        <s v="Amy Wood"/>
        <s v="Anne Hall"/>
        <s v="Jennifer White MD"/>
        <s v="Richard Hayes"/>
        <s v="Benjamin Johnson"/>
        <s v="Andrew Clark"/>
        <s v="Anthony Kent"/>
        <s v="John Lopez"/>
        <s v="Christopher Vargas"/>
        <s v="Ryan Weaver"/>
        <s v="Robert Richards"/>
        <s v="Harold Smith"/>
        <s v="Jamie Tucker"/>
        <s v="Christine Burton MD"/>
        <s v="Miguel Odonnell"/>
        <s v="Keith Martinez"/>
        <s v="Christopher Merritt DVM"/>
        <s v="Hannah Santos"/>
        <s v="Taylor Pugh"/>
        <s v="Miranda Holland"/>
        <s v="Brooke Dillon"/>
        <s v="Jennifer Scott"/>
        <s v="Elizabeth Ross"/>
        <s v="Paul Krueger"/>
        <s v="Sierra Evans"/>
        <s v="Jonathan Wagner"/>
        <s v="Samuel Wiley"/>
        <s v="Kristine Khan"/>
        <s v="Amy Stewart"/>
        <s v="Michael Keller"/>
        <s v="Justin Rose"/>
        <s v="Ryan Becker"/>
        <s v="Jessica Lara"/>
        <s v="Sophia Fischer"/>
        <s v="Tracy Taylor"/>
        <s v="Mark Silva"/>
        <s v="Johnny Berg"/>
        <s v="Christine Cox"/>
        <s v="Andrew Harris"/>
        <s v="Donna Winters"/>
        <s v="Travis Washington"/>
        <s v="Mary Tran"/>
        <s v="Kathryn Hardy"/>
        <s v="Robert Willis"/>
        <s v="Dylan Townsend"/>
        <s v="Kenneth Garcia"/>
        <s v="Lance Gonzales"/>
        <s v="Noah Wade"/>
        <s v="Sandra Peterson"/>
        <s v="Megan Mays"/>
        <s v="Linda Long"/>
        <s v="Ronald Arias"/>
        <s v="Susan Lambert"/>
        <s v="Christopher Patrick"/>
        <s v="Joy Garcia"/>
        <s v="Ryan Jordan"/>
        <s v="Cynthia Conway"/>
        <s v="Sarah Thompson"/>
        <s v="Jack Phelps"/>
        <s v="Willie Hodge"/>
        <s v="Jerry Carroll"/>
        <s v="Michael Allen"/>
        <s v="Zachary Phillips"/>
        <s v="Ricardo Moran"/>
        <s v="Ms. Sheila Ward"/>
        <s v="Stephen Allen"/>
        <s v="Austin Reilly"/>
        <s v="Michael Crawford"/>
        <s v="Marie Nelson"/>
        <s v="Christina Meyers"/>
        <s v="Lisa Vang"/>
        <s v="Dylan Armstrong"/>
        <s v="Stephen Berry"/>
        <s v="David Vincent"/>
        <s v="Mary Singh"/>
        <s v="Robin Hughes"/>
        <s v="Jonathan Schmidt"/>
        <s v="Grace Montoya"/>
        <s v="Ashley Nguyen"/>
        <s v="Paige Lee"/>
        <s v="Beth Wolfe"/>
        <s v="Jessica Carr"/>
        <s v="Becky Gordon"/>
        <s v="Mary Kline"/>
        <s v="Selena Baker"/>
        <s v="Mr. Lawrence Parks"/>
        <s v="Martha Fitzgerald"/>
        <s v="Alexandria Smith"/>
        <s v="Nicholas Fisher"/>
        <s v="Barbara Patel"/>
        <s v="Brent Rios"/>
        <s v="Jesus Ramirez"/>
        <s v="Jennifer Dominguez"/>
        <s v="Evan Huynh"/>
        <s v="Valerie Perry"/>
        <s v="Michelle Johnson"/>
        <s v="Kimberly Harrington"/>
        <s v="Stephanie Harrington"/>
        <s v="Rachel Bryan"/>
        <s v="Matthew Stein"/>
        <s v="Andrea Hull DDS"/>
        <s v="Kelly Garcia"/>
        <s v="Kelsey King"/>
        <s v="Haley Herrera"/>
        <s v="Monica Flores"/>
        <s v="Sheri Steele"/>
        <s v="Aaron Ramirez"/>
        <s v="Michael Walls"/>
        <s v="Gregory Garza"/>
        <s v="Dustin Blackburn"/>
        <s v="Richard Anderson"/>
        <s v="Richard Santiago"/>
        <s v="William Reyes"/>
        <s v="Lisa Moss"/>
        <s v="Patrick Chen"/>
        <s v="David Wilson"/>
        <s v="Cynthia Mullen"/>
        <s v="Sandra Jensen"/>
        <s v="John Sanders"/>
        <s v="Shannon Lee"/>
        <s v="Ruth Bennett"/>
        <s v="Jack Romero"/>
        <s v="Glen Anderson"/>
        <s v="Robert Hunter DDS"/>
        <s v="Michael Sullivan"/>
        <s v="Martin White"/>
        <s v="Emma Sharp"/>
        <s v="Dr. Brandi Stone"/>
        <s v="Roger Hall"/>
        <s v="Roberta Thompson"/>
        <s v="Jacqueline Ward"/>
        <s v="Mrs. Denise Solis DDS"/>
        <s v="Matthew Barajas"/>
        <s v="Jeffery Hoover"/>
        <s v="Johnny George"/>
        <s v="Pamela Johnson"/>
        <s v="Gregory Palmer"/>
        <s v="Douglas Lane"/>
        <s v="April Delgado"/>
        <s v="Felicia Fox"/>
        <s v="Tammy Deleon"/>
        <s v="Maria Krueger"/>
        <s v="Grant Juarez"/>
        <s v="Brandon Davis"/>
        <s v="Thomas Hawkins"/>
        <s v="Dr. Emily Thomas"/>
        <s v="Kendra Herman"/>
        <s v="Karen Hunt"/>
        <s v="Lisa Moore"/>
        <s v="Brian Lara"/>
        <s v="Zachary Lee"/>
        <s v="Robert Smith"/>
        <s v="Brian Robinson"/>
        <s v="Mark Robertson"/>
        <s v="Heather Campbell"/>
        <s v="Angela Lopez"/>
        <s v="Renee Moss"/>
        <s v="Kevin Larson"/>
        <s v="Michael Williams"/>
        <s v="Jo King"/>
        <s v="Jonathan Harris"/>
        <s v="Dennis Jacobs"/>
        <s v="Kelly Dixon"/>
        <s v="Danielle Love"/>
        <s v="Mrs. Danielle Kerr"/>
        <s v="Wanda Gonzalez"/>
        <s v="John Bailey"/>
        <s v="Caitlin Daniels"/>
        <s v="Jerry Bell"/>
        <s v="Michael Jackson"/>
        <s v="Charlotte Reed"/>
        <s v="Peter Baldwin"/>
        <s v="Jerry Ramirez"/>
        <s v="Brooke Trevino"/>
        <s v="Hannah Marquez"/>
        <s v="Amanda Walker"/>
        <s v="John Russo"/>
        <s v="Anthony Hale"/>
        <s v="Nicole Miller"/>
        <s v="Amanda Ashley"/>
        <s v="Susan Salazar"/>
        <s v="Shawn Mejia"/>
        <s v="Rhonda Rodriguez"/>
        <s v="Christopher Cabrera"/>
        <s v="Michael Barnes"/>
        <s v="Eric Carter"/>
        <s v="Justin Wright"/>
        <s v="Kristen Vasquez"/>
        <s v="James Snyder"/>
        <s v="Maureen Adams"/>
        <s v="Elizabeth Walker"/>
        <s v="Ashley Malone"/>
        <s v="Joshua Mendoza"/>
        <s v="Amy Hampton"/>
        <s v="Kelly Diaz"/>
        <s v="Mr. Nathaniel Cox"/>
        <s v="Ms. Brianna Jones"/>
        <s v="Andrea Fowler"/>
        <s v="Joseph Hall"/>
        <s v="Caitlin Hawkins"/>
        <s v="Lisa Smith"/>
        <s v="Paul Garrison"/>
        <s v="Alfred Marsh"/>
        <s v="Eric Cooper"/>
        <s v="Priscilla Williams"/>
        <s v="Michael Vasquez"/>
        <s v="Timothy Walton"/>
        <s v="Christopher Evans"/>
        <s v="Angela Roberts"/>
        <s v="Cory Chambers"/>
        <s v="Ann Melton"/>
        <s v="Dylan Roth"/>
        <s v="Jonathan Lambert"/>
        <s v="Heather Graves"/>
        <s v="Andrew Martinez"/>
        <s v="Jeffrey Fischer"/>
        <s v="Barbara Schmidt"/>
        <s v="Kimberly Reyes"/>
        <s v="Paul Walker"/>
        <s v="Melanie Phillips"/>
        <s v="Alicia Mclean"/>
        <s v="Carl Mahoney"/>
        <s v="Eric Beasley"/>
        <s v="Bonnie Hall"/>
        <s v="Sarah King"/>
        <s v="Nicholas Evans"/>
        <s v="Patricia Brooks"/>
        <s v="Kristin Gonzalez"/>
        <s v="Jessica Mckenzie"/>
        <s v="Katherine Berry"/>
        <s v="Mrs. Deborah Boone"/>
        <s v="Sonya Mendoza"/>
        <s v="Jennifer Sullivan"/>
        <s v="Jessica Jones"/>
        <s v="Denise Mcconnell"/>
        <s v="Madison Joseph"/>
        <s v="Michael Bradshaw"/>
        <s v="David Powers"/>
        <s v="Ricardo Davis"/>
        <s v="Maurice Reynolds"/>
        <s v="Mark Williams"/>
        <s v="Mr. Daniel Knox"/>
        <s v="Mary Diaz"/>
        <s v="Tonya Kirby"/>
        <s v="Amanda Holmes"/>
        <s v="Kyle Wright II"/>
        <s v="Brenda Rasmussen"/>
        <s v="Brian Wilson"/>
        <s v="Ross Wilson"/>
        <s v="Dr. Meredith Murphy"/>
        <s v="John Wade"/>
        <s v="Paula Pineda"/>
        <s v="Meagan Johnson"/>
        <s v="Nathan Garcia"/>
        <s v="Christopher Burgess"/>
        <s v="Bryce Hooper"/>
        <s v="Bruce Brown"/>
        <s v="Deborah James"/>
        <s v="Andrew Espinoza"/>
        <s v="Rodney Lee"/>
        <s v="Stephanie Callahan"/>
        <s v="Adam Sanchez"/>
        <s v="Benjamin Garrett"/>
        <s v="Christopher Lloyd"/>
        <s v="Darren Pittman"/>
        <s v="Brandon Lawrence"/>
        <s v="Corey Padilla"/>
        <s v="Kimberly Bowers"/>
        <s v="Ruth King"/>
        <s v="Bethany Gallagher"/>
        <s v="Patrick Benson"/>
        <s v="Connie Wilson"/>
        <s v="Anthony Rich"/>
        <s v="Anthony Sandoval"/>
        <s v="Regina Allen"/>
        <s v="Jesse Carter"/>
        <s v="Tim Alvarez"/>
        <s v="Lisa Perez"/>
        <s v="Vincent Torres"/>
        <s v="Sean Warren DDS"/>
        <s v="Mary Allen"/>
        <s v="Michelle Walsh"/>
        <s v="Tim Dean"/>
        <s v="Kristen Mahoney"/>
        <s v="Destiny Harris"/>
        <s v="Martin Miller"/>
        <s v="Kyle Lopez"/>
        <s v="Madison Gonzales"/>
        <s v="William Hudson"/>
        <s v="Steven Huynh"/>
        <s v="Richard Nichols"/>
        <s v="William Martinez"/>
        <s v="Devin Monroe"/>
        <s v="Craig Matthews"/>
        <s v="Michelle Bennett"/>
        <s v="Justin Forbes"/>
        <s v="Anna Rogers"/>
        <s v="Aaron Woods"/>
        <s v="Lisa Lewis"/>
        <s v="Miss Angela Webb"/>
        <s v="Sean Smith"/>
        <s v="James Brown"/>
        <s v="Paula Robinson"/>
        <s v="Jonathan Melton"/>
        <s v="Deanna Ortiz"/>
        <s v="Janet Murray MD"/>
        <s v="Megan Scott"/>
        <s v="Spencer Jacobs"/>
        <s v="Isaac Montgomery"/>
        <s v="Johnny Walker"/>
        <s v="Dawn Thompson"/>
        <s v="Amber Fernandez"/>
        <s v="Lisa Hernandez"/>
        <s v="Luis Vazquez"/>
        <s v="Angelica Hansen"/>
        <s v="Tracey Taylor"/>
        <s v="Stephanie Wolfe"/>
        <s v="Melissa Weaver"/>
        <s v="Sarah Gonzalez"/>
        <s v="Gregory Munoz"/>
        <s v="Gregory Wilson"/>
        <s v="Carla Mcneil"/>
        <s v="Michael Gray"/>
        <s v="Cody Atkins"/>
        <s v="Thomas Shepard"/>
        <s v="Mary Hill"/>
        <s v="Donna Fisher"/>
        <s v="Christian Johnson"/>
        <s v="Janet Evans"/>
        <s v="Christopher Martin"/>
        <s v="Melanie Noble"/>
        <s v="Leslie White"/>
        <s v="Carolyn Nicholson"/>
        <s v="Victor Hill"/>
        <s v="Dillon Cruz"/>
        <s v="Danny Ayers"/>
        <s v="Marcia Moore"/>
        <s v="Lori Williams"/>
        <s v="Joanne Mitchell"/>
        <s v="Manuel Carter"/>
        <s v="Heather Gardner"/>
        <s v="Julia Crawford"/>
        <s v="Vicki Kennedy"/>
        <s v="Thomas Howard"/>
        <s v="Glenn Blackwell"/>
        <s v="Christopher Ortiz"/>
        <s v="Adam Larson"/>
        <s v="Jeffrey Hess"/>
        <s v="Megan Carter"/>
        <s v="Ryan Schultz"/>
        <s v="Jennifer Ruiz"/>
        <s v="Justin Harvey"/>
        <s v="Kristen Martin"/>
        <s v="Carlos Bishop"/>
        <s v="Brian Garner"/>
        <s v="Casey Mathews"/>
        <s v="Heidi Ward"/>
        <s v="Kayla Andersen"/>
        <s v="Alexandra Park"/>
        <s v="Dennis Morales"/>
        <s v="Emma Chavez"/>
        <s v="Susan Davis"/>
        <s v="Stephanie Baker"/>
        <s v="Robert Mcgrath PhD"/>
        <s v="Matthew Gibson"/>
        <s v="Laura Anderson"/>
        <s v="David Perry"/>
        <s v="Gabriel Brooks"/>
        <s v="Adam Villarreal"/>
        <s v="Todd Edwards"/>
        <s v="David Hanson"/>
        <s v="Tracy Thomas"/>
        <s v="Vanessa Hale"/>
        <s v="Kelly Scott"/>
        <s v="Nicole Adkins"/>
        <s v="Larry Kent"/>
        <s v="Nicole Munoz MD"/>
        <s v="Anna Nguyen"/>
        <s v="Christopher Martinez"/>
        <s v="Amanda Jones"/>
        <s v="Ronald Black"/>
        <s v="John White"/>
        <s v="Robert Fletcher"/>
        <s v="Johnny Powell"/>
        <s v="Abigail Wilson"/>
        <s v="Lisa Scott"/>
        <s v="Brandon Rodriguez"/>
        <s v="Amanda Evans"/>
        <s v="Amy Gibson"/>
        <s v="Jessica Stafford"/>
        <s v="Bryan Jarvis"/>
        <s v="Dylan Salas"/>
        <s v="Blake Holland"/>
        <s v="George Nelson"/>
        <s v="Victoria Lee"/>
        <s v="Garrett Dudley"/>
        <s v="Eric Armstrong"/>
        <s v="Mr. John Carroll Jr."/>
        <s v="Amy Khan"/>
        <s v="Carla Hernandez"/>
        <s v="Charles Brown"/>
        <s v="Samuel Schroeder"/>
        <s v="Matthew Hester"/>
        <s v="Adam Barnes"/>
        <s v="Christopher Taylor"/>
        <s v="Samuel Jordan"/>
        <s v="Desiree Jacobs"/>
        <s v="John Sanchez"/>
        <s v="Rebecca Flowers"/>
        <s v="Tracy Santana"/>
        <s v="Andrea Jones"/>
        <s v="Patricia Robinson"/>
        <s v="Amanda Gray"/>
        <s v="Bruce Chavez"/>
        <s v="Michelle Palmer"/>
        <s v="Zachary Bowers"/>
        <s v="Lisa Sanders"/>
        <s v="Joseph Carney"/>
        <s v="Crystal Ferguson"/>
        <s v="James Keller"/>
        <s v="Taylor Martin"/>
        <s v="Joshua Roberts"/>
        <s v="Charles Warner"/>
        <s v="Debra Gibson"/>
        <s v="Jeff Gordon"/>
        <s v="Jesus Swanson"/>
        <s v="David Hodges"/>
        <s v="Daniel Mills"/>
        <s v="Frank Garcia MD"/>
        <s v="Steven Gutierrez"/>
        <s v="Amy Ramsey"/>
        <s v="Kimberly Morgan"/>
        <s v="Matthew Mcgee"/>
        <s v="Monica Jackson"/>
        <s v="Richard Chandler"/>
        <s v="Ricardo Jordan"/>
        <s v="Ashley Nielsen"/>
        <s v="Stephen Lynn"/>
        <s v="Mr. Anthony Williams MD"/>
        <s v="Heather Zimmerman"/>
        <s v="Amy Cook"/>
        <s v="Courtney Brown"/>
        <s v="Willie Barron"/>
        <s v="Dr. Joseph Guzman MD"/>
        <s v="Amy Parker"/>
        <s v="Justin Dougherty"/>
        <s v="Luis Turner"/>
        <s v="Cindy Marsh"/>
        <s v="Eduardo Hardy"/>
        <s v="Brandon Mccormick"/>
        <s v="Brenda Graham"/>
        <s v="Rhonda Patterson"/>
        <s v="Cassandra Wright"/>
        <s v="Andre Jefferson"/>
        <s v="Chelsey Morales DVM"/>
        <s v="Jennifer Ayala"/>
        <s v="Lisa Gomez"/>
        <s v="Michael Dillon"/>
        <s v="Thomas Robertson"/>
        <s v="Colleen Wallace"/>
        <s v="Jordan Hamilton"/>
        <s v="Kevin Flores"/>
        <s v="Mikayla Smith"/>
        <s v="Angela Wheeler"/>
        <s v="Kristen Gutierrez"/>
        <s v="Michael Kennedy"/>
        <s v="Andrea Ryan"/>
        <s v="Stephanie Mccormick"/>
        <s v="Jennifer Rich"/>
        <s v="George Bonilla"/>
        <s v="Laurie Stephens"/>
        <s v="Randall Chapman"/>
        <s v="Tammy Jennings"/>
        <s v="Amanda Williams"/>
        <s v="Michael Logan"/>
        <s v="James Gilbert"/>
        <s v="Cynthia Hopkins"/>
        <s v="Sandra Simmons"/>
        <s v="Lori Bush"/>
        <s v="Sarah Ortiz"/>
        <s v="Sheila Miller"/>
        <s v="Sara Dillon"/>
        <s v="Nancy Wood"/>
        <s v="Annette Campbell"/>
        <s v="Cheryl Roberts"/>
        <s v="Darlene Cervantes"/>
        <s v="Emily Chambers"/>
        <s v="Jacob Curry"/>
        <s v="Sandra Fernandez"/>
        <s v="Billy Smith"/>
        <s v="Douglas Rhodes"/>
        <s v="Paul Kennedy"/>
        <s v="James Spencer"/>
        <s v="John Mora Jr."/>
        <s v="Kayla Mclaughlin"/>
        <s v="Kayla Marshall MD"/>
        <s v="Veronica Everett"/>
        <s v="Samuel Mitchell"/>
        <s v="Lisa Saunders"/>
        <s v="Veronica Long"/>
        <s v="Donna Mendoza"/>
        <s v="Dennis Harris"/>
        <s v="Angela Warren"/>
        <s v="Jeremy Phillips"/>
        <s v="Karen Patterson"/>
        <s v="Kristen Barnes"/>
        <s v="Bobby Brock"/>
        <s v="Jeffrey Lewis"/>
        <s v="Deborah Gordon"/>
        <s v="Heather Taylor"/>
        <s v="Brian Kim"/>
        <s v="Wendy Rodriguez"/>
        <s v="Jade Dawson"/>
        <s v="Crystal Mcneil"/>
        <s v="Matthew Gross"/>
        <s v="Dennis Brown"/>
        <s v="Stephanie Williams"/>
        <s v="Paul Estrada"/>
        <s v="Michelle Anderson"/>
        <s v="Steven Kelly"/>
        <s v="Matthew Hicks"/>
        <s v="Natalie Adams"/>
        <s v="Jacob Kline"/>
        <s v="David Brown"/>
        <s v="Kristopher Gregory"/>
        <s v="Barry Ali"/>
        <s v="Kenneth Bryant"/>
        <s v="Lindsey Walker"/>
        <s v="Joel Wright"/>
        <s v="Judith Graves"/>
        <s v="Shannon White"/>
        <s v="Ronnie Perry"/>
        <s v="Courtney Wright"/>
        <s v="Martin Alvarez"/>
        <s v="Amanda Hester"/>
        <s v="Jasmine Torres"/>
        <s v="John Melton"/>
        <s v="Brandon Rojas"/>
        <s v="Michael Mccormick"/>
        <s v="Raymond Hernandez"/>
        <s v="Kristine Anderson"/>
        <s v="Tina Castillo"/>
        <s v="Troy Smith"/>
        <s v="Aaron Kaiser"/>
        <s v="Shawn Santiago"/>
        <s v="Elizabeth Ramirez"/>
        <s v="Danielle Hill"/>
        <s v="Virginia Murphy"/>
        <s v="Bobby Morrison"/>
        <s v="Daniel Martin"/>
        <s v="Kevin Carpenter"/>
        <s v="Michele Hicks"/>
        <s v="Samantha Richards"/>
        <s v="Zachary Macdonald"/>
        <s v="Regina Rodriguez"/>
        <s v="Nathan Hendrix"/>
        <s v="Joshua Blake"/>
        <s v="Kelly Juarez"/>
        <s v="David Wood"/>
        <s v="Lisa Ford"/>
        <s v="Robert Cline"/>
        <s v="Louis Holt"/>
        <s v="Mr. Alexander Costa Jr."/>
        <s v="Natalie Bernard"/>
        <s v="Kelsey Hampton"/>
        <s v="Anthony Daniels"/>
        <s v="April Davis MD"/>
        <s v="April Jones"/>
        <s v="Logan Russell"/>
        <s v="Jessica Lee"/>
        <s v="Aaron Miller"/>
        <s v="Melissa Rodriguez"/>
        <s v="Debra Wilcox"/>
        <s v="Mary Ruiz"/>
        <s v="Mary Fletcher"/>
        <s v="Jonathan Caldwell"/>
        <s v="Matthew Johnson"/>
        <s v="Marcus Harris"/>
        <s v="Devin Gallagher"/>
        <s v="Diana Campbell"/>
        <s v="Sharon Decker"/>
        <s v="Andrew Trevino"/>
        <s v="Julie Arnold"/>
        <s v="Taylor Aguirre"/>
        <s v="Terry Estrada"/>
        <s v="Alyssa Carter"/>
        <s v="John Case Jr."/>
        <s v="Danielle Stevenson"/>
        <s v="Richard Santos"/>
        <s v="Clifford Deleon"/>
        <s v="John Wu"/>
        <s v="Lauren Cook"/>
        <s v="Susan Mejia PhD"/>
        <s v="Tyler Clark"/>
        <s v="Julian Nielsen"/>
        <s v="Jennifer Jordan"/>
        <s v="Alan Carpenter"/>
        <s v="Shirley Fuller"/>
        <s v="Johnny Doyle"/>
        <s v="Jennifer Ware"/>
        <s v="Susan Morris"/>
        <s v="Leslie Clark"/>
        <s v="Christian Green"/>
        <s v="Patricia Henderson"/>
        <s v="Scott Sweeney"/>
        <s v="Carmen Cline"/>
        <s v="Adam Hopkins"/>
        <s v="Valerie King"/>
        <s v="John Romero"/>
        <s v="Thomas Murillo"/>
        <s v="Susan Buck"/>
        <s v="Martin Lynch"/>
        <s v="Laura Perez"/>
        <s v="Larry Mills"/>
        <s v="Jo Mckinney"/>
        <s v="Christina Martinez"/>
        <s v="Emma Sanchez"/>
        <s v="Susan Young"/>
        <s v="Mark Henderson"/>
        <s v="David Gutierrez"/>
        <s v="Ariel Velasquez"/>
        <s v="Omar Norman"/>
        <s v="Shannon Bell"/>
        <s v="Gary Ferrell"/>
        <s v="Martha Smith"/>
        <s v="Justin Aguilar"/>
        <s v="James Ibarra"/>
        <s v="Lacey Solis"/>
        <s v="Linda Riley"/>
        <s v="Theresa Stone"/>
        <s v="Christopher Brown Jr."/>
        <s v="Mary Miller"/>
        <s v="Nancy Chandler"/>
        <s v="Sheryl Brown"/>
        <s v="Amy Mcpherson"/>
        <s v="Robin Rios"/>
        <s v="Sheila Gutierrez"/>
        <s v="Jennifer Delgado"/>
        <s v="Kelly Thomas"/>
        <s v="Gabriel Conley"/>
        <s v="Kelsey Mcdonald"/>
        <s v="Mary Gilbert"/>
        <s v="Tracy Knight"/>
        <s v="Stephanie Jones"/>
        <s v="David Rodriguez"/>
        <s v="Christine Riley"/>
        <s v="Justin Garza"/>
        <s v="Stephanie Cook MD"/>
        <s v="Phillip Smith"/>
        <s v="Audrey Pittman"/>
        <s v="Jeremy Booth"/>
        <s v="Stephanie Ford"/>
        <s v="Shawn Martinez"/>
        <s v="Alexa Davis"/>
        <s v="April Harrison"/>
        <s v="April Ward"/>
        <s v="Monique Brown"/>
        <s v="Jessica Campbell"/>
        <s v="Victor Peterson"/>
        <s v="David Garcia MD"/>
        <s v="Andrea Young"/>
        <s v="Brian Garcia"/>
        <s v="Amanda Smith"/>
        <s v="Sharon Cain"/>
        <s v="Dustin Skinner"/>
        <s v="Timothy Thompson"/>
        <s v="Christina Carter"/>
        <s v="Mrs. Crystal Stokes"/>
        <s v="Joseph Wilson"/>
        <s v="Brittany Hicks"/>
        <s v="Raymond Floyd"/>
        <s v="Daniel Smith"/>
        <s v="Sydney Warren"/>
        <s v="Morgan Blankenship"/>
        <s v="Heather Walsh"/>
        <s v="Robin Jennings"/>
        <s v="Anita Rose"/>
        <s v="Gregory Kennedy"/>
        <s v="Robert Nelson"/>
        <s v="Stephen Barber"/>
        <s v="Jay Bates"/>
        <s v="Samuel Wilson"/>
        <s v="Denise Spencer"/>
        <s v="Walter Richard"/>
        <s v="Susan Gonzalez"/>
        <s v="Christopher Hawkins"/>
        <s v="David Moreno"/>
        <s v="John Boyd"/>
        <s v="John Johns"/>
        <s v="Victoria Greene"/>
        <s v="Joe Reed"/>
        <s v="Kurt Best"/>
        <s v="Tammy Jackson"/>
        <s v="Cynthia Wright"/>
        <s v="Robert Page"/>
        <s v="Rachel Alvarez"/>
        <s v="Catherine Young"/>
        <s v="Kimberly Villanueva"/>
        <s v="Jeanette Maldonado"/>
        <s v="John Scott"/>
        <s v="William Brown"/>
        <s v="Cody Benson"/>
        <s v="Kara Waller"/>
        <s v="Veronica Jones"/>
        <s v="Michelle Robertson"/>
        <s v="Aaron Molina"/>
        <s v="Javier Sloan"/>
        <s v="Michael Roberts"/>
        <s v="Brittney Scott"/>
        <s v="Laura Shaw"/>
        <s v="Charles Ray"/>
        <s v="Dominic Baker"/>
        <s v="Thomas Carr"/>
        <s v="Michael Bright"/>
        <s v="Ralph Owens"/>
        <s v="Norman Owens"/>
        <s v="David Mitchell"/>
        <s v="Katie Montoya"/>
        <s v="Daniel Greer"/>
        <s v="Lacey Buchanan"/>
        <s v="Dr. Dawn Martin"/>
        <s v="Jeanette Gordon"/>
        <s v="Deborah Weber"/>
        <s v="Eric Hoffman"/>
        <s v="Diana Hall"/>
        <s v="Amy Barker"/>
        <s v="Danielle Davis"/>
        <s v="Daniel Ray"/>
        <s v="Renee Martinez"/>
        <s v="Daniel Hamilton"/>
        <s v="Debbie Wade"/>
        <s v="Adrienne Anderson MD"/>
        <s v="David Snyder"/>
        <s v="Jennifer Palmer"/>
        <s v="Amanda Pham"/>
        <s v="Gary Andrade"/>
        <s v="Austin Quinn"/>
        <s v="Jim Strong"/>
        <s v="Amy Frederick"/>
        <s v="Whitney Mathis"/>
        <s v="Kayla Peters"/>
        <s v="Caitlin Callahan"/>
        <s v="Joseph Barton"/>
        <s v="Melissa Norman"/>
        <s v="Mary Smith"/>
        <s v="Robert Henderson"/>
        <s v="Laurie Williams"/>
        <s v="Jeffrey Owens"/>
        <s v="Melinda Cohen"/>
        <s v="Kevin Miller"/>
        <s v="Jeffrey Martinez"/>
        <s v="Nicole Smith"/>
        <s v="Regina Lewis"/>
        <s v="Christopher Williams"/>
        <s v="Donald Howard"/>
        <s v="Charles Johnson"/>
        <s v="Candace Huff"/>
        <s v="Matthew Good"/>
        <s v="Rebekah Parker"/>
        <s v="Alex Marshall"/>
        <s v="Ashley Harrison"/>
        <s v="Mario Scott"/>
        <s v="Victor Jones"/>
        <s v="James Day"/>
        <s v="Jeffery Blankenship"/>
        <s v="Jacqueline Peck"/>
        <s v="Sean Tran"/>
        <s v="Craig Miller"/>
        <s v="Melissa Clark"/>
        <s v="Alex Nash"/>
        <s v="John Ramirez"/>
        <s v="Jared Hill"/>
        <s v="Patrick Hernandez"/>
        <s v="Kenneth Anthony"/>
        <s v="Jason Stanley"/>
        <s v="Kyle Jordan"/>
        <s v="John Fisher"/>
        <s v="Sarah Glass"/>
        <s v="Sean Moore"/>
        <s v="Jessica Gonzalez"/>
        <s v="Christine Scott"/>
        <s v="Erin Cook"/>
        <s v="Alexa Mclaughlin"/>
        <s v="Matthew Whitaker"/>
        <s v="Ronald Cohen"/>
        <s v="Robert Martinez"/>
        <s v="James Edwards"/>
        <s v="Elizabeth Rice"/>
        <s v="Allison Mccann"/>
        <s v="Dr. Nicholas Martinez"/>
        <s v="Katie Berger"/>
        <s v="Robert Sosa"/>
        <s v="Anna Hernandez"/>
        <s v="Robert Nichols"/>
        <s v="Angel Gutierrez"/>
        <s v="Stephanie Frank"/>
        <s v="Cindy Anderson"/>
        <s v="Jon Hernandez"/>
        <s v="David Alvarez"/>
        <s v="John Perry"/>
        <s v="Amanda Schroeder"/>
        <s v="Kendra Alvarado"/>
        <s v="Melanie Howe"/>
        <s v="Kathryn Chang"/>
        <s v="Javier Williams"/>
        <s v="Cynthia Rhodes"/>
        <s v="Travis Boyd"/>
        <s v="Ashley Williams"/>
        <s v="Christine Decker"/>
        <s v="Brandon Flowers"/>
        <s v="Amy Clark"/>
        <s v="Timothy Smith"/>
        <s v="Maureen Cohen"/>
        <s v="Crystal Ortiz"/>
        <s v="Joshua Knight"/>
        <s v="Rachael Terrell"/>
        <s v="Kimberly Andrews"/>
        <s v="John Lawrence"/>
        <s v="Laura Chen"/>
        <s v="Lindsey Craig"/>
        <s v="Kristin Scott"/>
        <s v="Matthew Alvarez"/>
        <s v="Andrea Cortez"/>
        <s v="Heather Flores"/>
        <s v="Jill Eaton"/>
        <s v="Amy Potts"/>
        <s v="Antonio Woods"/>
        <s v="Cindy Zamora"/>
        <s v="Amanda Day"/>
        <s v="Miss Roberta Gonzalez MD"/>
        <s v="Brian Taylor"/>
        <s v="Mark Bonilla"/>
        <s v="Carrie Larson"/>
        <s v="Brian Howard"/>
        <s v="Darren Bailey"/>
        <s v="Wanda Medina"/>
        <s v="Kenneth Hooper"/>
        <s v="Eric Rogers"/>
        <s v="Trevor Lynch DVM"/>
        <s v="Amy Robinson"/>
        <s v="Jeremiah Salas"/>
        <s v="Jeff Dorsey"/>
        <s v="Shannon Bean"/>
        <s v="Allison Miller"/>
        <s v="Sean Rogers"/>
        <s v="William Wells"/>
        <s v="John Hayes"/>
        <s v="Hannah Jackson"/>
        <s v="Kim Chavez"/>
        <s v="Robert Burnett"/>
        <s v="Cory Evans"/>
        <s v="Amanda Benson"/>
        <s v="Ashley Martin"/>
        <s v="Courtney Smith"/>
        <s v="Selena Johnson"/>
        <s v="Anthony Contreras"/>
        <s v="Michelle Greene"/>
        <s v="Jennifer Ortiz"/>
        <s v="Russell King"/>
        <s v="Alyssa Horn"/>
        <s v="Carlos Valencia"/>
        <s v="Erica Smith"/>
        <s v="Brianna Bonilla"/>
        <s v="Steven Reed"/>
        <s v="Dr. Jacqueline Henry"/>
        <s v="Kathryn Green"/>
        <s v="Ashley Miller"/>
        <s v="Ricky Nelson"/>
        <s v="Joshua Greer"/>
        <s v="Nicholas Dennis"/>
        <s v="Crystal Hubbard"/>
        <s v="Jessica Garrett"/>
        <s v="Randall Bruce"/>
        <s v="Christopher Moore"/>
        <s v="James Aguilar"/>
        <s v="Mr. Wayne Fletcher DVM"/>
        <s v="Yvonne Perez"/>
        <s v="Michael Deleon"/>
        <s v="Miss Natalie Aguilar"/>
        <s v="Kevin Allison"/>
        <s v="Douglas Scott"/>
        <s v="Rachel Williams"/>
        <s v="Traci Jennings"/>
        <s v="Ryan Braun"/>
        <s v="Patrick Hill"/>
        <s v="Colin Osborne"/>
        <s v="Anthony Love"/>
        <s v="Mark Wood"/>
        <s v="Debra Romero"/>
        <s v="Edward Santos"/>
        <s v="Deborah Richmond"/>
        <s v="Nathan Washington"/>
        <s v="Kenneth Harris"/>
        <s v="Jeffrey Cook"/>
        <s v="Loretta Perry"/>
        <s v="Shelley Olson"/>
        <s v="Jason Tucker"/>
        <s v="Dawn Perkins"/>
        <s v="Cody Rogers"/>
        <s v="Michael Freeman"/>
        <s v="Kenneth Bennett"/>
        <s v="Ryan Bowen"/>
        <s v="Raymond Mcdonald"/>
        <s v="Richard Alexander"/>
        <s v="Tamara Hopkins"/>
        <s v="Ashley Fernandez"/>
        <s v="Christine Garcia"/>
        <s v="Julie Grant"/>
        <s v="Sharon Sharp"/>
        <s v="Thomas Nielsen"/>
        <s v="Michael Day"/>
        <s v="James Thompson"/>
        <s v="Jessica Wilkerson"/>
        <s v="Brian Young"/>
        <s v="Travis Watson"/>
        <s v="Elizabeth Vargas"/>
        <s v="Amy Garcia"/>
        <s v="Jason Davis PhD"/>
        <s v="Scott Stephenson"/>
        <s v="Sally Morales"/>
        <s v="William Doyle"/>
        <s v="Rebecca Lowery"/>
        <s v="Tina Wilson"/>
        <s v="Samantha Gould"/>
        <s v="Jessica Park"/>
        <s v="Kathy Smith"/>
        <s v="Maurice Mcconnell"/>
        <s v="Danielle Kaufman"/>
        <s v="Christine James"/>
        <s v="Michael Diaz"/>
        <s v="Tony Davis"/>
        <s v="Kelly Saunders"/>
        <s v="Steve Tran"/>
        <s v="Christopher Davis"/>
        <s v="Stephanie Franco"/>
        <s v="Kristie Williams"/>
        <s v="Stephanie King"/>
        <s v="Travis Thomas"/>
        <s v="Carol Young"/>
        <s v="Angela Wiggins"/>
        <s v="Diana Buchanan"/>
        <s v="George Moody"/>
        <s v="Michael Morris"/>
        <s v="James Hayes"/>
        <s v="Timothy Nash"/>
        <s v="Amanda Wolf"/>
        <s v="Barbara Thompson"/>
        <s v="Natasha Willis"/>
        <s v="Kathleen Sharp"/>
        <s v="Shirley Mann"/>
        <s v="Sarah Nguyen"/>
        <s v="Austin Warner"/>
        <s v="Heather Hall"/>
        <s v="Colin Dillon"/>
        <s v="Brittany Perkins"/>
        <s v="Patricia Stokes"/>
        <s v="Brenda Lewis"/>
        <s v="Catherine Good"/>
        <s v="Walter Jenkins"/>
        <s v="James Leonard"/>
        <s v="Sarah Craig"/>
        <s v="Sheila Crawford"/>
        <s v="Annette Miller"/>
        <s v="Michael Green"/>
        <s v="Kimberly Morris"/>
        <s v="James Soto"/>
        <s v="Scott Bryant"/>
        <s v="Teresa Carlson"/>
        <s v="Jennifer Richardson"/>
        <s v="Karen Bridges"/>
        <s v="Amy Riley"/>
        <s v="Deanna Woods"/>
        <s v="Sharon Reed"/>
        <s v="Rachel Brown"/>
        <s v="Richard Lopez"/>
        <s v="Jordan Pierce"/>
        <s v="Andrew Sharp"/>
        <s v="Kimberly Mitchell"/>
        <s v="Patricia Stanley"/>
        <s v="Gabriel Browning"/>
        <s v="Kaitlin Thompson"/>
        <s v="April Nichols"/>
        <s v="Susan Solis"/>
        <s v="Melissa Flowers"/>
        <s v="Sydney Chambers"/>
        <s v="Laurie Potter"/>
        <s v="Robyn Downs"/>
        <s v="Sara Duffy"/>
        <s v="Lisa Frederick"/>
        <s v="John Kim"/>
        <s v="Ashley Hernandez"/>
        <s v="Toni Allison"/>
        <s v="John Irwin"/>
        <s v="Randall Mcdonald"/>
        <s v="Matthew Estes"/>
        <s v="Alexandra Washington"/>
        <s v="Joshua Warren"/>
        <s v="Jeff Holland"/>
        <s v="Kristina Gutierrez"/>
        <s v="Briana Ford"/>
        <s v="Gregory Douglas"/>
        <s v="Michelle Williams"/>
        <s v="Brenda Cooper"/>
        <s v="Nathaniel Ramos"/>
        <s v="Angela Hart MD"/>
        <s v="Valerie Miles"/>
        <s v="Timothy Murphy"/>
        <s v="Amanda Love"/>
        <s v="Charles Friedman"/>
        <s v="Jamie Wilkerson"/>
        <s v="Joshua Wade"/>
        <s v="Hailey Braun"/>
        <s v="Lauren Kelley"/>
        <s v="Nancy Palmer"/>
        <s v="Tiffany Baker"/>
        <s v="Jennifer Vargas"/>
        <s v="Jeffrey Powell"/>
        <s v="Jillian Castillo"/>
        <s v="Mr. Robert Washington"/>
        <s v="Nancy Carroll"/>
        <s v="Christopher Terrell"/>
        <s v="Erin Alvarado"/>
        <s v="Brenda Williams"/>
        <s v="Kendra James MD"/>
        <s v="Tanya Johnson"/>
        <s v="Kim Mendez"/>
        <s v="Daniel Hale"/>
        <s v="Lisa Weaver"/>
        <s v="Gabriel Williams"/>
        <s v="Kevin Gilbert"/>
        <s v="Tyrone Brown"/>
        <s v="Krystal Cortez"/>
        <s v="Theresa Barnes"/>
        <s v="Elizabeth Obrien"/>
        <s v="Crystal Mercer"/>
        <s v="Crystal Campbell"/>
        <s v="Linda Figueroa"/>
        <s v="Jesse Peck"/>
        <s v="Yvonne Williams"/>
        <s v="Randy Miller"/>
        <s v="Julia Fuentes"/>
        <s v="Michaela Key"/>
        <s v="Benjamin Hicks"/>
        <s v="Amanda Gonzalez"/>
        <s v="Brittney Perez"/>
        <s v="Matthew Valenzuela"/>
        <s v="Michael Ball"/>
        <s v="Nicholas Mitchell"/>
        <s v="Alec Santos"/>
        <s v="Karen Flores"/>
        <s v="Courtney Pearson"/>
        <s v="Bethany Johnson"/>
        <s v="Lawrence Turner"/>
        <s v="Nicholas Miller"/>
        <s v="Tracy Howard"/>
        <s v="Jessica Stone"/>
        <s v="Brandy Sellers"/>
        <s v="Andrea Parker"/>
        <s v="Carlos Hernandez"/>
        <s v="Marvin Williams"/>
        <s v="Brittney Hamilton"/>
        <s v="Sharon Russell"/>
        <s v="Shelly Richardson"/>
        <s v="Alexander Cox"/>
        <s v="Jessica White"/>
        <s v="David Hawkins"/>
        <s v="Thomas Pham"/>
        <s v="Karen Brown"/>
        <s v="Elizabeth Ingram"/>
        <s v="Jermaine Hicks"/>
        <s v="Mary Gomez"/>
        <s v="Adrian Martinez"/>
        <s v="Joshua Obrien"/>
        <s v="Brianna Little"/>
        <s v="Todd Smith"/>
        <s v="Michael Lee"/>
        <s v="Sandra Hobbs"/>
        <s v="Walter Stanton"/>
        <s v="Wendy Ellison"/>
        <s v="Robert Gray"/>
        <s v="Holly Mclean"/>
        <s v="Rebekah Wolf"/>
        <s v="Laura Hernandez"/>
        <s v="Brandon Richmond"/>
        <s v="Paul Thompson"/>
        <s v="Tyler Curtis"/>
        <s v="Mrs. Andrea Skinner MD"/>
        <s v="Jeff Bowman"/>
        <s v="Alexandra Perez"/>
        <s v="Todd Lynch"/>
        <s v="Alan Beard"/>
        <s v="Stephanie Jensen"/>
        <s v="Nicholas Morgan"/>
        <s v="Mr. Kenneth Anderson"/>
        <s v="Brian Craig"/>
        <s v="Andrea West"/>
        <s v="Sara Miller"/>
        <s v="Steven Sharp"/>
        <s v="Sandra Hudson"/>
        <s v="Joseph Williams"/>
        <s v="Brian Wells"/>
        <s v="Justin Charles"/>
        <s v="Hannah Allen"/>
        <s v="Jennifer Hall"/>
        <s v="Angela Carlson"/>
        <s v="David Garner"/>
        <s v="Antonio Crosby"/>
        <s v="Erin Kim"/>
        <s v="Paul Harvey"/>
        <s v="Christopher Kidd"/>
        <s v="Wesley Valencia"/>
        <s v="Janet Chang"/>
        <s v="Ashley Bishop"/>
        <s v="Rebecca Marsh"/>
        <s v="Ebony Jones"/>
        <s v="Frederick Henry"/>
        <s v="Janet Lopez"/>
        <s v="Frank Mitchell"/>
        <s v="Matthew Cole"/>
        <s v="Daniel Perez"/>
        <s v="Caroline Roth"/>
        <s v="Tami Leonard"/>
        <s v="Gerald Snow"/>
        <s v="Alexis Wu"/>
        <s v="Angela Miller"/>
        <s v="Stephanie Thomas"/>
        <s v="Elizabeth Ford"/>
        <s v="Scott Kent"/>
        <s v="Eric Fletcher"/>
        <s v="Paul Smith"/>
        <s v="Walter Pham"/>
        <s v="Kaylee Wilkins"/>
        <s v="Christina Barnes"/>
        <s v="Mark Olson"/>
        <s v="Amanda Berry"/>
        <s v="Robert Kelly"/>
        <s v="Sean Medina"/>
        <s v="Benjamin Boyd"/>
        <s v="Julie Jones"/>
        <s v="Tanner Nguyen"/>
        <s v="Maria Morris"/>
        <s v="Dylan Serrano"/>
        <s v="Samantha Wells"/>
        <s v="Mike Velasquez"/>
        <s v="Margaret Hall"/>
        <s v="Robert Perry MD"/>
        <s v="Wesley Lopez"/>
        <s v="Mary Lopez"/>
        <s v="Roger Bennett"/>
        <s v="Ashley Manning"/>
        <s v="Isaac Watson"/>
        <s v="Timothy Wilson"/>
        <s v="Larry Yang"/>
        <s v="Betty Espinoza MD"/>
        <s v="Stephanie Johnson"/>
        <s v="Denise Crawford"/>
        <s v="Matthew Bates"/>
        <s v="Julie Gomez"/>
        <s v="Michele Martin"/>
        <s v="James Maddox"/>
        <s v="Richard Dyer"/>
        <s v="Tracy Mitchell"/>
        <s v="Norman Henderson"/>
        <s v="Brent Gutierrez"/>
        <s v="Stephen Wright"/>
        <s v="Daryl Reynolds"/>
        <s v="Meghan Robinson"/>
        <s v="Patricia Mcbride"/>
        <s v="Lisa Larsen"/>
        <s v="Timothy Brown"/>
        <s v="Lindsey Kelly"/>
        <s v="Kathleen Hill"/>
        <s v="Laura Graham"/>
        <s v="Kayla Foster"/>
        <s v="Rick Peters"/>
        <s v="Cindy Simmons"/>
        <s v="Natalie Smith"/>
        <s v="Samuel Torres Jr."/>
        <s v="Robert White"/>
        <s v="Cynthia Johnson"/>
        <s v="Ana Davis"/>
        <s v="Alyssa Patel"/>
        <s v="Jennifer Schultz"/>
        <s v="Janice Ballard"/>
        <s v="Gregg Beck"/>
        <s v="Stephen Rivera"/>
        <s v="Phillip Lutz"/>
        <s v="Robert Miller"/>
        <s v="Jacqueline Cochran"/>
        <s v="Stephanie Thompson"/>
        <s v="Ricardo Miller"/>
        <s v="Julie Anthony"/>
        <s v="Jonathan Hughes"/>
        <s v="Wanda Ramos"/>
        <s v="Joanne Walls"/>
        <s v="Stacie Santiago"/>
        <s v="Casey Watkins"/>
        <s v="Felicia Saunders"/>
        <s v="Richard Sanders"/>
        <s v="Sherri Roth"/>
        <s v="Mallory Lee DVM"/>
        <s v="Briana Robles"/>
        <s v="Erin Martin"/>
        <s v="Jeffrey Wiggins"/>
        <s v="Julie Welch MD"/>
        <s v="Jennifer Leblanc"/>
        <s v="James Case DDS"/>
        <s v="Wesley Jackson"/>
        <s v="Joe Schmitt"/>
        <s v="Maria Blackburn"/>
        <s v="Angela Diaz"/>
        <s v="Garrett Hall"/>
        <s v="Brandi Powell"/>
        <s v="Laura Robertson"/>
        <s v="Lisa Kline"/>
        <s v="Emily Rhodes"/>
        <s v="Kevin Skinner"/>
        <s v="Kathy Patel"/>
        <s v="Charles Mcgee"/>
        <s v="Timothy Farley PhD"/>
        <s v="Jasmine Mcgee"/>
        <s v="Karen Houston"/>
        <s v="Suzanne Thomas"/>
        <s v="Francisco Flowers"/>
        <s v="Lisa Reid"/>
        <s v="Kathy Tate"/>
        <s v="Tara Rivas"/>
        <s v="Derek Richards"/>
        <s v="Lisa James"/>
        <s v="Brian Wallace"/>
        <s v="Daniel Reyes"/>
        <s v="Kevin Wong"/>
        <s v="Kaitlin Baldwin"/>
        <s v="Andrew Brown"/>
        <s v="Danielle Nguyen"/>
        <s v="David Walker"/>
        <s v="Tanya Pham"/>
        <s v="Sean Cunningham"/>
        <s v="Virginia Rowland"/>
        <s v="Megan Nixon"/>
        <s v="Albert Fowler"/>
        <s v="Michael Garcia"/>
        <s v="Matthew Jones"/>
        <s v="Stacy Graves"/>
        <s v="Chelsea Hunter"/>
        <s v="Jamie Meyer"/>
        <s v="Kimberly Harrison"/>
        <s v="Edward Anderson"/>
        <s v="Morgan Sharp"/>
        <s v="Nicholas Bryant"/>
        <s v="Timothy Peterson"/>
        <s v="Andrew Lopez"/>
        <s v="Olivia Decker"/>
        <s v="Albert Garcia"/>
        <s v="Donald Simmons"/>
        <s v="Cheryl Baker"/>
        <s v="Zachary Robinson"/>
        <s v="Mark Bailey"/>
        <s v="Christine Davenport"/>
        <s v="William Vargas"/>
        <s v="David Quinn"/>
        <s v="Jeffrey Wilson"/>
        <s v="Sara Woods"/>
        <s v="Miguel Reed"/>
        <s v="Cynthia Fox"/>
        <s v="Danielle Hernandez"/>
        <s v="David Davis"/>
        <s v="Megan Johnson"/>
        <s v="Maurice Craig"/>
        <s v="Jerry Gutierrez"/>
        <s v="Lauren Smith"/>
        <s v="Amy Kim"/>
        <s v="George Thomas"/>
        <s v="John Blankenship"/>
        <s v="Chris Russell"/>
        <s v="Terri Patton"/>
        <s v="Daniel Haney"/>
        <s v="Charlene Knight"/>
        <s v="Karina Lee"/>
        <s v="Rebecca West"/>
        <s v="Jennifer Simpson"/>
        <s v="Ronnie Oconnor"/>
        <s v="Jason Rivera"/>
        <s v="Jody Park"/>
        <s v="Daniel Hicks"/>
        <s v="Nicholas Molina"/>
        <s v="James Juarez"/>
        <s v="Gary Smith"/>
        <s v="Angie Garza"/>
        <s v="Preston Gomez"/>
        <s v="Chelsea Singleton"/>
        <s v="Molly Adams"/>
        <s v="Mario Ponce"/>
        <s v="Joel Martinez"/>
        <s v="Carol Williams"/>
        <s v="Angela Palmer"/>
        <s v="Charles Morgan"/>
        <s v="Jacob Taylor"/>
        <s v="Adam Rowe"/>
        <s v="Danielle Archer"/>
        <s v="Alfred Harris"/>
        <s v="Joel Johnson MD"/>
        <s v="Amy Miller"/>
        <s v="Alexandra Jones"/>
        <s v="John Lee"/>
        <s v="Brendan Martin"/>
        <s v="James Olson"/>
        <s v="Christina Simmons"/>
        <s v="Tina Williams"/>
        <s v="Julie Moon MD"/>
        <s v="Bailey Keller"/>
        <s v="Bryan Conway"/>
        <s v="Alexander Gonzalez"/>
        <s v="Elizabeth Mills"/>
        <s v="Jeffrey Kennedy"/>
        <s v="Lauren Harrell"/>
        <s v="Morgan Bullock"/>
        <s v="Paige Mosley"/>
        <s v="Johnny Good"/>
        <s v="Brittany Torres"/>
        <s v="Kelly Willis"/>
        <s v="Kara Howell"/>
        <s v="Christopher Cannon"/>
        <s v="Kathleen Rose"/>
        <s v="Travis Wells"/>
        <s v="Christine Wilson"/>
        <s v="Deborah Frederick"/>
        <s v="Robert Goodwin"/>
        <s v="Amanda Mclaughlin"/>
        <s v="Peter Merritt"/>
        <s v="Christopher Rice"/>
        <s v="Laurie Martinez"/>
        <s v="Dave Williams"/>
        <s v="Lori Alexander"/>
        <s v="Misty Higgins"/>
        <s v="Brandon Ritter"/>
        <s v="Jacob Conrad"/>
        <s v="Jessica Nguyen"/>
        <s v="Spencer Collins"/>
        <s v="Nathan Lyons"/>
        <s v="Eric Stone"/>
        <s v="Anthony Smith"/>
        <s v="Lindsey Merritt"/>
        <s v="Richard Fuentes"/>
        <s v="Kimberly Ward"/>
        <s v="David Wheeler"/>
        <s v="Alicia Jones"/>
        <s v="Jonathan Leonard"/>
        <s v="Michelle Duncan"/>
        <s v="Jennifer Hancock"/>
        <s v="Tamara Ross"/>
        <s v="Miranda Gutierrez"/>
        <s v="Jennifer Mills"/>
        <s v="Shawn Campos"/>
        <s v="William Nelson"/>
        <s v="Stephen Williamson"/>
        <s v="Brittany Jones"/>
        <s v="Amber Morales"/>
        <s v="Johnathan Owens"/>
        <s v="Clinton Ross"/>
        <s v="Brian Alexander"/>
        <s v="Dylan Harris"/>
        <s v="Charlene Garrett"/>
        <s v="Brian Sims"/>
        <s v="Gloria Barrett"/>
        <s v="Edward Porter"/>
        <s v="Mark Soto"/>
        <s v="Cameron Medina"/>
        <s v="Gabriel Chen"/>
        <s v="Dennis Bryant"/>
        <s v="Rebecca Newman"/>
        <s v="Sean Nelson"/>
        <s v="Jeffrey Levy"/>
        <s v="Mason Ruiz"/>
        <s v="Patrick Frye"/>
        <s v="Heather Gibson"/>
        <s v="Nicole Miller MD"/>
        <s v="Megan Simpson"/>
        <s v="Nathaniel Martin Jr."/>
        <s v="Melissa Fleming"/>
        <s v="Mr. Michael Martinez"/>
        <s v="Jeremy Hendricks"/>
        <s v="Harold Adams"/>
        <s v="Angela Kidd"/>
        <s v="Eric Ellison"/>
        <s v="Douglas Cummings"/>
        <s v="Susan Haynes"/>
        <s v="Melissa Mcdonald"/>
        <s v="Christine Lewis"/>
        <s v="Andrea Smith"/>
        <s v="Alexander Page"/>
        <s v="Kyle Salinas"/>
        <s v="Justin Black"/>
        <s v="Lisa Norris"/>
        <s v="Casey Johnson MD"/>
        <s v="Timothy Thomas"/>
        <s v="Robert Ballard"/>
        <s v="Michael Martin"/>
        <s v="George Bishop"/>
        <s v="Jesse Wilson"/>
        <s v="Robert Cox"/>
        <s v="Maria Yang"/>
        <s v="Susan Freeman"/>
        <s v="Frederick Allen"/>
        <s v="Jesse Bush"/>
        <s v="Kelly Baker"/>
        <s v="Jessica Fox"/>
        <s v="Tammy Vargas"/>
        <s v="Shelby Bowen"/>
        <s v="Joy Ingram"/>
        <s v="William Gibson"/>
        <s v="Jennifer Buckley"/>
        <s v="Alicia Curry"/>
        <s v="Rebecca Palmer"/>
        <s v="Benjamin Frye"/>
        <s v="Frank Griffin"/>
        <s v="Kenneth Griffith"/>
        <s v="Rick Taylor"/>
        <s v="Susan Barajas"/>
        <s v="Randy Burke"/>
        <s v="Thomas Martin"/>
        <s v="Peggy Hill"/>
        <s v="Charles Francis"/>
        <s v="Tracy Mejia"/>
        <s v="Miguel Edwards"/>
        <s v="Jessica Hudson"/>
        <s v="Mr. Mark Wolfe"/>
        <s v="Mary Long"/>
        <s v="Michael Pierce"/>
        <s v="Paul Frederick"/>
        <s v="Connie Meyer"/>
        <s v="Christina Crawford"/>
        <s v="Luis Flores"/>
        <s v="Catherine Mendoza"/>
        <s v="Matthew Thomas"/>
        <s v="Ryan Porter"/>
        <s v="Amy Kline"/>
        <s v="Joel Chambers"/>
        <s v="Joseph Gilmore MD"/>
        <s v="Veronica Goodwin"/>
        <s v="Eric Bridges"/>
        <s v="Vickie Brown DDS"/>
        <s v="Margaret Porter"/>
        <s v="Whitney Nelson"/>
        <s v="Karen Harmon"/>
        <s v="Andrew Forbes"/>
        <s v="David Chambers"/>
        <s v="Alyssa Nichols"/>
        <s v="Joshua Oconnor"/>
        <s v="Edward Fischer"/>
        <s v="Mark West PhD"/>
        <s v="Stephanie Cook"/>
        <s v="Marilyn Garcia"/>
        <s v="Suzanne Doyle"/>
        <s v="Maria Garcia"/>
        <s v="Michael Knight"/>
        <s v="Shelly Jordan"/>
        <s v="Andrea Perry"/>
        <s v="Raymond Robinson"/>
        <s v="Catherine Spencer"/>
        <s v="Tara Day"/>
        <s v="Heather Knight"/>
        <s v="Patricia Jackson"/>
        <s v="Taylor Maxwell"/>
        <s v="Justin Rice"/>
        <s v="Valerie Grant"/>
        <s v="Trevor Higgins"/>
        <s v="Rodney Ellis"/>
        <s v="Dale Davis"/>
        <s v="Paul Lewis"/>
        <s v="Daniel Blanchard"/>
        <s v="Rachel Harris"/>
        <s v="Patricia Moore"/>
        <s v="Linda Dunn"/>
        <s v="Kendra May"/>
        <s v="Lori Martin"/>
        <s v="Justin Walker"/>
        <s v="Brianna Patel"/>
        <s v="Jennifer Anderson"/>
        <s v="Wendy Sandoval"/>
        <s v="Paul Allen"/>
        <s v="Scott Griffin"/>
        <s v="Matthew Bryant"/>
        <s v="Melinda Hood"/>
        <s v="Tiffany Smith"/>
        <s v="Denise Ashley"/>
        <s v="Donna Rodriguez"/>
        <s v="Scott Lee"/>
        <s v="Michelle Cruz"/>
        <s v="Michelle Morrow"/>
        <s v="Tina Hartman"/>
        <s v="Gregory Pierce"/>
        <s v="Christine Brock"/>
        <s v="Christine Young"/>
        <s v="James Villarreal"/>
        <s v="Timothy Sheppard"/>
        <s v="William Goodman"/>
        <s v="Robert Rogers"/>
        <s v="Robin Ortiz"/>
        <s v="Gerald Drake"/>
        <s v="Brittany Brown"/>
        <s v="Shelby Johnson"/>
        <s v="Melissa Larson"/>
        <s v="Cindy Bowen"/>
        <s v="Elizabeth Deleon"/>
        <s v="Timothy Tyler"/>
        <s v="Danielle Jones"/>
        <s v="Jeffrey Maynard"/>
        <s v="Bonnie Huerta"/>
        <s v="Xavier Sampson"/>
        <s v="Karen Clayton"/>
        <s v="Mr. David Green MD"/>
        <s v="Jason Watson"/>
        <s v="Tammy Smith"/>
        <s v="David Gillespie"/>
        <s v="Brittany Sweeney"/>
        <s v="Michelle Kennedy"/>
        <s v="Bryan Molina"/>
        <s v="Cody Williams"/>
        <s v="Kelly Henry"/>
        <s v="Brian Clark"/>
        <s v="Dale Palmer"/>
        <s v="Sandra Ho"/>
        <s v="Andrew Perry"/>
        <s v="Jennifer Casey"/>
        <s v="Jeffrey Dalton"/>
        <s v="Nicholas Mclaughlin"/>
        <s v="Juan Morris"/>
        <s v="Patrick Olson"/>
        <s v="Yvonne Gibbs"/>
        <s v="Monique Robles"/>
        <s v="Melissa Davila"/>
        <s v="Jessica Ward"/>
        <s v="Nicholas Glenn"/>
        <s v="Linda Taylor"/>
        <s v="Cynthia Vargas DDS"/>
        <s v="Kelly Contreras"/>
        <s v="Mathew Jackson"/>
        <s v="Kathleen Villarreal"/>
        <s v="Nancy Guerrero"/>
        <s v="Melissa Parker"/>
        <s v="Paul Orozco"/>
        <s v="Edward Saunders"/>
        <s v="Christopher Haley"/>
        <s v="Elizabeth Smith"/>
        <s v="Daniel Burnett"/>
        <s v="Michelle Gonzalez"/>
        <s v="Cheryl Allen"/>
        <s v="Scott Levine"/>
        <s v="Kimberly Lee"/>
        <s v="Dana Erickson"/>
        <s v="Paul West"/>
        <s v="Jeremy Garcia"/>
        <s v="Briana Greer"/>
        <s v="Thomas White"/>
        <s v="Elaine Cohen"/>
        <s v="Caroline Perry"/>
        <s v="Joyce Dixon"/>
        <s v="John Woods"/>
        <s v="Mariah Kidd"/>
        <s v="Sabrina Copeland"/>
        <s v="Brandi Walker"/>
        <s v="Sarah Clark"/>
        <s v="Daniel Bernard"/>
        <s v="Jennifer Manning"/>
        <s v="Gregory Daugherty"/>
        <s v="Brenda Rodriguez"/>
        <s v="Pamela Wolf"/>
        <s v="Angela Leon"/>
        <s v="Jeffery Hubbard"/>
        <s v="Dawn Barrett"/>
        <s v="Evelyn Mckenzie"/>
        <s v="Michelle Smith"/>
        <s v="Anita Ramirez"/>
        <s v="Donna Terry"/>
        <s v="George Gonzales"/>
        <s v="Samantha Mora"/>
        <s v="Max Everett"/>
        <s v="Crystal Thomas"/>
        <s v="William Johnson"/>
        <s v="Henry Bryan"/>
        <s v="Melanie Wolf"/>
        <s v="Tammy Hatfield"/>
        <s v="Erin Beck"/>
        <s v="Sandra Patrick"/>
        <s v="Alan Hall"/>
        <s v="Cathy Zamora"/>
        <s v="Jennifer Fowler"/>
        <s v="Lindsay Harris"/>
        <s v="Richard Gregory"/>
        <s v="Matthew Ortega"/>
        <s v="Nathan Maynard"/>
        <s v="Stacie Duncan"/>
        <s v="Hannah Nguyen"/>
        <s v="Keith Jones"/>
        <s v="Barbara Gutierrez"/>
        <s v="Christine Burns"/>
        <s v="Courtney Munoz"/>
        <s v="Jason Bradley"/>
        <s v="Nicholas Cox"/>
        <s v="Emily Sosa"/>
        <s v="Daniel Mullins"/>
        <s v="Jessica Villa DDS"/>
        <s v="Benjamin Jenkins"/>
        <s v="Amanda Simmons"/>
        <s v="Kevin Carson"/>
        <s v="Wendy Coleman"/>
        <s v="Jessica Bradley"/>
        <s v="Michelle Clayton"/>
        <s v="Gregory Mitchell"/>
        <s v="Justin Frye"/>
        <s v="Julia Campbell"/>
        <s v="George Macdonald"/>
        <s v="Christopher Gordon"/>
        <s v="Kristen Alexander"/>
        <s v="Debbie Cross"/>
        <s v="Holly Lopez"/>
        <s v="Leslie Castro"/>
        <s v="Joshua Carter"/>
        <s v="Cheyenne Benson"/>
        <s v="Allison Hill"/>
        <s v="John Davis"/>
        <s v="Cynthia Fisher"/>
        <s v="Carolyn Mitchell"/>
        <s v="Katrina Pugh"/>
        <s v="Marissa Howard"/>
        <s v="Amanda Dixon"/>
        <s v="Sarah Bradley DDS"/>
        <s v="Dylan Price"/>
        <s v="Kevin Walker"/>
        <s v="Caitlin Baker"/>
        <s v="Cassandra Gill"/>
        <s v="Joy Hester"/>
        <s v="James Cooper"/>
        <s v="Christopher Bell"/>
        <s v="Erin Rodriguez"/>
        <s v="Hector Morris"/>
        <s v="Regina Wilson"/>
        <s v="Felicia Young"/>
        <s v="Rachel Martin"/>
        <s v="John Brown MD"/>
        <s v="Shawn Campbell"/>
        <s v="Andrew Berger"/>
        <s v="Scott Hernandez"/>
        <s v="Zachary Price"/>
        <s v="Adrian Cross"/>
        <s v="Katie Ryan"/>
        <s v="Mark Peters"/>
        <s v="Tanner Gates"/>
        <s v="Steve Gonzalez"/>
        <s v="Hector Brewer"/>
        <s v="Rebecca Burnett"/>
        <s v="Thomas Cole"/>
        <s v="Wesley Walker"/>
        <s v="Corey Sanchez"/>
        <s v="Christopher Stone"/>
        <s v="Ricky Hudson"/>
        <s v="April Anderson"/>
        <s v="Anthony Patrick"/>
        <s v="Shelly Garcia"/>
        <s v="Barbara Moore"/>
        <s v="Calvin Wright"/>
        <s v="Alicia White"/>
        <s v="Patrick Mendez"/>
        <s v="Cindy Webb"/>
        <s v="Nicholas Callahan"/>
        <s v="Olivia Knox"/>
        <s v="Jonathan Blake"/>
        <s v="Stephen Jensen"/>
        <s v="Diane Powers"/>
        <s v="Jill Singh"/>
        <s v="Rebecca Mullins"/>
        <s v="Sarah Cruz"/>
        <s v="Suzanne Medina"/>
        <s v="Sean Pruitt"/>
        <s v="Mark Frazier"/>
        <s v="Linda Simpson"/>
        <s v="Amanda Mckenzie"/>
        <s v="Eric Perry MD"/>
        <s v="Dwayne Hampton"/>
        <s v="Monica Young"/>
        <s v="Allison Franklin"/>
        <s v="Luis Gardner"/>
        <s v="Christina Odonnell"/>
        <s v="Raymond Vincent"/>
        <s v="Crystal Martin"/>
        <s v="Emily Kennedy"/>
        <s v="Michelle Scott"/>
        <s v="Jeffery Howard"/>
        <s v="Michelle Chapman"/>
        <s v="Derek Holder"/>
        <s v="Kathleen Collins"/>
        <s v="Alyssa Figueroa"/>
        <s v="Crystal Beasley"/>
        <s v="Shelly Wilson"/>
        <s v="Marie Hansen"/>
        <s v="Samantha Ruiz"/>
        <s v="Justin Melton"/>
        <s v="Thomas Camacho"/>
        <s v="Kristin Gould"/>
        <s v="Wayne Johnson"/>
        <s v="Leslie Chandler"/>
        <s v="Alyssa Perry"/>
        <s v="Mr. Tyrone Kaiser"/>
        <s v="Vickie Cooper"/>
        <s v="Mark Vang"/>
        <s v="Nancy Owens"/>
        <s v="Anthony Thompson"/>
        <s v="Robert Odom"/>
        <s v="Connor Meza"/>
        <s v="Allison Hammond"/>
        <s v="Kimberly Garcia"/>
        <s v="Mary Johnson"/>
        <s v="Timothy Grant"/>
        <s v="Michael Lynch"/>
        <s v="Willie Sherman"/>
        <s v="Sandra Kemp"/>
        <s v="Gregory Ponce"/>
        <s v="Bridget Galvan"/>
        <s v="Andrea Schneider"/>
        <s v="Stephen Burton"/>
        <s v="Tara Villegas"/>
        <s v="David Murphy"/>
        <s v="Franklin Harrell"/>
        <s v="Robert Jones"/>
        <s v="Kevin Peters"/>
        <s v="Cynthia Andrews"/>
        <s v="Allison Bennett"/>
        <s v="Tracey Fischer"/>
        <s v="Michelle Jones"/>
        <s v="Kevin Kim"/>
        <s v="Lisa Delacruz"/>
        <s v="Aaron Adams"/>
        <s v="Megan Ellis"/>
        <s v="Lisa Shaw"/>
        <s v="Ryan Barker"/>
        <s v="Logan Phillips"/>
        <s v="Michael Brown"/>
        <s v="Mike Hayes"/>
        <s v="Kyle Gomez"/>
        <s v="Savannah Peters"/>
        <s v="Terry Short MD"/>
        <s v="Valerie Smith"/>
        <s v="James Clay"/>
        <s v="Kathleen Nelson"/>
        <s v="Sean Hensley"/>
        <s v="Brooke Elliott"/>
        <s v="Kathryn Burch"/>
        <s v="Anthony Rodriguez"/>
        <s v="Lisa Thornton"/>
        <s v="Jeremiah Reese"/>
        <s v="Nicholas Harris"/>
        <s v="Carol Mack"/>
        <s v="Traci Singleton"/>
        <s v="John Williams"/>
        <s v="Gabriella George"/>
        <s v="Richard Gutierrez"/>
        <s v="Christopher Phillips"/>
        <s v="Charles Kelly"/>
        <s v="Stephanie Flores"/>
        <s v="Carrie Mclaughlin"/>
        <s v="Mario Smith"/>
        <s v="Roger Blake"/>
        <s v="Christopher Shepherd"/>
        <s v="Bill Turner"/>
        <s v="Amanda Rich"/>
        <s v="Patricia Pham"/>
        <s v="Anthony Ruiz"/>
        <s v="Michael Webb"/>
        <s v="Amanda Rios"/>
        <s v="Tina Russell"/>
        <s v="Shirley Stevens"/>
        <s v="Christopher Chen"/>
        <s v="Alison Weber MD"/>
        <s v="Tiffany Johnson"/>
        <s v="Austin Meadows"/>
        <s v="Joshua Hill"/>
        <s v="Lisa Fisher"/>
        <s v="Jennifer Shaw"/>
        <s v="Steven Schwartz"/>
        <s v="Samantha Arnold"/>
        <s v="Richard Murray"/>
        <s v="Walter Nolan"/>
        <s v="Larry Holland"/>
        <s v="Erica Clay"/>
        <s v="Christine Henderson"/>
        <s v="Mitchell Lloyd"/>
        <s v="Nicholas Johnson"/>
        <s v="Miss Alexa Smith"/>
        <s v="Gerald Webb"/>
        <s v="David Harper"/>
        <s v="Mrs. Jessica Thompson"/>
        <s v="Sarah Brooks"/>
        <s v="Brenda Gonzales"/>
        <s v="Joseph Pennington"/>
        <s v="Erin Johnson"/>
        <s v="Elizabeth Garcia"/>
        <s v="Nathan Webb"/>
        <s v="Kathryn Swanson"/>
        <s v="Lisa Nelson"/>
        <s v="Donald George"/>
        <s v="Preston Carroll"/>
        <s v="Timothy Hamilton"/>
        <s v="Jonathan Meadows"/>
        <s v="Keith Manning"/>
        <s v="Ryan West"/>
        <s v="Allen Williams"/>
        <s v="Jonathan Hill"/>
        <s v="Alejandro Cochran"/>
        <s v="Angela Adkins"/>
        <s v="Zachary Werner"/>
      </sharedItems>
    </cacheField>
    <cacheField name="Product_Category" numFmtId="0">
      <sharedItems count="6">
        <s v="Jeans"/>
        <s v="Jackets"/>
        <s v="Shoes"/>
        <s v="Accessories"/>
        <s v="T-Shirts"/>
        <s v="Dresses"/>
      </sharedItems>
    </cacheField>
    <cacheField name="Product_Name" numFmtId="0">
      <sharedItems count="24">
        <s v="Slim Fit Jeans"/>
        <s v="Puffer Coat"/>
        <s v="Loafers"/>
        <s v="Belts"/>
        <s v="Crop Top"/>
        <s v="Boyfriend Jeans"/>
        <s v="Casual Midi"/>
        <s v="Sunglasses"/>
        <s v="Oversized T-shirt"/>
        <s v="Straight Cut"/>
        <s v="Sneakers"/>
        <s v="Maxi Dress"/>
        <s v="Wrap Dress"/>
        <s v="Slip-ons"/>
        <s v="Classic Tee"/>
        <s v="Bomber Jacket"/>
        <s v="Graphic Tee"/>
        <s v="Boots"/>
        <s v="Denim Jacket"/>
        <s v="Bodycon"/>
        <s v="Ripped Denim"/>
        <s v="Watches"/>
        <s v="Leather Jacket"/>
        <s v="Caps"/>
      </sharedItems>
    </cacheField>
    <cacheField name="Units_Sold" numFmtId="0">
      <sharedItems containsSemiMixedTypes="0" containsString="0" containsNumber="1" containsInteger="1" minValue="-2" maxValue="6"/>
    </cacheField>
    <cacheField name="Unit_Price" numFmtId="0">
      <sharedItems containsString="0" containsBlank="1" containsNumber="1" minValue="400.21" maxValue="4998.91"/>
    </cacheField>
    <cacheField name="Total_price" numFmtId="0">
      <sharedItems containsSemiMixedTypes="0" containsString="0" containsNumber="1" minValue="-9898.34" maxValue="29907.899999999998"/>
    </cacheField>
    <cacheField name="Discount_%" numFmtId="0">
      <sharedItems containsString="0" containsBlank="1" containsNumber="1" minValue="0" maxValue="1.3" count="131">
        <n v="0.6"/>
        <m/>
        <n v="0.27"/>
        <n v="0.21"/>
        <n v="0.62"/>
        <n v="0.7"/>
        <n v="0.15"/>
        <n v="1.19"/>
        <n v="0.94"/>
        <n v="1.1000000000000001"/>
        <n v="0.56000000000000005"/>
        <n v="0.92"/>
        <n v="0.41"/>
        <n v="0.56999999999999995"/>
        <n v="1.29"/>
        <n v="0.04"/>
        <n v="1.08"/>
        <n v="0.19"/>
        <n v="0.33"/>
        <n v="1.3"/>
        <n v="1.1299999999999999"/>
        <n v="0.18"/>
        <n v="1.06"/>
        <n v="1.1499999999999999"/>
        <n v="0.81"/>
        <n v="1.28"/>
        <n v="0.53"/>
        <n v="0.02"/>
        <n v="0.46"/>
        <n v="0.88"/>
        <n v="0.22"/>
        <n v="0.2"/>
        <n v="0.42"/>
        <n v="0.4"/>
        <n v="0.59"/>
        <n v="7.0000000000000007E-2"/>
        <n v="0.43"/>
        <n v="0.23"/>
        <n v="0.99"/>
        <n v="0.57999999999999996"/>
        <n v="0.84"/>
        <n v="0.47"/>
        <n v="0.26"/>
        <n v="1.0900000000000001"/>
        <n v="1.1100000000000001"/>
        <n v="1.26"/>
        <n v="0.64"/>
        <n v="0.93"/>
        <n v="0.09"/>
        <n v="0.77"/>
        <n v="0.14000000000000001"/>
        <n v="0.68"/>
        <n v="0.08"/>
        <n v="0.91"/>
        <n v="0.48"/>
        <n v="0.9"/>
        <n v="0.76"/>
        <n v="0.87"/>
        <n v="0.71"/>
        <n v="0.12"/>
        <n v="0.63"/>
        <n v="1.2"/>
        <n v="0.37"/>
        <n v="1.1599999999999999"/>
        <n v="1.17"/>
        <n v="1.05"/>
        <n v="0.25"/>
        <n v="0.05"/>
        <n v="1.18"/>
        <n v="0.28999999999999998"/>
        <n v="0.69"/>
        <n v="0.03"/>
        <n v="1.24"/>
        <n v="0.52"/>
        <n v="1.1200000000000001"/>
        <n v="1.03"/>
        <n v="0.61"/>
        <n v="0.13"/>
        <n v="0.96"/>
        <n v="1.02"/>
        <n v="0"/>
        <n v="1.27"/>
        <n v="0.06"/>
        <n v="0.82"/>
        <n v="0.39"/>
        <n v="1.23"/>
        <n v="0.01"/>
        <n v="0.44"/>
        <n v="0.65"/>
        <n v="1.07"/>
        <n v="0.35"/>
        <n v="0.17"/>
        <n v="0.86"/>
        <n v="0.67"/>
        <n v="0.34"/>
        <n v="0.32"/>
        <n v="0.54"/>
        <n v="0.55000000000000004"/>
        <n v="0.98"/>
        <n v="0.49"/>
        <n v="1.01"/>
        <n v="0.97"/>
        <n v="0.24"/>
        <n v="0.28000000000000003"/>
        <n v="0.95"/>
        <n v="0.1"/>
        <n v="0.89"/>
        <n v="0.78"/>
        <n v="0.45"/>
        <n v="0.79"/>
        <n v="0.85"/>
        <n v="1"/>
        <n v="0.11"/>
        <n v="0.38"/>
        <n v="0.31"/>
        <n v="0.51"/>
        <n v="0.83"/>
        <n v="0.16"/>
        <n v="0.3"/>
        <n v="1.1399999999999999"/>
        <n v="1.25"/>
        <n v="0.8"/>
        <n v="0.72"/>
        <n v="0.74"/>
        <n v="1.21"/>
        <n v="0.36"/>
        <n v="0.5"/>
        <n v="1.22"/>
        <n v="0.75"/>
        <n v="0.66"/>
        <n v="1.04"/>
      </sharedItems>
    </cacheField>
    <cacheField name="Sales_Amount" numFmtId="0">
      <sharedItems containsSemiMixedTypes="0" containsString="0" containsNumber="1" minValue="-9898.34" maxValue="29860.86"/>
    </cacheField>
    <cacheField name="Order_Date" numFmtId="0">
      <sharedItems containsNonDate="0" containsDate="1" containsString="0" containsBlank="1" minDate="2023-07-23T00:00:00" maxDate="2025-07-23T00:00:00" count="562">
        <d v="2025-02-27T00:00:00"/>
        <d v="2025-07-15T00:00:00"/>
        <d v="2025-01-02T00:00:00"/>
        <d v="2025-06-18T00:00:00"/>
        <m/>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d v="2024-09-16T00:00:00"/>
        <d v="2025-05-18T00:00:00"/>
        <d v="2023-08-13T00:00:00"/>
        <d v="2025-06-13T00:00:00"/>
        <d v="2024-09-25T00:00:00"/>
        <d v="2024-08-26T00:00:00"/>
        <d v="2024-10-19T00:00:00"/>
        <d v="2025-05-04T00:00:00"/>
        <d v="2024-11-10T00:00:00"/>
        <d v="2024-06-15T00:00:00"/>
        <d v="2024-04-20T00:00:00"/>
        <d v="2025-06-23T00:00:00"/>
        <d v="2025-04-30T00:00:00"/>
        <d v="2024-07-30T00:00:00"/>
        <d v="2023-12-16T00:00:00"/>
        <d v="2024-10-11T00:00:00"/>
        <d v="2023-10-31T00:00:00"/>
        <d v="2024-09-30T00:00:00"/>
        <d v="2023-08-29T00:00:00"/>
        <d v="2024-12-11T00:00:00"/>
        <d v="2023-12-22T00:00:00"/>
        <d v="2025-05-13T00:00:00"/>
        <d v="2025-01-06T00:00:00"/>
        <d v="2025-03-29T00:00:00"/>
        <d v="2024-09-03T00:00:00"/>
        <d v="2025-05-15T00:00:00"/>
        <d v="2025-01-12T00:00:00"/>
        <d v="2023-12-13T00:00:00"/>
        <d v="2025-01-11T00:00:00"/>
        <d v="2024-08-12T00:00:00"/>
        <d v="2024-12-01T00:00:00"/>
        <d v="2025-03-13T00:00:00"/>
        <d v="2025-01-05T00:00:00"/>
        <d v="2025-06-22T00:00:00"/>
        <d v="2024-03-29T00:00:00"/>
        <d v="2025-05-03T00:00:00"/>
        <d v="2025-05-31T00:00:00"/>
        <d v="2025-03-05T00:00:00"/>
        <d v="2025-04-03T00:00:00"/>
        <d v="2023-08-18T00:00:00"/>
        <d v="2024-09-17T00:00:00"/>
        <d v="2023-10-08T00:00:00"/>
        <d v="2025-02-26T00:00:00"/>
        <d v="2025-01-08T00:00:00"/>
        <d v="2023-08-04T00:00:00"/>
        <d v="2023-10-13T00:00:00"/>
        <d v="2024-03-10T00:00:00"/>
        <d v="2023-08-24T00:00:00"/>
        <d v="2024-12-14T00:00:00"/>
        <d v="2024-04-15T00:00:00"/>
        <d v="2023-09-09T00:00:00"/>
        <d v="2024-08-16T00:00:00"/>
        <d v="2025-07-02T00:00:00"/>
        <d v="2024-09-24T00:00:00"/>
        <d v="2025-02-07T00:00:00"/>
        <d v="2025-06-14T00:00:00"/>
        <d v="2024-08-19T00:00:00"/>
        <d v="2025-06-01T00:00:00"/>
        <d v="2024-08-10T00:00:00"/>
        <d v="2023-10-10T00:00:00"/>
        <d v="2024-11-14T00:00:00"/>
        <d v="2024-07-21T00:00:00"/>
        <d v="2024-02-15T00:00:00"/>
        <d v="2024-12-28T00:00:00"/>
        <d v="2024-08-05T00:00:00"/>
        <d v="2025-07-12T00:00:00"/>
        <d v="2024-10-02T00:00:00"/>
        <d v="2024-09-27T00:00:00"/>
        <d v="2024-07-29T00:00:00"/>
        <d v="2025-02-09T00:00:00"/>
        <d v="2025-01-30T00:00:00"/>
        <d v="2025-06-05T00:00:00"/>
        <d v="2024-11-01T00:00:00"/>
        <d v="2025-05-19T00:00:00"/>
        <d v="2024-07-23T00:00:00"/>
        <d v="2025-05-25T00:00:00"/>
        <d v="2025-03-15T00:00:00"/>
        <d v="2023-07-31T00:00:00"/>
        <d v="2025-02-03T00:00:00"/>
        <d v="2024-08-28T00:00:00"/>
        <d v="2023-11-06T00:00:00"/>
        <d v="2025-01-29T00:00:00"/>
        <d v="2025-01-01T00:00:00"/>
        <d v="2024-01-13T00:00:00"/>
        <d v="2024-04-07T00:00:00"/>
        <d v="2024-07-17T00:00:00"/>
        <d v="2023-07-30T00:00:00"/>
        <d v="2025-03-11T00:00:00"/>
        <d v="2025-03-06T00:00:00"/>
        <d v="2025-02-21T00:00:00"/>
        <d v="2023-07-26T00:00:00"/>
        <d v="2023-09-28T00:00:00"/>
        <d v="2024-02-28T00:00:00"/>
        <d v="2024-08-01T00:00:00"/>
        <d v="2024-10-08T00:00:00"/>
        <d v="2024-11-16T00:00:00"/>
        <d v="2025-05-16T00:00:00"/>
        <d v="2025-02-08T00:00:00"/>
        <d v="2025-06-03T00:00:00"/>
        <d v="2024-07-19T00:00:00"/>
        <d v="2025-01-26T00:00:00"/>
        <d v="2024-08-17T00:00:00"/>
        <d v="2024-02-24T00:00:00"/>
        <d v="2024-11-27T00:00:00"/>
        <d v="2024-02-29T00:00:00"/>
        <d v="2024-11-17T00:00:00"/>
        <d v="2025-07-04T00:00:00"/>
        <d v="2024-12-08T00:00:00"/>
        <d v="2023-08-05T00:00:00"/>
        <d v="2024-04-26T00:00:00"/>
        <d v="2023-09-15T00:00:00"/>
        <d v="2024-11-20T00:00:00"/>
        <d v="2025-04-10T00:00:00"/>
        <d v="2024-05-07T00:00:00"/>
        <d v="2024-02-20T00:00:00"/>
        <d v="2024-06-23T00:00:00"/>
        <d v="2024-08-20T00:00:00"/>
        <d v="2025-04-28T00:00:00"/>
        <d v="2023-08-22T00:00:00"/>
        <d v="2024-12-17T00:00:00"/>
        <d v="2025-05-22T00:00:00"/>
        <d v="2025-07-10T00:00:00"/>
        <d v="2024-03-16T00:00:00"/>
        <d v="2024-01-06T00:00:00"/>
        <d v="2025-05-30T00:00:00"/>
        <d v="2024-05-26T00:00:00"/>
        <d v="2025-01-13T00:00:00"/>
        <d v="2024-12-05T00:00:00"/>
        <d v="2024-05-01T00:00:00"/>
        <d v="2024-03-14T00:00:00"/>
        <d v="2023-11-26T00:00:00"/>
        <d v="2024-03-23T00:00:00"/>
        <d v="2023-12-07T00:00:00"/>
        <d v="2025-02-01T00:00:00"/>
        <d v="2024-08-18T00:00:00"/>
        <d v="2025-04-09T00:00:00"/>
        <d v="2023-10-14T00:00:00"/>
        <d v="2023-10-04T00:00:00"/>
        <d v="2025-05-09T00:00:00"/>
        <d v="2023-12-14T00:00:00"/>
        <d v="2024-11-29T00:00:00"/>
        <d v="2024-11-23T00:00:00"/>
        <d v="2023-11-12T00:00:00"/>
        <d v="2025-04-20T00:00:00"/>
        <d v="2024-06-14T00:00:00"/>
        <d v="2025-02-28T00:00:00"/>
        <d v="2024-05-31T00:00:00"/>
        <d v="2024-07-28T00:00:00"/>
        <d v="2024-01-04T00:00:00"/>
        <d v="2025-05-21T00:00:00"/>
        <d v="2024-04-29T00:00:00"/>
        <d v="2024-09-19T00:00:00"/>
        <d v="2023-09-23T00:00:00"/>
        <d v="2025-03-20T00:00:00"/>
        <d v="2025-01-20T00:00:00"/>
        <d v="2024-10-07T00:00:00"/>
        <d v="2025-04-07T00:00:00"/>
        <d v="2024-04-22T00:00:00"/>
        <d v="2025-07-16T00:00:00"/>
        <d v="2024-09-15T00:00:00"/>
        <d v="2024-09-18T00:00:00"/>
        <d v="2024-03-12T00:00:00"/>
        <d v="2023-08-20T00:00:00"/>
        <d v="2023-08-17T00:00:00"/>
        <d v="2023-09-13T00:00:00"/>
        <d v="2023-09-02T00:00:00"/>
        <d v="2025-03-17T00:00:00"/>
        <d v="2024-02-06T00:00:00"/>
        <d v="2025-06-07T00:00:00"/>
        <d v="2024-01-23T00:00:00"/>
        <d v="2023-12-10T00:00:00"/>
        <d v="2024-05-04T00:00:00"/>
        <d v="2025-05-23T00:00:00"/>
        <d v="2023-11-18T00:00:00"/>
        <d v="2024-01-30T00:00:00"/>
        <d v="2024-04-16T00:00:00"/>
        <d v="2024-09-09T00:00:00"/>
        <d v="2024-11-22T00:00:00"/>
        <d v="2024-10-06T00:00:00"/>
        <d v="2024-07-24T00:00:00"/>
        <d v="2023-10-17T00:00:00"/>
        <d v="2024-04-09T00:00:00"/>
        <d v="2024-08-23T00:00:00"/>
        <d v="2023-08-09T00:00:00"/>
        <d v="2023-11-30T00:00:00"/>
        <d v="2023-12-23T00:00:00"/>
        <d v="2025-03-08T00:00:00"/>
        <d v="2024-04-28T00:00:00"/>
        <d v="2025-04-13T00:00:00"/>
        <d v="2024-01-22T00:00:00"/>
        <d v="2024-10-21T00:00:00"/>
        <d v="2025-02-11T00:00:00"/>
        <d v="2024-01-31T00:00:00"/>
        <d v="2024-12-19T00:00:00"/>
        <d v="2024-11-26T00:00:00"/>
        <d v="2024-01-29T00:00:00"/>
        <d v="2024-01-15T00:00:00"/>
        <d v="2023-11-19T00:00:00"/>
        <d v="2024-02-21T00:00:00"/>
        <d v="2024-03-22T00:00:00"/>
        <d v="2024-11-19T00:00:00"/>
        <d v="2023-10-19T00:00:00"/>
        <d v="2024-03-13T00:00:00"/>
        <d v="2024-09-01T00:00:00"/>
        <d v="2023-12-19T00:00:00"/>
        <d v="2025-01-17T00:00:00"/>
        <d v="2024-08-31T00:00:00"/>
        <d v="2024-05-29T00:00:00"/>
        <d v="2023-09-25T00:00:00"/>
        <d v="2024-09-22T00:00:00"/>
        <d v="2025-07-07T00:00:00"/>
        <d v="2025-03-14T00:00:00"/>
        <d v="2025-05-17T00:00:00"/>
        <d v="2024-05-06T00:00:00"/>
        <d v="2024-12-27T00:00:00"/>
        <d v="2024-03-08T00:00:00"/>
        <d v="2023-10-22T00:00:00"/>
        <d v="2024-09-13T00:00:00"/>
        <d v="2024-08-09T00:00:00"/>
        <d v="2024-12-18T00:00:00"/>
        <d v="2023-09-24T00:00:00"/>
        <d v="2023-12-30T00:00:00"/>
        <d v="2024-01-12T00:00:00"/>
        <d v="2024-04-01T00:00:00"/>
        <d v="2024-04-10T00:00:00"/>
        <d v="2024-09-07T00:00:00"/>
        <d v="2024-05-30T00:00:00"/>
        <d v="2024-06-21T00:00:00"/>
        <d v="2024-09-06T00:00:00"/>
        <d v="2024-09-02T00:00:00"/>
        <d v="2023-08-10T00:00:00"/>
        <d v="2023-10-11T00:00:00"/>
        <d v="2024-01-11T00:00:00"/>
        <d v="2024-02-03T00:00:00"/>
        <d v="2025-04-14T00:00:00"/>
        <d v="2024-07-31T00:00:00"/>
        <d v="2024-08-25T00:00:00"/>
        <d v="2024-03-31T00:00:00"/>
        <d v="2024-09-29T00:00:00"/>
        <d v="2023-10-24T00:00:00"/>
        <d v="2024-07-10T00:00:00"/>
        <d v="2023-12-17T00:00:00"/>
        <d v="2025-05-07T00:00:00"/>
        <d v="2023-07-27T00:00:00"/>
        <d v="2023-08-23T00:00:00"/>
        <d v="2023-09-30T00:00:00"/>
        <d v="2024-01-03T00:00:00"/>
        <d v="2024-06-05T00:00:00"/>
        <d v="2024-10-24T00:00:00"/>
        <d v="2024-05-19T00:00:00"/>
        <d v="2024-06-08T00:00:00"/>
        <d v="2023-12-21T00:00:00"/>
        <d v="2024-12-09T00:00:00"/>
        <d v="2025-05-10T00:00:00"/>
        <d v="2024-01-26T00:00:00"/>
        <d v="2025-02-23T00:00:00"/>
        <d v="2024-10-29T00:00:00"/>
        <d v="2024-08-24T00:00:00"/>
        <d v="2023-08-28T00:00:00"/>
        <d v="2024-12-20T00:00:00"/>
        <d v="2023-12-04T00:00:00"/>
        <d v="2024-04-21T00:00:00"/>
        <d v="2023-10-30T00:00:00"/>
        <d v="2024-02-05T00:00:00"/>
        <d v="2025-04-19T00:00:00"/>
        <d v="2025-03-01T00:00:00"/>
        <d v="2023-12-18T00:00:00"/>
        <d v="2024-01-19T00:00:00"/>
        <d v="2024-05-10T00:00:00"/>
        <d v="2024-06-01T00:00:00"/>
        <d v="2024-04-14T00:00:00"/>
        <d v="2024-03-24T00:00:00"/>
        <d v="2023-08-08T00:00:00"/>
        <d v="2024-02-23T00:00:00"/>
        <d v="2024-10-18T00:00:00"/>
        <d v="2024-02-25T00:00:00"/>
        <d v="2024-08-30T00:00:00"/>
        <d v="2023-10-12T00:00:00"/>
        <d v="2024-04-05T00:00:00"/>
        <d v="2025-02-25T00:00:00"/>
        <d v="2023-10-02T00:00:00"/>
        <d v="2023-08-25T00:00:00"/>
        <d v="2024-10-14T00:00:00"/>
        <d v="2023-11-24T00:00:00"/>
        <d v="2023-08-12T00:00:00"/>
        <d v="2024-03-09T00:00:00"/>
        <d v="2024-07-20T00:00:00"/>
        <d v="2024-11-04T00:00:00"/>
        <d v="2024-06-10T00:00:00"/>
        <d v="2024-02-19T00:00:00"/>
        <d v="2023-08-07T00:00:00"/>
        <d v="2025-07-19T00:00:00"/>
        <d v="2023-12-31T00:00:00"/>
      </sharedItems>
      <fieldGroup par="15"/>
    </cacheField>
    <cacheField name="City" numFmtId="0">
      <sharedItems count="6">
        <s v="Delhi"/>
        <s v="Ahmedabad"/>
        <s v="Mumbai"/>
        <s v="Bangalore"/>
        <s v="NaviMumbai"/>
        <s v="Pune"/>
      </sharedItems>
    </cacheField>
    <cacheField name="Segment" numFmtId="0">
      <sharedItems count="2">
        <s v="B2C"/>
        <s v="B2B"/>
      </sharedItems>
    </cacheField>
    <cacheField name="Profit" numFmtId="0">
      <sharedItems containsSemiMixedTypes="0" containsString="0" containsNumber="1" minValue="-992.61" maxValue="2997.11"/>
    </cacheField>
    <cacheField name="Months (Order_Date)" numFmtId="0" databaseField="0">
      <fieldGroup base="9">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9">
        <rangePr groupBy="quarters" startDate="2023-07-23T00:00:00" endDate="2025-07-23T00:00:00"/>
        <groupItems count="6">
          <s v="&lt;23-07-2023"/>
          <s v="Qtr1"/>
          <s v="Qtr2"/>
          <s v="Qtr3"/>
          <s v="Qtr4"/>
          <s v="&gt;23-07-2025"/>
        </groupItems>
      </fieldGroup>
    </cacheField>
    <cacheField name="Years (Order_Date)" numFmtId="0" databaseField="0">
      <fieldGroup base="9">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pivotCacheId="1911169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000"/>
    <x v="0"/>
    <x v="0"/>
    <x v="0"/>
    <n v="4"/>
    <n v="842"/>
    <n v="3368"/>
    <x v="0"/>
    <n v="1347.2"/>
    <x v="0"/>
    <x v="0"/>
    <x v="0"/>
    <n v="2137.4499999999998"/>
  </r>
  <r>
    <n v="1001"/>
    <x v="1"/>
    <x v="0"/>
    <x v="0"/>
    <n v="1"/>
    <m/>
    <n v="0"/>
    <x v="1"/>
    <n v="0"/>
    <x v="1"/>
    <x v="1"/>
    <x v="0"/>
    <n v="1588.15"/>
  </r>
  <r>
    <n v="1002"/>
    <x v="2"/>
    <x v="1"/>
    <x v="1"/>
    <n v="1"/>
    <n v="637.82000000000005"/>
    <n v="637.82000000000005"/>
    <x v="1"/>
    <n v="637.82000000000005"/>
    <x v="2"/>
    <x v="2"/>
    <x v="1"/>
    <n v="-158.03"/>
  </r>
  <r>
    <n v="1003"/>
    <x v="3"/>
    <x v="2"/>
    <x v="2"/>
    <n v="2"/>
    <n v="2962.27"/>
    <n v="5924.54"/>
    <x v="1"/>
    <n v="5924.54"/>
    <x v="3"/>
    <x v="3"/>
    <x v="1"/>
    <n v="2296.5"/>
  </r>
  <r>
    <n v="1004"/>
    <x v="4"/>
    <x v="3"/>
    <x v="3"/>
    <n v="1"/>
    <n v="2881.07"/>
    <n v="2881.07"/>
    <x v="2"/>
    <n v="2103.1811000000002"/>
    <x v="4"/>
    <x v="4"/>
    <x v="0"/>
    <n v="63.66"/>
  </r>
  <r>
    <n v="1005"/>
    <x v="5"/>
    <x v="4"/>
    <x v="4"/>
    <n v="2"/>
    <m/>
    <n v="0"/>
    <x v="1"/>
    <n v="0"/>
    <x v="5"/>
    <x v="2"/>
    <x v="1"/>
    <n v="1477.73"/>
  </r>
  <r>
    <n v="1006"/>
    <x v="6"/>
    <x v="0"/>
    <x v="5"/>
    <n v="1"/>
    <n v="2060.85"/>
    <n v="2060.85"/>
    <x v="1"/>
    <n v="2060.85"/>
    <x v="6"/>
    <x v="1"/>
    <x v="1"/>
    <n v="198.36"/>
  </r>
  <r>
    <n v="1007"/>
    <x v="7"/>
    <x v="5"/>
    <x v="6"/>
    <n v="2"/>
    <n v="3669.56"/>
    <n v="7339.12"/>
    <x v="1"/>
    <n v="7339.12"/>
    <x v="4"/>
    <x v="3"/>
    <x v="0"/>
    <n v="2490.0100000000002"/>
  </r>
  <r>
    <n v="1008"/>
    <x v="8"/>
    <x v="3"/>
    <x v="7"/>
    <n v="2"/>
    <m/>
    <n v="0"/>
    <x v="1"/>
    <n v="0"/>
    <x v="4"/>
    <x v="1"/>
    <x v="0"/>
    <n v="-886.8"/>
  </r>
  <r>
    <n v="1009"/>
    <x v="9"/>
    <x v="4"/>
    <x v="8"/>
    <n v="5"/>
    <m/>
    <n v="0"/>
    <x v="1"/>
    <n v="0"/>
    <x v="7"/>
    <x v="3"/>
    <x v="1"/>
    <n v="-972.73"/>
  </r>
  <r>
    <n v="1010"/>
    <x v="10"/>
    <x v="4"/>
    <x v="4"/>
    <n v="0"/>
    <n v="4007.02"/>
    <n v="0"/>
    <x v="1"/>
    <n v="0"/>
    <x v="4"/>
    <x v="5"/>
    <x v="1"/>
    <n v="-950.38"/>
  </r>
  <r>
    <n v="1011"/>
    <x v="11"/>
    <x v="3"/>
    <x v="3"/>
    <n v="0"/>
    <m/>
    <n v="0"/>
    <x v="1"/>
    <n v="0"/>
    <x v="8"/>
    <x v="0"/>
    <x v="0"/>
    <n v="1370.67"/>
  </r>
  <r>
    <n v="1012"/>
    <x v="12"/>
    <x v="0"/>
    <x v="9"/>
    <n v="4"/>
    <m/>
    <n v="0"/>
    <x v="3"/>
    <n v="0"/>
    <x v="9"/>
    <x v="1"/>
    <x v="0"/>
    <n v="843.61"/>
  </r>
  <r>
    <n v="1013"/>
    <x v="13"/>
    <x v="4"/>
    <x v="4"/>
    <n v="2"/>
    <m/>
    <n v="0"/>
    <x v="4"/>
    <n v="0"/>
    <x v="4"/>
    <x v="5"/>
    <x v="0"/>
    <n v="1279.58"/>
  </r>
  <r>
    <n v="1014"/>
    <x v="14"/>
    <x v="2"/>
    <x v="2"/>
    <n v="4"/>
    <m/>
    <n v="0"/>
    <x v="1"/>
    <n v="0"/>
    <x v="10"/>
    <x v="4"/>
    <x v="0"/>
    <n v="-889.25"/>
  </r>
  <r>
    <n v="1015"/>
    <x v="15"/>
    <x v="2"/>
    <x v="10"/>
    <n v="6"/>
    <m/>
    <n v="0"/>
    <x v="1"/>
    <n v="0"/>
    <x v="4"/>
    <x v="1"/>
    <x v="0"/>
    <n v="793.8"/>
  </r>
  <r>
    <n v="1016"/>
    <x v="16"/>
    <x v="4"/>
    <x v="4"/>
    <n v="2"/>
    <m/>
    <n v="0"/>
    <x v="1"/>
    <n v="0"/>
    <x v="11"/>
    <x v="4"/>
    <x v="1"/>
    <n v="1881.89"/>
  </r>
  <r>
    <n v="1017"/>
    <x v="17"/>
    <x v="4"/>
    <x v="8"/>
    <n v="3"/>
    <n v="468.53"/>
    <n v="1405.59"/>
    <x v="1"/>
    <n v="1405.59"/>
    <x v="4"/>
    <x v="2"/>
    <x v="1"/>
    <n v="-195.65"/>
  </r>
  <r>
    <n v="1018"/>
    <x v="18"/>
    <x v="5"/>
    <x v="11"/>
    <n v="4"/>
    <m/>
    <n v="0"/>
    <x v="1"/>
    <n v="0"/>
    <x v="12"/>
    <x v="3"/>
    <x v="0"/>
    <n v="2102.56"/>
  </r>
  <r>
    <n v="1019"/>
    <x v="19"/>
    <x v="5"/>
    <x v="6"/>
    <n v="2"/>
    <n v="4064.4"/>
    <n v="8128.8"/>
    <x v="5"/>
    <n v="2438.6400000000003"/>
    <x v="13"/>
    <x v="1"/>
    <x v="0"/>
    <n v="877.21"/>
  </r>
  <r>
    <n v="1020"/>
    <x v="20"/>
    <x v="0"/>
    <x v="5"/>
    <n v="1"/>
    <m/>
    <n v="0"/>
    <x v="1"/>
    <n v="0"/>
    <x v="14"/>
    <x v="5"/>
    <x v="1"/>
    <n v="669.75"/>
  </r>
  <r>
    <n v="1021"/>
    <x v="21"/>
    <x v="5"/>
    <x v="12"/>
    <n v="2"/>
    <m/>
    <n v="0"/>
    <x v="1"/>
    <n v="0"/>
    <x v="15"/>
    <x v="3"/>
    <x v="1"/>
    <n v="-705.72"/>
  </r>
  <r>
    <n v="1031"/>
    <x v="22"/>
    <x v="5"/>
    <x v="12"/>
    <n v="2"/>
    <n v="1872.05"/>
    <n v="3744.1"/>
    <x v="6"/>
    <n v="3182.4849999999997"/>
    <x v="8"/>
    <x v="5"/>
    <x v="0"/>
    <n v="-863.9"/>
  </r>
  <r>
    <n v="1023"/>
    <x v="23"/>
    <x v="2"/>
    <x v="13"/>
    <n v="2"/>
    <m/>
    <n v="0"/>
    <x v="1"/>
    <n v="0"/>
    <x v="4"/>
    <x v="2"/>
    <x v="0"/>
    <n v="-875.51"/>
  </r>
  <r>
    <n v="1024"/>
    <x v="24"/>
    <x v="1"/>
    <x v="1"/>
    <n v="-2"/>
    <m/>
    <n v="0"/>
    <x v="7"/>
    <n v="0"/>
    <x v="16"/>
    <x v="0"/>
    <x v="1"/>
    <n v="491.1"/>
  </r>
  <r>
    <n v="1025"/>
    <x v="25"/>
    <x v="0"/>
    <x v="9"/>
    <n v="4"/>
    <n v="4595.08"/>
    <n v="18380.32"/>
    <x v="1"/>
    <n v="18380.32"/>
    <x v="17"/>
    <x v="3"/>
    <x v="0"/>
    <n v="330.82"/>
  </r>
  <r>
    <n v="1026"/>
    <x v="26"/>
    <x v="3"/>
    <x v="7"/>
    <n v="2"/>
    <m/>
    <n v="0"/>
    <x v="1"/>
    <n v="0"/>
    <x v="18"/>
    <x v="1"/>
    <x v="1"/>
    <n v="-194.77"/>
  </r>
  <r>
    <n v="1027"/>
    <x v="27"/>
    <x v="3"/>
    <x v="3"/>
    <n v="1"/>
    <m/>
    <n v="0"/>
    <x v="1"/>
    <n v="0"/>
    <x v="4"/>
    <x v="4"/>
    <x v="1"/>
    <n v="1085.3599999999999"/>
  </r>
  <r>
    <n v="1028"/>
    <x v="28"/>
    <x v="4"/>
    <x v="14"/>
    <n v="-2"/>
    <m/>
    <n v="0"/>
    <x v="1"/>
    <n v="0"/>
    <x v="4"/>
    <x v="4"/>
    <x v="1"/>
    <n v="2060.0300000000002"/>
  </r>
  <r>
    <n v="1029"/>
    <x v="29"/>
    <x v="4"/>
    <x v="14"/>
    <n v="4"/>
    <m/>
    <n v="0"/>
    <x v="1"/>
    <n v="0"/>
    <x v="4"/>
    <x v="2"/>
    <x v="0"/>
    <n v="1737.92"/>
  </r>
  <r>
    <n v="1030"/>
    <x v="30"/>
    <x v="5"/>
    <x v="11"/>
    <n v="3"/>
    <n v="1069.77"/>
    <n v="3209.31"/>
    <x v="1"/>
    <n v="3209.31"/>
    <x v="19"/>
    <x v="4"/>
    <x v="0"/>
    <n v="1155.3800000000001"/>
  </r>
  <r>
    <n v="1031"/>
    <x v="31"/>
    <x v="5"/>
    <x v="12"/>
    <n v="4"/>
    <m/>
    <n v="0"/>
    <x v="1"/>
    <n v="0"/>
    <x v="20"/>
    <x v="3"/>
    <x v="1"/>
    <n v="-960.24"/>
  </r>
  <r>
    <n v="1032"/>
    <x v="32"/>
    <x v="0"/>
    <x v="5"/>
    <n v="2"/>
    <n v="2182.0100000000002"/>
    <n v="4364.0200000000004"/>
    <x v="1"/>
    <n v="4364.0200000000004"/>
    <x v="21"/>
    <x v="0"/>
    <x v="0"/>
    <n v="1377.61"/>
  </r>
  <r>
    <n v="1033"/>
    <x v="33"/>
    <x v="0"/>
    <x v="9"/>
    <n v="2"/>
    <m/>
    <n v="0"/>
    <x v="1"/>
    <n v="0"/>
    <x v="22"/>
    <x v="4"/>
    <x v="1"/>
    <n v="903.69"/>
  </r>
  <r>
    <n v="1034"/>
    <x v="34"/>
    <x v="1"/>
    <x v="1"/>
    <n v="0"/>
    <n v="4449.3599999999997"/>
    <n v="0"/>
    <x v="8"/>
    <n v="0"/>
    <x v="23"/>
    <x v="0"/>
    <x v="1"/>
    <n v="-282.68"/>
  </r>
  <r>
    <n v="1035"/>
    <x v="35"/>
    <x v="1"/>
    <x v="15"/>
    <n v="-1"/>
    <m/>
    <n v="0"/>
    <x v="8"/>
    <n v="0"/>
    <x v="4"/>
    <x v="1"/>
    <x v="0"/>
    <n v="-199.18"/>
  </r>
  <r>
    <n v="1036"/>
    <x v="36"/>
    <x v="4"/>
    <x v="16"/>
    <n v="-2"/>
    <n v="2721.83"/>
    <n v="-5443.66"/>
    <x v="1"/>
    <n v="-5443.66"/>
    <x v="24"/>
    <x v="1"/>
    <x v="1"/>
    <n v="1213.95"/>
  </r>
  <r>
    <n v="1037"/>
    <x v="37"/>
    <x v="3"/>
    <x v="7"/>
    <n v="2"/>
    <m/>
    <n v="0"/>
    <x v="9"/>
    <n v="0"/>
    <x v="4"/>
    <x v="1"/>
    <x v="1"/>
    <n v="907.77"/>
  </r>
  <r>
    <n v="1038"/>
    <x v="38"/>
    <x v="4"/>
    <x v="4"/>
    <n v="3"/>
    <n v="1692.38"/>
    <n v="5077.1400000000003"/>
    <x v="1"/>
    <n v="5077.1400000000003"/>
    <x v="25"/>
    <x v="3"/>
    <x v="0"/>
    <n v="1704.49"/>
  </r>
  <r>
    <n v="1039"/>
    <x v="39"/>
    <x v="2"/>
    <x v="17"/>
    <n v="2"/>
    <n v="1372.16"/>
    <n v="2744.32"/>
    <x v="10"/>
    <n v="1207.5008"/>
    <x v="26"/>
    <x v="4"/>
    <x v="0"/>
    <n v="1626.51"/>
  </r>
  <r>
    <n v="1040"/>
    <x v="40"/>
    <x v="1"/>
    <x v="18"/>
    <n v="2"/>
    <m/>
    <n v="0"/>
    <x v="1"/>
    <n v="0"/>
    <x v="27"/>
    <x v="1"/>
    <x v="0"/>
    <n v="693.6"/>
  </r>
  <r>
    <n v="1041"/>
    <x v="41"/>
    <x v="1"/>
    <x v="1"/>
    <n v="2"/>
    <m/>
    <n v="0"/>
    <x v="1"/>
    <n v="0"/>
    <x v="28"/>
    <x v="1"/>
    <x v="0"/>
    <n v="-983.06"/>
  </r>
  <r>
    <n v="1042"/>
    <x v="42"/>
    <x v="5"/>
    <x v="19"/>
    <n v="2"/>
    <m/>
    <n v="0"/>
    <x v="1"/>
    <n v="0"/>
    <x v="29"/>
    <x v="5"/>
    <x v="0"/>
    <n v="283.39"/>
  </r>
  <r>
    <n v="1043"/>
    <x v="43"/>
    <x v="4"/>
    <x v="16"/>
    <n v="2"/>
    <n v="4575.93"/>
    <n v="9151.86"/>
    <x v="10"/>
    <n v="4026.8183999999997"/>
    <x v="30"/>
    <x v="1"/>
    <x v="0"/>
    <n v="442.14"/>
  </r>
  <r>
    <n v="1044"/>
    <x v="44"/>
    <x v="4"/>
    <x v="14"/>
    <n v="2"/>
    <m/>
    <n v="0"/>
    <x v="1"/>
    <n v="0"/>
    <x v="31"/>
    <x v="3"/>
    <x v="1"/>
    <n v="-80.23"/>
  </r>
  <r>
    <n v="1045"/>
    <x v="45"/>
    <x v="3"/>
    <x v="7"/>
    <n v="2"/>
    <n v="3477.16"/>
    <n v="6954.32"/>
    <x v="1"/>
    <n v="6954.32"/>
    <x v="32"/>
    <x v="4"/>
    <x v="1"/>
    <n v="1323.75"/>
  </r>
  <r>
    <n v="1046"/>
    <x v="46"/>
    <x v="0"/>
    <x v="0"/>
    <n v="-1"/>
    <n v="2441.92"/>
    <n v="-2441.92"/>
    <x v="11"/>
    <n v="-195.35359999999991"/>
    <x v="4"/>
    <x v="0"/>
    <x v="0"/>
    <n v="1004.91"/>
  </r>
  <r>
    <n v="1047"/>
    <x v="47"/>
    <x v="0"/>
    <x v="9"/>
    <n v="3"/>
    <m/>
    <n v="0"/>
    <x v="1"/>
    <n v="0"/>
    <x v="33"/>
    <x v="4"/>
    <x v="0"/>
    <n v="-395.76"/>
  </r>
  <r>
    <n v="1048"/>
    <x v="48"/>
    <x v="0"/>
    <x v="9"/>
    <n v="5"/>
    <m/>
    <n v="0"/>
    <x v="12"/>
    <n v="0"/>
    <x v="34"/>
    <x v="0"/>
    <x v="0"/>
    <n v="2409.2600000000002"/>
  </r>
  <r>
    <n v="1049"/>
    <x v="49"/>
    <x v="4"/>
    <x v="16"/>
    <n v="2"/>
    <m/>
    <n v="0"/>
    <x v="1"/>
    <n v="0"/>
    <x v="4"/>
    <x v="2"/>
    <x v="0"/>
    <n v="19.87"/>
  </r>
  <r>
    <n v="1050"/>
    <x v="50"/>
    <x v="0"/>
    <x v="0"/>
    <n v="-1"/>
    <n v="1083.1600000000001"/>
    <n v="-1083.1600000000001"/>
    <x v="1"/>
    <n v="-1083.1600000000001"/>
    <x v="35"/>
    <x v="5"/>
    <x v="0"/>
    <n v="2904.29"/>
  </r>
  <r>
    <n v="1051"/>
    <x v="51"/>
    <x v="0"/>
    <x v="5"/>
    <n v="2"/>
    <m/>
    <n v="0"/>
    <x v="13"/>
    <n v="0"/>
    <x v="36"/>
    <x v="0"/>
    <x v="0"/>
    <n v="2857.9"/>
  </r>
  <r>
    <n v="1052"/>
    <x v="52"/>
    <x v="0"/>
    <x v="20"/>
    <n v="2"/>
    <n v="3252.49"/>
    <n v="6504.98"/>
    <x v="10"/>
    <n v="2862.1911999999993"/>
    <x v="37"/>
    <x v="3"/>
    <x v="0"/>
    <n v="-11.15"/>
  </r>
  <r>
    <n v="1053"/>
    <x v="53"/>
    <x v="5"/>
    <x v="11"/>
    <n v="2"/>
    <n v="714.23"/>
    <n v="1428.46"/>
    <x v="14"/>
    <n v="-414.25340000000006"/>
    <x v="38"/>
    <x v="0"/>
    <x v="0"/>
    <n v="1057.24"/>
  </r>
  <r>
    <n v="1054"/>
    <x v="54"/>
    <x v="4"/>
    <x v="14"/>
    <n v="2"/>
    <m/>
    <n v="0"/>
    <x v="1"/>
    <n v="0"/>
    <x v="39"/>
    <x v="5"/>
    <x v="0"/>
    <n v="1002.96"/>
  </r>
  <r>
    <n v="1055"/>
    <x v="55"/>
    <x v="0"/>
    <x v="5"/>
    <n v="0"/>
    <m/>
    <n v="0"/>
    <x v="1"/>
    <n v="0"/>
    <x v="40"/>
    <x v="5"/>
    <x v="1"/>
    <n v="1374.9"/>
  </r>
  <r>
    <n v="1056"/>
    <x v="56"/>
    <x v="3"/>
    <x v="7"/>
    <n v="6"/>
    <m/>
    <n v="0"/>
    <x v="1"/>
    <n v="0"/>
    <x v="41"/>
    <x v="2"/>
    <x v="0"/>
    <n v="-343.36"/>
  </r>
  <r>
    <n v="1057"/>
    <x v="57"/>
    <x v="1"/>
    <x v="1"/>
    <n v="4"/>
    <m/>
    <n v="0"/>
    <x v="15"/>
    <n v="0"/>
    <x v="42"/>
    <x v="5"/>
    <x v="0"/>
    <n v="1725.76"/>
  </r>
  <r>
    <n v="1058"/>
    <x v="58"/>
    <x v="4"/>
    <x v="8"/>
    <n v="2"/>
    <n v="3982.53"/>
    <n v="7965.06"/>
    <x v="16"/>
    <n v="-637.20480000000055"/>
    <x v="43"/>
    <x v="5"/>
    <x v="0"/>
    <n v="1912.49"/>
  </r>
  <r>
    <n v="1059"/>
    <x v="59"/>
    <x v="0"/>
    <x v="5"/>
    <n v="0"/>
    <n v="2927.57"/>
    <n v="0"/>
    <x v="17"/>
    <n v="0"/>
    <x v="4"/>
    <x v="0"/>
    <x v="0"/>
    <n v="2218.42"/>
  </r>
  <r>
    <n v="1060"/>
    <x v="60"/>
    <x v="0"/>
    <x v="20"/>
    <n v="2"/>
    <n v="2813.51"/>
    <n v="5627.02"/>
    <x v="1"/>
    <n v="5627.02"/>
    <x v="44"/>
    <x v="5"/>
    <x v="0"/>
    <n v="94.96"/>
  </r>
  <r>
    <n v="1061"/>
    <x v="61"/>
    <x v="3"/>
    <x v="3"/>
    <n v="2"/>
    <n v="2291.15"/>
    <n v="4582.3"/>
    <x v="18"/>
    <n v="3070.1409999999996"/>
    <x v="45"/>
    <x v="2"/>
    <x v="1"/>
    <n v="2536.3000000000002"/>
  </r>
  <r>
    <n v="1062"/>
    <x v="62"/>
    <x v="0"/>
    <x v="20"/>
    <n v="-1"/>
    <m/>
    <n v="0"/>
    <x v="1"/>
    <n v="0"/>
    <x v="4"/>
    <x v="5"/>
    <x v="0"/>
    <n v="328.72"/>
  </r>
  <r>
    <n v="1063"/>
    <x v="63"/>
    <x v="4"/>
    <x v="16"/>
    <n v="1"/>
    <m/>
    <n v="0"/>
    <x v="1"/>
    <n v="0"/>
    <x v="46"/>
    <x v="3"/>
    <x v="0"/>
    <n v="2147.75"/>
  </r>
  <r>
    <n v="1064"/>
    <x v="64"/>
    <x v="1"/>
    <x v="18"/>
    <n v="2"/>
    <m/>
    <n v="0"/>
    <x v="19"/>
    <n v="0"/>
    <x v="4"/>
    <x v="3"/>
    <x v="0"/>
    <n v="-901.74"/>
  </r>
  <r>
    <n v="1065"/>
    <x v="65"/>
    <x v="0"/>
    <x v="5"/>
    <n v="5"/>
    <m/>
    <n v="0"/>
    <x v="1"/>
    <n v="0"/>
    <x v="47"/>
    <x v="3"/>
    <x v="0"/>
    <n v="2316.9699999999998"/>
  </r>
  <r>
    <n v="1066"/>
    <x v="66"/>
    <x v="2"/>
    <x v="13"/>
    <n v="-2"/>
    <n v="3479.44"/>
    <n v="-6958.88"/>
    <x v="1"/>
    <n v="-6958.88"/>
    <x v="48"/>
    <x v="0"/>
    <x v="0"/>
    <n v="-252.78"/>
  </r>
  <r>
    <n v="1067"/>
    <x v="67"/>
    <x v="5"/>
    <x v="6"/>
    <n v="2"/>
    <n v="3945.25"/>
    <n v="7890.5"/>
    <x v="1"/>
    <n v="7890.5"/>
    <x v="49"/>
    <x v="3"/>
    <x v="1"/>
    <n v="305.55"/>
  </r>
  <r>
    <n v="1068"/>
    <x v="68"/>
    <x v="5"/>
    <x v="12"/>
    <n v="4"/>
    <n v="2765.26"/>
    <n v="11061.04"/>
    <x v="1"/>
    <n v="11061.04"/>
    <x v="4"/>
    <x v="1"/>
    <x v="0"/>
    <n v="1719.9"/>
  </r>
  <r>
    <n v="1069"/>
    <x v="69"/>
    <x v="3"/>
    <x v="21"/>
    <n v="2"/>
    <n v="2102.02"/>
    <n v="4204.04"/>
    <x v="20"/>
    <n v="-546.52519999999959"/>
    <x v="50"/>
    <x v="0"/>
    <x v="1"/>
    <n v="-992.61"/>
  </r>
  <r>
    <n v="1070"/>
    <x v="70"/>
    <x v="1"/>
    <x v="22"/>
    <n v="5"/>
    <m/>
    <n v="0"/>
    <x v="1"/>
    <n v="0"/>
    <x v="51"/>
    <x v="4"/>
    <x v="1"/>
    <n v="1383.48"/>
  </r>
  <r>
    <n v="1071"/>
    <x v="71"/>
    <x v="3"/>
    <x v="7"/>
    <n v="2"/>
    <n v="1000.76"/>
    <n v="2001.52"/>
    <x v="1"/>
    <n v="2001.52"/>
    <x v="4"/>
    <x v="0"/>
    <x v="1"/>
    <n v="2131.4299999999998"/>
  </r>
  <r>
    <n v="1072"/>
    <x v="72"/>
    <x v="5"/>
    <x v="11"/>
    <n v="2"/>
    <m/>
    <n v="0"/>
    <x v="1"/>
    <n v="0"/>
    <x v="4"/>
    <x v="3"/>
    <x v="0"/>
    <n v="2878.09"/>
  </r>
  <r>
    <n v="1073"/>
    <x v="73"/>
    <x v="0"/>
    <x v="9"/>
    <n v="-2"/>
    <m/>
    <n v="0"/>
    <x v="21"/>
    <n v="0"/>
    <x v="4"/>
    <x v="5"/>
    <x v="0"/>
    <n v="368.69"/>
  </r>
  <r>
    <n v="1074"/>
    <x v="74"/>
    <x v="5"/>
    <x v="6"/>
    <n v="-2"/>
    <m/>
    <n v="0"/>
    <x v="22"/>
    <n v="0"/>
    <x v="21"/>
    <x v="4"/>
    <x v="0"/>
    <n v="192.91"/>
  </r>
  <r>
    <n v="1075"/>
    <x v="75"/>
    <x v="4"/>
    <x v="4"/>
    <n v="2"/>
    <n v="795.85"/>
    <n v="1591.7"/>
    <x v="1"/>
    <n v="1591.7"/>
    <x v="4"/>
    <x v="5"/>
    <x v="1"/>
    <n v="2418.8000000000002"/>
  </r>
  <r>
    <n v="1076"/>
    <x v="76"/>
    <x v="4"/>
    <x v="8"/>
    <n v="2"/>
    <m/>
    <n v="0"/>
    <x v="1"/>
    <n v="0"/>
    <x v="52"/>
    <x v="3"/>
    <x v="0"/>
    <n v="1408.61"/>
  </r>
  <r>
    <n v="1077"/>
    <x v="77"/>
    <x v="4"/>
    <x v="8"/>
    <n v="2"/>
    <m/>
    <n v="0"/>
    <x v="1"/>
    <n v="0"/>
    <x v="53"/>
    <x v="4"/>
    <x v="1"/>
    <n v="902.52"/>
  </r>
  <r>
    <n v="1078"/>
    <x v="78"/>
    <x v="1"/>
    <x v="22"/>
    <n v="2"/>
    <n v="4059.56"/>
    <n v="8119.12"/>
    <x v="1"/>
    <n v="8119.12"/>
    <x v="54"/>
    <x v="5"/>
    <x v="0"/>
    <n v="-819.94"/>
  </r>
  <r>
    <n v="1079"/>
    <x v="79"/>
    <x v="4"/>
    <x v="14"/>
    <n v="2"/>
    <m/>
    <n v="0"/>
    <x v="1"/>
    <n v="0"/>
    <x v="4"/>
    <x v="4"/>
    <x v="1"/>
    <n v="-22.55"/>
  </r>
  <r>
    <n v="1080"/>
    <x v="80"/>
    <x v="4"/>
    <x v="4"/>
    <n v="2"/>
    <n v="3872.22"/>
    <n v="7744.44"/>
    <x v="23"/>
    <n v="-1161.6659999999993"/>
    <x v="4"/>
    <x v="2"/>
    <x v="0"/>
    <n v="-302.97000000000003"/>
  </r>
  <r>
    <n v="1081"/>
    <x v="81"/>
    <x v="0"/>
    <x v="5"/>
    <n v="6"/>
    <n v="4798.0600000000004"/>
    <n v="28788.36"/>
    <x v="24"/>
    <n v="5469.7883999999985"/>
    <x v="4"/>
    <x v="4"/>
    <x v="1"/>
    <n v="-361.78"/>
  </r>
  <r>
    <n v="1082"/>
    <x v="82"/>
    <x v="5"/>
    <x v="19"/>
    <n v="0"/>
    <m/>
    <n v="0"/>
    <x v="1"/>
    <n v="0"/>
    <x v="4"/>
    <x v="3"/>
    <x v="1"/>
    <n v="712.91"/>
  </r>
  <r>
    <n v="1083"/>
    <x v="83"/>
    <x v="1"/>
    <x v="15"/>
    <n v="1"/>
    <m/>
    <n v="0"/>
    <x v="25"/>
    <n v="0"/>
    <x v="4"/>
    <x v="5"/>
    <x v="1"/>
    <n v="-612.62"/>
  </r>
  <r>
    <n v="1084"/>
    <x v="84"/>
    <x v="2"/>
    <x v="2"/>
    <n v="2"/>
    <m/>
    <n v="0"/>
    <x v="26"/>
    <n v="0"/>
    <x v="55"/>
    <x v="5"/>
    <x v="1"/>
    <n v="2458.0700000000002"/>
  </r>
  <r>
    <n v="1085"/>
    <x v="85"/>
    <x v="2"/>
    <x v="13"/>
    <n v="2"/>
    <m/>
    <n v="0"/>
    <x v="27"/>
    <n v="0"/>
    <x v="56"/>
    <x v="5"/>
    <x v="1"/>
    <n v="264.73"/>
  </r>
  <r>
    <n v="1086"/>
    <x v="86"/>
    <x v="3"/>
    <x v="7"/>
    <n v="2"/>
    <n v="948.33"/>
    <n v="1896.66"/>
    <x v="28"/>
    <n v="1024.1964"/>
    <x v="57"/>
    <x v="3"/>
    <x v="0"/>
    <n v="-865.22"/>
  </r>
  <r>
    <n v="1087"/>
    <x v="87"/>
    <x v="0"/>
    <x v="20"/>
    <n v="2"/>
    <n v="1976.75"/>
    <n v="3953.5"/>
    <x v="24"/>
    <n v="751.16499999999974"/>
    <x v="35"/>
    <x v="2"/>
    <x v="0"/>
    <n v="2790.95"/>
  </r>
  <r>
    <n v="1088"/>
    <x v="88"/>
    <x v="3"/>
    <x v="23"/>
    <n v="2"/>
    <n v="3891.14"/>
    <n v="7782.28"/>
    <x v="1"/>
    <n v="7782.28"/>
    <x v="58"/>
    <x v="5"/>
    <x v="0"/>
    <n v="1374.27"/>
  </r>
  <r>
    <n v="1089"/>
    <x v="89"/>
    <x v="2"/>
    <x v="13"/>
    <n v="2"/>
    <n v="1412.17"/>
    <n v="2824.34"/>
    <x v="29"/>
    <n v="338.92079999999999"/>
    <x v="59"/>
    <x v="2"/>
    <x v="0"/>
    <n v="-355.26"/>
  </r>
  <r>
    <n v="1090"/>
    <x v="90"/>
    <x v="2"/>
    <x v="13"/>
    <n v="5"/>
    <n v="2477.8200000000002"/>
    <n v="12389.1"/>
    <x v="1"/>
    <n v="12389.1"/>
    <x v="60"/>
    <x v="1"/>
    <x v="0"/>
    <n v="-888.86"/>
  </r>
  <r>
    <n v="1091"/>
    <x v="91"/>
    <x v="3"/>
    <x v="3"/>
    <n v="1"/>
    <m/>
    <n v="0"/>
    <x v="1"/>
    <n v="0"/>
    <x v="61"/>
    <x v="0"/>
    <x v="0"/>
    <n v="156.43"/>
  </r>
  <r>
    <n v="1092"/>
    <x v="92"/>
    <x v="5"/>
    <x v="19"/>
    <n v="2"/>
    <m/>
    <n v="0"/>
    <x v="1"/>
    <n v="0"/>
    <x v="4"/>
    <x v="5"/>
    <x v="0"/>
    <n v="1122.6600000000001"/>
  </r>
  <r>
    <n v="1093"/>
    <x v="93"/>
    <x v="5"/>
    <x v="19"/>
    <n v="-2"/>
    <m/>
    <n v="0"/>
    <x v="1"/>
    <n v="0"/>
    <x v="62"/>
    <x v="3"/>
    <x v="1"/>
    <n v="2966.76"/>
  </r>
  <r>
    <n v="1094"/>
    <x v="94"/>
    <x v="1"/>
    <x v="18"/>
    <n v="-1"/>
    <n v="4741.41"/>
    <n v="-4741.41"/>
    <x v="1"/>
    <n v="-4741.41"/>
    <x v="4"/>
    <x v="2"/>
    <x v="0"/>
    <n v="1901.7"/>
  </r>
  <r>
    <n v="1035"/>
    <x v="95"/>
    <x v="3"/>
    <x v="3"/>
    <n v="2"/>
    <m/>
    <n v="0"/>
    <x v="1"/>
    <n v="0"/>
    <x v="63"/>
    <x v="2"/>
    <x v="0"/>
    <n v="1539.59"/>
  </r>
  <r>
    <n v="1033"/>
    <x v="96"/>
    <x v="3"/>
    <x v="3"/>
    <n v="2"/>
    <n v="421.92"/>
    <n v="843.84"/>
    <x v="1"/>
    <n v="843.84"/>
    <x v="4"/>
    <x v="4"/>
    <x v="0"/>
    <n v="2969.19"/>
  </r>
  <r>
    <n v="1097"/>
    <x v="97"/>
    <x v="3"/>
    <x v="7"/>
    <n v="0"/>
    <m/>
    <n v="0"/>
    <x v="1"/>
    <n v="0"/>
    <x v="64"/>
    <x v="2"/>
    <x v="0"/>
    <n v="1141.1500000000001"/>
  </r>
  <r>
    <n v="1098"/>
    <x v="98"/>
    <x v="3"/>
    <x v="23"/>
    <n v="0"/>
    <n v="4752.04"/>
    <n v="0"/>
    <x v="1"/>
    <n v="0"/>
    <x v="65"/>
    <x v="1"/>
    <x v="0"/>
    <n v="129.37"/>
  </r>
  <r>
    <n v="1099"/>
    <x v="99"/>
    <x v="2"/>
    <x v="2"/>
    <n v="2"/>
    <m/>
    <n v="0"/>
    <x v="1"/>
    <n v="0"/>
    <x v="66"/>
    <x v="5"/>
    <x v="1"/>
    <n v="300.02"/>
  </r>
  <r>
    <n v="1100"/>
    <x v="100"/>
    <x v="2"/>
    <x v="17"/>
    <n v="2"/>
    <n v="2011.73"/>
    <n v="4023.46"/>
    <x v="1"/>
    <n v="4023.46"/>
    <x v="67"/>
    <x v="4"/>
    <x v="0"/>
    <n v="2493.5"/>
  </r>
  <r>
    <n v="1101"/>
    <x v="101"/>
    <x v="0"/>
    <x v="5"/>
    <n v="2"/>
    <m/>
    <n v="0"/>
    <x v="30"/>
    <n v="0"/>
    <x v="68"/>
    <x v="5"/>
    <x v="0"/>
    <n v="2962.73"/>
  </r>
  <r>
    <n v="1102"/>
    <x v="102"/>
    <x v="0"/>
    <x v="5"/>
    <n v="5"/>
    <m/>
    <n v="0"/>
    <x v="1"/>
    <n v="0"/>
    <x v="69"/>
    <x v="4"/>
    <x v="0"/>
    <n v="2776.7"/>
  </r>
  <r>
    <n v="1103"/>
    <x v="103"/>
    <x v="5"/>
    <x v="19"/>
    <n v="5"/>
    <n v="1521.46"/>
    <n v="7607.3"/>
    <x v="1"/>
    <n v="7607.3"/>
    <x v="70"/>
    <x v="3"/>
    <x v="1"/>
    <n v="1713.47"/>
  </r>
  <r>
    <n v="1104"/>
    <x v="104"/>
    <x v="5"/>
    <x v="11"/>
    <n v="3"/>
    <n v="2752.71"/>
    <n v="8258.130000000001"/>
    <x v="1"/>
    <n v="8258.130000000001"/>
    <x v="71"/>
    <x v="1"/>
    <x v="1"/>
    <n v="1660.01"/>
  </r>
  <r>
    <n v="1105"/>
    <x v="105"/>
    <x v="5"/>
    <x v="11"/>
    <n v="-2"/>
    <m/>
    <n v="0"/>
    <x v="1"/>
    <n v="0"/>
    <x v="4"/>
    <x v="1"/>
    <x v="1"/>
    <n v="616.04"/>
  </r>
  <r>
    <n v="1106"/>
    <x v="106"/>
    <x v="0"/>
    <x v="5"/>
    <n v="3"/>
    <m/>
    <n v="0"/>
    <x v="1"/>
    <n v="0"/>
    <x v="72"/>
    <x v="5"/>
    <x v="0"/>
    <n v="53.28"/>
  </r>
  <r>
    <n v="1107"/>
    <x v="107"/>
    <x v="0"/>
    <x v="9"/>
    <n v="2"/>
    <n v="4948"/>
    <n v="9896"/>
    <x v="1"/>
    <n v="9896"/>
    <x v="4"/>
    <x v="0"/>
    <x v="0"/>
    <n v="1064.8599999999999"/>
  </r>
  <r>
    <n v="1036"/>
    <x v="108"/>
    <x v="0"/>
    <x v="9"/>
    <n v="1"/>
    <n v="4601.4399999999996"/>
    <n v="4601.4399999999996"/>
    <x v="1"/>
    <n v="4601.4399999999996"/>
    <x v="73"/>
    <x v="2"/>
    <x v="0"/>
    <n v="2145.66"/>
  </r>
  <r>
    <n v="1109"/>
    <x v="109"/>
    <x v="0"/>
    <x v="20"/>
    <n v="2"/>
    <m/>
    <n v="0"/>
    <x v="1"/>
    <n v="0"/>
    <x v="74"/>
    <x v="4"/>
    <x v="0"/>
    <n v="2133.58"/>
  </r>
  <r>
    <n v="1110"/>
    <x v="110"/>
    <x v="0"/>
    <x v="0"/>
    <n v="4"/>
    <m/>
    <n v="0"/>
    <x v="1"/>
    <n v="0"/>
    <x v="75"/>
    <x v="2"/>
    <x v="0"/>
    <n v="2155.6799999999998"/>
  </r>
  <r>
    <n v="1111"/>
    <x v="111"/>
    <x v="4"/>
    <x v="14"/>
    <n v="2"/>
    <m/>
    <n v="0"/>
    <x v="1"/>
    <n v="0"/>
    <x v="4"/>
    <x v="1"/>
    <x v="0"/>
    <n v="748.93"/>
  </r>
  <r>
    <n v="1112"/>
    <x v="112"/>
    <x v="5"/>
    <x v="6"/>
    <n v="2"/>
    <n v="1027.56"/>
    <n v="2055.12"/>
    <x v="1"/>
    <n v="2055.12"/>
    <x v="4"/>
    <x v="2"/>
    <x v="0"/>
    <n v="1160.17"/>
  </r>
  <r>
    <n v="1113"/>
    <x v="113"/>
    <x v="1"/>
    <x v="1"/>
    <n v="2"/>
    <n v="3864.5"/>
    <n v="7729"/>
    <x v="1"/>
    <n v="7729"/>
    <x v="4"/>
    <x v="1"/>
    <x v="0"/>
    <n v="-763.23"/>
  </r>
  <r>
    <n v="1114"/>
    <x v="114"/>
    <x v="5"/>
    <x v="19"/>
    <n v="6"/>
    <n v="568.61"/>
    <n v="3411.66"/>
    <x v="31"/>
    <n v="2729.328"/>
    <x v="76"/>
    <x v="0"/>
    <x v="0"/>
    <n v="-689.16"/>
  </r>
  <r>
    <n v="1115"/>
    <x v="115"/>
    <x v="3"/>
    <x v="3"/>
    <n v="2"/>
    <m/>
    <n v="0"/>
    <x v="1"/>
    <n v="0"/>
    <x v="3"/>
    <x v="1"/>
    <x v="0"/>
    <n v="-624.26"/>
  </r>
  <r>
    <n v="1116"/>
    <x v="116"/>
    <x v="1"/>
    <x v="15"/>
    <n v="1"/>
    <m/>
    <n v="0"/>
    <x v="1"/>
    <n v="0"/>
    <x v="77"/>
    <x v="0"/>
    <x v="0"/>
    <n v="1733.04"/>
  </r>
  <r>
    <n v="1117"/>
    <x v="117"/>
    <x v="1"/>
    <x v="1"/>
    <n v="2"/>
    <n v="3567.55"/>
    <n v="7135.1"/>
    <x v="1"/>
    <n v="7135.1"/>
    <x v="4"/>
    <x v="3"/>
    <x v="0"/>
    <n v="-455.6"/>
  </r>
  <r>
    <n v="1118"/>
    <x v="118"/>
    <x v="3"/>
    <x v="3"/>
    <n v="2"/>
    <m/>
    <n v="0"/>
    <x v="1"/>
    <n v="0"/>
    <x v="78"/>
    <x v="3"/>
    <x v="0"/>
    <n v="1039.53"/>
  </r>
  <r>
    <n v="1119"/>
    <x v="119"/>
    <x v="0"/>
    <x v="20"/>
    <n v="2"/>
    <m/>
    <n v="0"/>
    <x v="1"/>
    <n v="0"/>
    <x v="79"/>
    <x v="2"/>
    <x v="0"/>
    <n v="142.69"/>
  </r>
  <r>
    <n v="1120"/>
    <x v="120"/>
    <x v="1"/>
    <x v="1"/>
    <n v="2"/>
    <n v="4709"/>
    <n v="9418"/>
    <x v="1"/>
    <n v="9418"/>
    <x v="80"/>
    <x v="1"/>
    <x v="0"/>
    <n v="828.98"/>
  </r>
  <r>
    <n v="1121"/>
    <x v="121"/>
    <x v="2"/>
    <x v="17"/>
    <n v="2"/>
    <n v="4109.6000000000004"/>
    <n v="8219.2000000000007"/>
    <x v="32"/>
    <n v="4767.1360000000013"/>
    <x v="4"/>
    <x v="5"/>
    <x v="0"/>
    <n v="1422.36"/>
  </r>
  <r>
    <n v="1122"/>
    <x v="122"/>
    <x v="1"/>
    <x v="15"/>
    <n v="0"/>
    <n v="4745.03"/>
    <n v="0"/>
    <x v="33"/>
    <n v="0"/>
    <x v="4"/>
    <x v="2"/>
    <x v="0"/>
    <n v="2658.02"/>
  </r>
  <r>
    <n v="1123"/>
    <x v="123"/>
    <x v="3"/>
    <x v="23"/>
    <n v="5"/>
    <n v="3978.76"/>
    <n v="19893.800000000003"/>
    <x v="1"/>
    <n v="19893.800000000003"/>
    <x v="81"/>
    <x v="1"/>
    <x v="0"/>
    <n v="1494.78"/>
  </r>
  <r>
    <n v="1002"/>
    <x v="124"/>
    <x v="1"/>
    <x v="1"/>
    <n v="1"/>
    <m/>
    <n v="0"/>
    <x v="1"/>
    <n v="0"/>
    <x v="82"/>
    <x v="1"/>
    <x v="1"/>
    <n v="2513.75"/>
  </r>
  <r>
    <n v="1125"/>
    <x v="125"/>
    <x v="2"/>
    <x v="17"/>
    <n v="-2"/>
    <m/>
    <n v="0"/>
    <x v="1"/>
    <n v="0"/>
    <x v="4"/>
    <x v="0"/>
    <x v="0"/>
    <n v="-754.58"/>
  </r>
  <r>
    <n v="1126"/>
    <x v="126"/>
    <x v="0"/>
    <x v="5"/>
    <n v="2"/>
    <m/>
    <n v="0"/>
    <x v="34"/>
    <n v="0"/>
    <x v="4"/>
    <x v="5"/>
    <x v="0"/>
    <n v="1820.2"/>
  </r>
  <r>
    <n v="1127"/>
    <x v="127"/>
    <x v="5"/>
    <x v="19"/>
    <n v="3"/>
    <n v="4843.4399999999996"/>
    <n v="14530.32"/>
    <x v="35"/>
    <n v="13513.1976"/>
    <x v="83"/>
    <x v="1"/>
    <x v="1"/>
    <n v="2881.91"/>
  </r>
  <r>
    <n v="1128"/>
    <x v="128"/>
    <x v="4"/>
    <x v="8"/>
    <n v="2"/>
    <m/>
    <n v="0"/>
    <x v="36"/>
    <n v="0"/>
    <x v="4"/>
    <x v="4"/>
    <x v="0"/>
    <n v="-68.489999999999995"/>
  </r>
  <r>
    <n v="1129"/>
    <x v="129"/>
    <x v="0"/>
    <x v="5"/>
    <n v="-2"/>
    <n v="2412.36"/>
    <n v="-4824.72"/>
    <x v="37"/>
    <n v="-3715.0344000000005"/>
    <x v="84"/>
    <x v="2"/>
    <x v="0"/>
    <n v="-668.36"/>
  </r>
  <r>
    <n v="1130"/>
    <x v="5"/>
    <x v="3"/>
    <x v="7"/>
    <n v="2"/>
    <m/>
    <n v="0"/>
    <x v="1"/>
    <n v="0"/>
    <x v="4"/>
    <x v="0"/>
    <x v="1"/>
    <n v="2782.45"/>
  </r>
  <r>
    <n v="1131"/>
    <x v="130"/>
    <x v="4"/>
    <x v="14"/>
    <n v="5"/>
    <m/>
    <n v="0"/>
    <x v="38"/>
    <n v="0"/>
    <x v="64"/>
    <x v="0"/>
    <x v="0"/>
    <n v="-941.56"/>
  </r>
  <r>
    <n v="1132"/>
    <x v="131"/>
    <x v="1"/>
    <x v="15"/>
    <n v="2"/>
    <m/>
    <n v="0"/>
    <x v="39"/>
    <n v="0"/>
    <x v="4"/>
    <x v="0"/>
    <x v="1"/>
    <n v="2043.57"/>
  </r>
  <r>
    <n v="1133"/>
    <x v="132"/>
    <x v="5"/>
    <x v="6"/>
    <n v="2"/>
    <m/>
    <n v="0"/>
    <x v="0"/>
    <n v="0"/>
    <x v="4"/>
    <x v="1"/>
    <x v="0"/>
    <n v="806.19"/>
  </r>
  <r>
    <n v="1134"/>
    <x v="133"/>
    <x v="5"/>
    <x v="12"/>
    <n v="3"/>
    <m/>
    <n v="0"/>
    <x v="1"/>
    <n v="0"/>
    <x v="79"/>
    <x v="0"/>
    <x v="0"/>
    <n v="1101.19"/>
  </r>
  <r>
    <n v="1135"/>
    <x v="134"/>
    <x v="2"/>
    <x v="10"/>
    <n v="4"/>
    <n v="1556.96"/>
    <n v="6227.84"/>
    <x v="40"/>
    <n v="996.45440000000019"/>
    <x v="85"/>
    <x v="2"/>
    <x v="1"/>
    <n v="1432.84"/>
  </r>
  <r>
    <n v="1136"/>
    <x v="135"/>
    <x v="0"/>
    <x v="9"/>
    <n v="2"/>
    <n v="3658.42"/>
    <n v="7316.84"/>
    <x v="41"/>
    <n v="3877.9252000000001"/>
    <x v="86"/>
    <x v="2"/>
    <x v="0"/>
    <n v="1897.33"/>
  </r>
  <r>
    <n v="1137"/>
    <x v="136"/>
    <x v="2"/>
    <x v="10"/>
    <n v="2"/>
    <n v="4206.0600000000004"/>
    <n v="8412.1200000000008"/>
    <x v="1"/>
    <n v="8412.1200000000008"/>
    <x v="87"/>
    <x v="0"/>
    <x v="1"/>
    <n v="1161.76"/>
  </r>
  <r>
    <n v="1138"/>
    <x v="137"/>
    <x v="5"/>
    <x v="19"/>
    <n v="2"/>
    <m/>
    <n v="0"/>
    <x v="42"/>
    <n v="0"/>
    <x v="4"/>
    <x v="4"/>
    <x v="0"/>
    <n v="-658.58"/>
  </r>
  <r>
    <n v="1139"/>
    <x v="138"/>
    <x v="4"/>
    <x v="16"/>
    <n v="2"/>
    <m/>
    <n v="0"/>
    <x v="3"/>
    <n v="0"/>
    <x v="88"/>
    <x v="3"/>
    <x v="0"/>
    <n v="-832.45"/>
  </r>
  <r>
    <n v="1140"/>
    <x v="139"/>
    <x v="3"/>
    <x v="3"/>
    <n v="4"/>
    <m/>
    <n v="0"/>
    <x v="1"/>
    <n v="0"/>
    <x v="89"/>
    <x v="4"/>
    <x v="1"/>
    <n v="-127.91"/>
  </r>
  <r>
    <n v="1141"/>
    <x v="140"/>
    <x v="4"/>
    <x v="16"/>
    <n v="2"/>
    <m/>
    <n v="0"/>
    <x v="23"/>
    <n v="0"/>
    <x v="90"/>
    <x v="0"/>
    <x v="0"/>
    <n v="429.67"/>
  </r>
  <r>
    <n v="1142"/>
    <x v="141"/>
    <x v="5"/>
    <x v="19"/>
    <n v="6"/>
    <n v="3004.58"/>
    <n v="18027.48"/>
    <x v="1"/>
    <n v="18027.48"/>
    <x v="66"/>
    <x v="4"/>
    <x v="0"/>
    <n v="-509.67"/>
  </r>
  <r>
    <n v="1143"/>
    <x v="142"/>
    <x v="1"/>
    <x v="18"/>
    <n v="2"/>
    <m/>
    <n v="0"/>
    <x v="1"/>
    <n v="0"/>
    <x v="80"/>
    <x v="3"/>
    <x v="0"/>
    <n v="816.49"/>
  </r>
  <r>
    <n v="1144"/>
    <x v="143"/>
    <x v="0"/>
    <x v="0"/>
    <n v="2"/>
    <m/>
    <n v="0"/>
    <x v="17"/>
    <n v="0"/>
    <x v="4"/>
    <x v="2"/>
    <x v="0"/>
    <n v="2966.21"/>
  </r>
  <r>
    <n v="1145"/>
    <x v="144"/>
    <x v="4"/>
    <x v="16"/>
    <n v="-2"/>
    <n v="3607.9"/>
    <n v="-7215.8"/>
    <x v="8"/>
    <n v="-432.94800000000038"/>
    <x v="91"/>
    <x v="4"/>
    <x v="1"/>
    <n v="-171.58"/>
  </r>
  <r>
    <n v="1146"/>
    <x v="145"/>
    <x v="3"/>
    <x v="3"/>
    <n v="2"/>
    <m/>
    <n v="0"/>
    <x v="43"/>
    <n v="0"/>
    <x v="92"/>
    <x v="5"/>
    <x v="0"/>
    <n v="-431.7"/>
  </r>
  <r>
    <n v="1147"/>
    <x v="146"/>
    <x v="5"/>
    <x v="6"/>
    <n v="2"/>
    <n v="2875.46"/>
    <n v="5750.92"/>
    <x v="1"/>
    <n v="5750.92"/>
    <x v="93"/>
    <x v="0"/>
    <x v="1"/>
    <n v="-794.99"/>
  </r>
  <r>
    <n v="1148"/>
    <x v="147"/>
    <x v="3"/>
    <x v="3"/>
    <n v="2"/>
    <n v="2471.48"/>
    <n v="4942.96"/>
    <x v="44"/>
    <n v="-543.72560000000044"/>
    <x v="94"/>
    <x v="2"/>
    <x v="0"/>
    <n v="2247.9"/>
  </r>
  <r>
    <n v="1149"/>
    <x v="148"/>
    <x v="5"/>
    <x v="19"/>
    <n v="2"/>
    <m/>
    <n v="0"/>
    <x v="1"/>
    <n v="0"/>
    <x v="95"/>
    <x v="4"/>
    <x v="1"/>
    <n v="562.69000000000005"/>
  </r>
  <r>
    <n v="1150"/>
    <x v="149"/>
    <x v="3"/>
    <x v="7"/>
    <n v="2"/>
    <n v="1554.9"/>
    <n v="3109.8"/>
    <x v="1"/>
    <n v="3109.8"/>
    <x v="96"/>
    <x v="1"/>
    <x v="0"/>
    <n v="457.65"/>
  </r>
  <r>
    <n v="1151"/>
    <x v="150"/>
    <x v="0"/>
    <x v="9"/>
    <n v="4"/>
    <n v="2266.44"/>
    <n v="9065.76"/>
    <x v="18"/>
    <n v="6074.0591999999997"/>
    <x v="97"/>
    <x v="5"/>
    <x v="0"/>
    <n v="-655.45"/>
  </r>
  <r>
    <n v="1152"/>
    <x v="151"/>
    <x v="2"/>
    <x v="13"/>
    <n v="1"/>
    <m/>
    <n v="0"/>
    <x v="45"/>
    <n v="0"/>
    <x v="98"/>
    <x v="5"/>
    <x v="0"/>
    <n v="454.45"/>
  </r>
  <r>
    <n v="1153"/>
    <x v="152"/>
    <x v="3"/>
    <x v="3"/>
    <n v="1"/>
    <n v="478.59"/>
    <n v="478.59"/>
    <x v="1"/>
    <n v="478.59"/>
    <x v="99"/>
    <x v="0"/>
    <x v="1"/>
    <n v="-681.2"/>
  </r>
  <r>
    <n v="1154"/>
    <x v="153"/>
    <x v="3"/>
    <x v="21"/>
    <n v="2"/>
    <m/>
    <n v="0"/>
    <x v="1"/>
    <n v="0"/>
    <x v="100"/>
    <x v="3"/>
    <x v="0"/>
    <n v="52.85"/>
  </r>
  <r>
    <n v="1155"/>
    <x v="154"/>
    <x v="2"/>
    <x v="13"/>
    <n v="2"/>
    <m/>
    <n v="0"/>
    <x v="46"/>
    <n v="0"/>
    <x v="101"/>
    <x v="2"/>
    <x v="0"/>
    <n v="2493.12"/>
  </r>
  <r>
    <n v="1156"/>
    <x v="155"/>
    <x v="5"/>
    <x v="12"/>
    <n v="3"/>
    <m/>
    <n v="0"/>
    <x v="47"/>
    <n v="0"/>
    <x v="4"/>
    <x v="0"/>
    <x v="0"/>
    <n v="1699.17"/>
  </r>
  <r>
    <n v="1157"/>
    <x v="156"/>
    <x v="0"/>
    <x v="20"/>
    <n v="6"/>
    <n v="645.03"/>
    <n v="3870.18"/>
    <x v="1"/>
    <n v="3870.18"/>
    <x v="102"/>
    <x v="1"/>
    <x v="0"/>
    <n v="2724.92"/>
  </r>
  <r>
    <n v="1158"/>
    <x v="157"/>
    <x v="5"/>
    <x v="12"/>
    <n v="2"/>
    <n v="4516.08"/>
    <n v="9032.16"/>
    <x v="1"/>
    <n v="9032.16"/>
    <x v="103"/>
    <x v="0"/>
    <x v="1"/>
    <n v="2164.9499999999998"/>
  </r>
  <r>
    <n v="1159"/>
    <x v="158"/>
    <x v="2"/>
    <x v="10"/>
    <n v="2"/>
    <n v="3335.18"/>
    <n v="6670.36"/>
    <x v="48"/>
    <n v="6070.0276000000003"/>
    <x v="4"/>
    <x v="1"/>
    <x v="0"/>
    <n v="235.11"/>
  </r>
  <r>
    <n v="1160"/>
    <x v="159"/>
    <x v="5"/>
    <x v="6"/>
    <n v="0"/>
    <m/>
    <n v="0"/>
    <x v="49"/>
    <n v="0"/>
    <x v="104"/>
    <x v="4"/>
    <x v="0"/>
    <n v="-711.19"/>
  </r>
  <r>
    <n v="1161"/>
    <x v="160"/>
    <x v="4"/>
    <x v="14"/>
    <n v="2"/>
    <n v="1801.91"/>
    <n v="3603.82"/>
    <x v="1"/>
    <n v="3603.82"/>
    <x v="105"/>
    <x v="2"/>
    <x v="0"/>
    <n v="502.86"/>
  </r>
  <r>
    <n v="1162"/>
    <x v="161"/>
    <x v="2"/>
    <x v="17"/>
    <n v="4"/>
    <m/>
    <n v="0"/>
    <x v="50"/>
    <n v="0"/>
    <x v="106"/>
    <x v="2"/>
    <x v="0"/>
    <n v="2566.0500000000002"/>
  </r>
  <r>
    <n v="1163"/>
    <x v="162"/>
    <x v="3"/>
    <x v="7"/>
    <n v="2"/>
    <n v="1033.58"/>
    <n v="2067.16"/>
    <x v="51"/>
    <n v="661.49119999999982"/>
    <x v="107"/>
    <x v="3"/>
    <x v="0"/>
    <n v="-441.46"/>
  </r>
  <r>
    <n v="1164"/>
    <x v="163"/>
    <x v="3"/>
    <x v="7"/>
    <n v="5"/>
    <m/>
    <n v="0"/>
    <x v="1"/>
    <n v="0"/>
    <x v="4"/>
    <x v="4"/>
    <x v="1"/>
    <n v="598.79"/>
  </r>
  <r>
    <n v="1165"/>
    <x v="164"/>
    <x v="4"/>
    <x v="14"/>
    <n v="2"/>
    <m/>
    <n v="0"/>
    <x v="52"/>
    <n v="0"/>
    <x v="108"/>
    <x v="3"/>
    <x v="1"/>
    <n v="-102.32"/>
  </r>
  <r>
    <n v="1166"/>
    <x v="165"/>
    <x v="1"/>
    <x v="15"/>
    <n v="2"/>
    <m/>
    <n v="0"/>
    <x v="53"/>
    <n v="0"/>
    <x v="109"/>
    <x v="1"/>
    <x v="0"/>
    <n v="285.44"/>
  </r>
  <r>
    <n v="1167"/>
    <x v="166"/>
    <x v="4"/>
    <x v="8"/>
    <n v="0"/>
    <n v="4595.8999999999996"/>
    <n v="0"/>
    <x v="48"/>
    <n v="0"/>
    <x v="79"/>
    <x v="3"/>
    <x v="0"/>
    <n v="-653.79999999999995"/>
  </r>
  <r>
    <n v="1168"/>
    <x v="167"/>
    <x v="3"/>
    <x v="7"/>
    <n v="0"/>
    <n v="3655.71"/>
    <n v="0"/>
    <x v="54"/>
    <n v="0"/>
    <x v="22"/>
    <x v="4"/>
    <x v="0"/>
    <n v="2024.15"/>
  </r>
  <r>
    <n v="1169"/>
    <x v="168"/>
    <x v="4"/>
    <x v="14"/>
    <n v="-1"/>
    <n v="2948.26"/>
    <n v="-2948.26"/>
    <x v="55"/>
    <n v="-294.82599999999996"/>
    <x v="4"/>
    <x v="5"/>
    <x v="0"/>
    <n v="1285.1500000000001"/>
  </r>
  <r>
    <n v="1170"/>
    <x v="169"/>
    <x v="0"/>
    <x v="9"/>
    <n v="0"/>
    <m/>
    <n v="0"/>
    <x v="56"/>
    <n v="0"/>
    <x v="4"/>
    <x v="0"/>
    <x v="0"/>
    <n v="-528.70000000000005"/>
  </r>
  <r>
    <n v="1171"/>
    <x v="170"/>
    <x v="0"/>
    <x v="9"/>
    <n v="1"/>
    <m/>
    <n v="0"/>
    <x v="1"/>
    <n v="0"/>
    <x v="110"/>
    <x v="5"/>
    <x v="1"/>
    <n v="2475.83"/>
  </r>
  <r>
    <n v="1172"/>
    <x v="171"/>
    <x v="1"/>
    <x v="1"/>
    <n v="-2"/>
    <n v="2719.32"/>
    <n v="-5438.64"/>
    <x v="1"/>
    <n v="-5438.64"/>
    <x v="74"/>
    <x v="4"/>
    <x v="0"/>
    <n v="655.1"/>
  </r>
  <r>
    <n v="1173"/>
    <x v="172"/>
    <x v="0"/>
    <x v="5"/>
    <n v="2"/>
    <n v="4063.39"/>
    <n v="8126.78"/>
    <x v="1"/>
    <n v="8126.78"/>
    <x v="4"/>
    <x v="3"/>
    <x v="0"/>
    <n v="2034.39"/>
  </r>
  <r>
    <n v="1174"/>
    <x v="173"/>
    <x v="1"/>
    <x v="22"/>
    <n v="6"/>
    <n v="4984.6499999999996"/>
    <n v="29907.899999999998"/>
    <x v="32"/>
    <n v="17346.582000000002"/>
    <x v="42"/>
    <x v="3"/>
    <x v="0"/>
    <n v="2931.32"/>
  </r>
  <r>
    <n v="1175"/>
    <x v="174"/>
    <x v="5"/>
    <x v="6"/>
    <n v="3"/>
    <m/>
    <n v="0"/>
    <x v="1"/>
    <n v="0"/>
    <x v="111"/>
    <x v="1"/>
    <x v="0"/>
    <n v="728.61"/>
  </r>
  <r>
    <n v="1176"/>
    <x v="175"/>
    <x v="0"/>
    <x v="5"/>
    <n v="6"/>
    <m/>
    <n v="0"/>
    <x v="57"/>
    <n v="0"/>
    <x v="4"/>
    <x v="2"/>
    <x v="1"/>
    <n v="-879.15"/>
  </r>
  <r>
    <n v="1177"/>
    <x v="176"/>
    <x v="0"/>
    <x v="9"/>
    <n v="2"/>
    <n v="2426.13"/>
    <n v="4852.26"/>
    <x v="1"/>
    <n v="4852.26"/>
    <x v="112"/>
    <x v="1"/>
    <x v="0"/>
    <n v="353.91"/>
  </r>
  <r>
    <n v="1178"/>
    <x v="177"/>
    <x v="4"/>
    <x v="4"/>
    <n v="4"/>
    <n v="1204.5899999999999"/>
    <n v="4818.3599999999997"/>
    <x v="1"/>
    <n v="4818.3599999999997"/>
    <x v="4"/>
    <x v="4"/>
    <x v="0"/>
    <n v="2161.64"/>
  </r>
  <r>
    <n v="1179"/>
    <x v="178"/>
    <x v="1"/>
    <x v="15"/>
    <n v="0"/>
    <m/>
    <n v="0"/>
    <x v="1"/>
    <n v="0"/>
    <x v="113"/>
    <x v="2"/>
    <x v="0"/>
    <n v="510.53"/>
  </r>
  <r>
    <n v="1180"/>
    <x v="179"/>
    <x v="5"/>
    <x v="19"/>
    <n v="6"/>
    <n v="2495.96"/>
    <n v="14975.76"/>
    <x v="1"/>
    <n v="14975.76"/>
    <x v="4"/>
    <x v="4"/>
    <x v="0"/>
    <n v="835.4"/>
  </r>
  <r>
    <n v="1181"/>
    <x v="180"/>
    <x v="1"/>
    <x v="15"/>
    <n v="2"/>
    <m/>
    <n v="0"/>
    <x v="1"/>
    <n v="0"/>
    <x v="57"/>
    <x v="2"/>
    <x v="1"/>
    <n v="2564.06"/>
  </r>
  <r>
    <n v="1182"/>
    <x v="181"/>
    <x v="0"/>
    <x v="0"/>
    <n v="-1"/>
    <m/>
    <n v="0"/>
    <x v="1"/>
    <n v="0"/>
    <x v="114"/>
    <x v="5"/>
    <x v="0"/>
    <n v="-747.25"/>
  </r>
  <r>
    <n v="1183"/>
    <x v="182"/>
    <x v="3"/>
    <x v="21"/>
    <n v="6"/>
    <n v="2372.3000000000002"/>
    <n v="14233.800000000001"/>
    <x v="1"/>
    <n v="14233.800000000001"/>
    <x v="115"/>
    <x v="0"/>
    <x v="0"/>
    <n v="1888.87"/>
  </r>
  <r>
    <n v="1184"/>
    <x v="183"/>
    <x v="0"/>
    <x v="20"/>
    <n v="0"/>
    <n v="2697.1"/>
    <n v="0"/>
    <x v="1"/>
    <n v="0"/>
    <x v="116"/>
    <x v="0"/>
    <x v="1"/>
    <n v="1518.99"/>
  </r>
  <r>
    <n v="1185"/>
    <x v="184"/>
    <x v="3"/>
    <x v="3"/>
    <n v="2"/>
    <m/>
    <n v="0"/>
    <x v="1"/>
    <n v="0"/>
    <x v="79"/>
    <x v="0"/>
    <x v="0"/>
    <n v="-445.19"/>
  </r>
  <r>
    <n v="1186"/>
    <x v="185"/>
    <x v="0"/>
    <x v="5"/>
    <n v="6"/>
    <m/>
    <n v="0"/>
    <x v="58"/>
    <n v="0"/>
    <x v="33"/>
    <x v="3"/>
    <x v="1"/>
    <n v="-40.479999999999997"/>
  </r>
  <r>
    <n v="1187"/>
    <x v="186"/>
    <x v="3"/>
    <x v="3"/>
    <n v="3"/>
    <n v="3810.89"/>
    <n v="11432.67"/>
    <x v="1"/>
    <n v="11432.67"/>
    <x v="4"/>
    <x v="2"/>
    <x v="0"/>
    <n v="1153.72"/>
  </r>
  <r>
    <n v="1188"/>
    <x v="187"/>
    <x v="3"/>
    <x v="3"/>
    <n v="6"/>
    <n v="4910.28"/>
    <n v="29461.68"/>
    <x v="59"/>
    <n v="25926.278399999999"/>
    <x v="117"/>
    <x v="3"/>
    <x v="0"/>
    <n v="2089.25"/>
  </r>
  <r>
    <n v="1189"/>
    <x v="188"/>
    <x v="4"/>
    <x v="8"/>
    <n v="2"/>
    <n v="4808.1000000000004"/>
    <n v="9616.2000000000007"/>
    <x v="1"/>
    <n v="9616.2000000000007"/>
    <x v="118"/>
    <x v="1"/>
    <x v="0"/>
    <n v="392.87"/>
  </r>
  <r>
    <n v="1190"/>
    <x v="189"/>
    <x v="1"/>
    <x v="1"/>
    <n v="2"/>
    <m/>
    <n v="0"/>
    <x v="60"/>
    <n v="0"/>
    <x v="8"/>
    <x v="5"/>
    <x v="1"/>
    <n v="75.040000000000006"/>
  </r>
  <r>
    <n v="1191"/>
    <x v="190"/>
    <x v="3"/>
    <x v="3"/>
    <n v="2"/>
    <n v="2469.87"/>
    <n v="4939.74"/>
    <x v="10"/>
    <n v="2173.4855999999995"/>
    <x v="4"/>
    <x v="2"/>
    <x v="0"/>
    <n v="2860.2"/>
  </r>
  <r>
    <n v="1010"/>
    <x v="191"/>
    <x v="4"/>
    <x v="4"/>
    <n v="0"/>
    <m/>
    <n v="0"/>
    <x v="1"/>
    <n v="0"/>
    <x v="4"/>
    <x v="4"/>
    <x v="0"/>
    <n v="2709.47"/>
  </r>
  <r>
    <n v="1193"/>
    <x v="192"/>
    <x v="5"/>
    <x v="6"/>
    <n v="2"/>
    <n v="3031.06"/>
    <n v="6062.12"/>
    <x v="1"/>
    <n v="6062.12"/>
    <x v="119"/>
    <x v="5"/>
    <x v="1"/>
    <n v="-682.74"/>
  </r>
  <r>
    <n v="1032"/>
    <x v="193"/>
    <x v="3"/>
    <x v="7"/>
    <n v="2"/>
    <m/>
    <n v="0"/>
    <x v="1"/>
    <n v="0"/>
    <x v="120"/>
    <x v="1"/>
    <x v="0"/>
    <n v="1941.65"/>
  </r>
  <r>
    <n v="1195"/>
    <x v="194"/>
    <x v="5"/>
    <x v="12"/>
    <n v="2"/>
    <m/>
    <n v="0"/>
    <x v="61"/>
    <n v="0"/>
    <x v="4"/>
    <x v="2"/>
    <x v="0"/>
    <n v="1059.17"/>
  </r>
  <r>
    <n v="1196"/>
    <x v="195"/>
    <x v="0"/>
    <x v="0"/>
    <n v="2"/>
    <n v="3959.06"/>
    <n v="7918.12"/>
    <x v="62"/>
    <n v="4988.4156000000003"/>
    <x v="79"/>
    <x v="4"/>
    <x v="1"/>
    <n v="1539.5"/>
  </r>
  <r>
    <n v="1197"/>
    <x v="196"/>
    <x v="1"/>
    <x v="18"/>
    <n v="1"/>
    <m/>
    <n v="0"/>
    <x v="1"/>
    <n v="0"/>
    <x v="4"/>
    <x v="4"/>
    <x v="1"/>
    <n v="650.97"/>
  </r>
  <r>
    <n v="1198"/>
    <x v="197"/>
    <x v="3"/>
    <x v="7"/>
    <n v="3"/>
    <n v="3594.97"/>
    <n v="10784.91"/>
    <x v="1"/>
    <n v="10784.91"/>
    <x v="121"/>
    <x v="0"/>
    <x v="0"/>
    <n v="2422.27"/>
  </r>
  <r>
    <n v="1199"/>
    <x v="198"/>
    <x v="2"/>
    <x v="17"/>
    <n v="2"/>
    <n v="2317.1"/>
    <n v="4634.2"/>
    <x v="1"/>
    <n v="4634.2"/>
    <x v="122"/>
    <x v="3"/>
    <x v="0"/>
    <n v="2637.77"/>
  </r>
  <r>
    <n v="1200"/>
    <x v="199"/>
    <x v="2"/>
    <x v="10"/>
    <n v="4"/>
    <m/>
    <n v="0"/>
    <x v="1"/>
    <n v="0"/>
    <x v="4"/>
    <x v="4"/>
    <x v="0"/>
    <n v="2782.21"/>
  </r>
  <r>
    <n v="1201"/>
    <x v="200"/>
    <x v="1"/>
    <x v="15"/>
    <n v="2"/>
    <n v="3507.85"/>
    <n v="7015.7"/>
    <x v="1"/>
    <n v="7015.7"/>
    <x v="123"/>
    <x v="5"/>
    <x v="1"/>
    <n v="1023.04"/>
  </r>
  <r>
    <n v="1202"/>
    <x v="201"/>
    <x v="3"/>
    <x v="7"/>
    <n v="2"/>
    <m/>
    <n v="0"/>
    <x v="1"/>
    <n v="0"/>
    <x v="124"/>
    <x v="3"/>
    <x v="0"/>
    <n v="-207.53"/>
  </r>
  <r>
    <n v="1203"/>
    <x v="202"/>
    <x v="4"/>
    <x v="4"/>
    <n v="5"/>
    <m/>
    <n v="0"/>
    <x v="1"/>
    <n v="0"/>
    <x v="125"/>
    <x v="4"/>
    <x v="0"/>
    <n v="657.59"/>
  </r>
  <r>
    <n v="1204"/>
    <x v="203"/>
    <x v="2"/>
    <x v="13"/>
    <n v="2"/>
    <n v="4213.3999999999996"/>
    <n v="8426.7999999999993"/>
    <x v="1"/>
    <n v="8426.7999999999993"/>
    <x v="126"/>
    <x v="5"/>
    <x v="1"/>
    <n v="1867.53"/>
  </r>
  <r>
    <n v="1205"/>
    <x v="204"/>
    <x v="0"/>
    <x v="0"/>
    <n v="2"/>
    <n v="696.49"/>
    <n v="1392.98"/>
    <x v="1"/>
    <n v="1392.98"/>
    <x v="70"/>
    <x v="0"/>
    <x v="0"/>
    <n v="-24.51"/>
  </r>
  <r>
    <n v="1206"/>
    <x v="205"/>
    <x v="4"/>
    <x v="14"/>
    <n v="0"/>
    <m/>
    <n v="0"/>
    <x v="1"/>
    <n v="0"/>
    <x v="127"/>
    <x v="4"/>
    <x v="0"/>
    <n v="2472.2399999999998"/>
  </r>
  <r>
    <n v="1207"/>
    <x v="206"/>
    <x v="0"/>
    <x v="9"/>
    <n v="2"/>
    <n v="563.14"/>
    <n v="1126.28"/>
    <x v="18"/>
    <n v="754.60759999999993"/>
    <x v="128"/>
    <x v="1"/>
    <x v="1"/>
    <n v="945.7"/>
  </r>
  <r>
    <n v="1208"/>
    <x v="207"/>
    <x v="1"/>
    <x v="18"/>
    <n v="1"/>
    <m/>
    <n v="0"/>
    <x v="1"/>
    <n v="0"/>
    <x v="123"/>
    <x v="2"/>
    <x v="0"/>
    <n v="648.73"/>
  </r>
  <r>
    <n v="1209"/>
    <x v="208"/>
    <x v="3"/>
    <x v="21"/>
    <n v="2"/>
    <n v="4029.87"/>
    <n v="8059.74"/>
    <x v="1"/>
    <n v="8059.74"/>
    <x v="107"/>
    <x v="1"/>
    <x v="0"/>
    <n v="1447.79"/>
  </r>
  <r>
    <n v="1210"/>
    <x v="209"/>
    <x v="3"/>
    <x v="21"/>
    <n v="4"/>
    <m/>
    <n v="0"/>
    <x v="63"/>
    <n v="0"/>
    <x v="129"/>
    <x v="0"/>
    <x v="0"/>
    <n v="2179.54"/>
  </r>
  <r>
    <n v="1211"/>
    <x v="210"/>
    <x v="0"/>
    <x v="20"/>
    <n v="2"/>
    <n v="1560.37"/>
    <n v="3120.74"/>
    <x v="1"/>
    <n v="3120.74"/>
    <x v="130"/>
    <x v="1"/>
    <x v="0"/>
    <n v="2783.91"/>
  </r>
  <r>
    <n v="1212"/>
    <x v="211"/>
    <x v="2"/>
    <x v="13"/>
    <n v="-1"/>
    <n v="4098.12"/>
    <n v="-4098.12"/>
    <x v="1"/>
    <n v="-4098.12"/>
    <x v="96"/>
    <x v="4"/>
    <x v="0"/>
    <n v="-656.35"/>
  </r>
  <r>
    <n v="1213"/>
    <x v="212"/>
    <x v="4"/>
    <x v="14"/>
    <n v="2"/>
    <m/>
    <n v="0"/>
    <x v="1"/>
    <n v="0"/>
    <x v="131"/>
    <x v="1"/>
    <x v="0"/>
    <n v="1093.98"/>
  </r>
  <r>
    <n v="1214"/>
    <x v="213"/>
    <x v="1"/>
    <x v="22"/>
    <n v="4"/>
    <n v="1273.5999999999999"/>
    <n v="5094.3999999999996"/>
    <x v="1"/>
    <n v="5094.3999999999996"/>
    <x v="3"/>
    <x v="4"/>
    <x v="0"/>
    <n v="1851.89"/>
  </r>
  <r>
    <n v="1215"/>
    <x v="214"/>
    <x v="4"/>
    <x v="14"/>
    <n v="6"/>
    <n v="3802.27"/>
    <n v="22813.62"/>
    <x v="1"/>
    <n v="22813.62"/>
    <x v="4"/>
    <x v="1"/>
    <x v="0"/>
    <n v="-266.99"/>
  </r>
  <r>
    <n v="1216"/>
    <x v="215"/>
    <x v="4"/>
    <x v="14"/>
    <n v="6"/>
    <m/>
    <n v="0"/>
    <x v="64"/>
    <n v="0"/>
    <x v="132"/>
    <x v="0"/>
    <x v="1"/>
    <n v="2986.8"/>
  </r>
  <r>
    <n v="1217"/>
    <x v="216"/>
    <x v="1"/>
    <x v="18"/>
    <n v="3"/>
    <n v="2850.38"/>
    <n v="8551.14"/>
    <x v="1"/>
    <n v="8551.14"/>
    <x v="4"/>
    <x v="0"/>
    <x v="0"/>
    <n v="17.309999999999999"/>
  </r>
  <r>
    <n v="1218"/>
    <x v="217"/>
    <x v="5"/>
    <x v="12"/>
    <n v="3"/>
    <n v="1544.45"/>
    <n v="4633.3500000000004"/>
    <x v="18"/>
    <n v="3104.3444999999997"/>
    <x v="127"/>
    <x v="4"/>
    <x v="1"/>
    <n v="707.56"/>
  </r>
  <r>
    <n v="1219"/>
    <x v="218"/>
    <x v="0"/>
    <x v="9"/>
    <n v="2"/>
    <m/>
    <n v="0"/>
    <x v="1"/>
    <n v="0"/>
    <x v="133"/>
    <x v="3"/>
    <x v="0"/>
    <n v="2206"/>
  </r>
  <r>
    <n v="1220"/>
    <x v="219"/>
    <x v="4"/>
    <x v="8"/>
    <n v="2"/>
    <m/>
    <n v="0"/>
    <x v="1"/>
    <n v="0"/>
    <x v="132"/>
    <x v="3"/>
    <x v="0"/>
    <n v="1598.22"/>
  </r>
  <r>
    <n v="1221"/>
    <x v="220"/>
    <x v="3"/>
    <x v="3"/>
    <n v="3"/>
    <m/>
    <n v="0"/>
    <x v="1"/>
    <n v="0"/>
    <x v="134"/>
    <x v="2"/>
    <x v="1"/>
    <n v="898.67"/>
  </r>
  <r>
    <n v="1222"/>
    <x v="221"/>
    <x v="4"/>
    <x v="14"/>
    <n v="2"/>
    <n v="683.85"/>
    <n v="1367.7"/>
    <x v="1"/>
    <n v="1367.7"/>
    <x v="135"/>
    <x v="5"/>
    <x v="0"/>
    <n v="1489.45"/>
  </r>
  <r>
    <n v="1223"/>
    <x v="222"/>
    <x v="4"/>
    <x v="4"/>
    <n v="2"/>
    <m/>
    <n v="0"/>
    <x v="1"/>
    <n v="0"/>
    <x v="4"/>
    <x v="4"/>
    <x v="1"/>
    <n v="-531.04999999999995"/>
  </r>
  <r>
    <n v="1224"/>
    <x v="223"/>
    <x v="5"/>
    <x v="12"/>
    <n v="2"/>
    <m/>
    <n v="0"/>
    <x v="1"/>
    <n v="0"/>
    <x v="136"/>
    <x v="1"/>
    <x v="0"/>
    <n v="2219.56"/>
  </r>
  <r>
    <n v="1225"/>
    <x v="224"/>
    <x v="2"/>
    <x v="2"/>
    <n v="-1"/>
    <n v="1406.32"/>
    <n v="-1406.32"/>
    <x v="65"/>
    <n v="70.316000000000059"/>
    <x v="23"/>
    <x v="3"/>
    <x v="0"/>
    <n v="1937.71"/>
  </r>
  <r>
    <n v="1226"/>
    <x v="225"/>
    <x v="5"/>
    <x v="19"/>
    <n v="1"/>
    <m/>
    <n v="0"/>
    <x v="23"/>
    <n v="0"/>
    <x v="11"/>
    <x v="1"/>
    <x v="1"/>
    <n v="2806.56"/>
  </r>
  <r>
    <n v="1227"/>
    <x v="226"/>
    <x v="3"/>
    <x v="7"/>
    <n v="2"/>
    <m/>
    <n v="0"/>
    <x v="66"/>
    <n v="0"/>
    <x v="137"/>
    <x v="4"/>
    <x v="0"/>
    <n v="2096.6799999999998"/>
  </r>
  <r>
    <n v="1048"/>
    <x v="227"/>
    <x v="3"/>
    <x v="23"/>
    <n v="2"/>
    <n v="2298.27"/>
    <n v="4596.54"/>
    <x v="34"/>
    <n v="1884.5814"/>
    <x v="138"/>
    <x v="5"/>
    <x v="1"/>
    <n v="2994.93"/>
  </r>
  <r>
    <n v="1229"/>
    <x v="228"/>
    <x v="5"/>
    <x v="19"/>
    <n v="2"/>
    <m/>
    <n v="0"/>
    <x v="1"/>
    <n v="0"/>
    <x v="4"/>
    <x v="0"/>
    <x v="0"/>
    <n v="925.22"/>
  </r>
  <r>
    <n v="1230"/>
    <x v="229"/>
    <x v="3"/>
    <x v="21"/>
    <n v="3"/>
    <m/>
    <n v="0"/>
    <x v="61"/>
    <n v="0"/>
    <x v="4"/>
    <x v="4"/>
    <x v="0"/>
    <n v="2725.11"/>
  </r>
  <r>
    <n v="1231"/>
    <x v="230"/>
    <x v="2"/>
    <x v="13"/>
    <n v="1"/>
    <n v="1744.73"/>
    <n v="1744.73"/>
    <x v="1"/>
    <n v="1744.73"/>
    <x v="4"/>
    <x v="5"/>
    <x v="1"/>
    <n v="1393.69"/>
  </r>
  <r>
    <n v="1232"/>
    <x v="231"/>
    <x v="2"/>
    <x v="10"/>
    <n v="2"/>
    <n v="2526.77"/>
    <n v="5053.54"/>
    <x v="1"/>
    <n v="5053.54"/>
    <x v="139"/>
    <x v="2"/>
    <x v="0"/>
    <n v="1494.67"/>
  </r>
  <r>
    <n v="1233"/>
    <x v="232"/>
    <x v="1"/>
    <x v="1"/>
    <n v="-1"/>
    <m/>
    <n v="0"/>
    <x v="35"/>
    <n v="0"/>
    <x v="140"/>
    <x v="3"/>
    <x v="0"/>
    <n v="2237.2399999999998"/>
  </r>
  <r>
    <n v="1234"/>
    <x v="233"/>
    <x v="0"/>
    <x v="9"/>
    <n v="2"/>
    <n v="1069.8800000000001"/>
    <n v="2139.7600000000002"/>
    <x v="67"/>
    <n v="2032.7720000000002"/>
    <x v="141"/>
    <x v="5"/>
    <x v="1"/>
    <n v="110.58"/>
  </r>
  <r>
    <n v="1235"/>
    <x v="234"/>
    <x v="1"/>
    <x v="15"/>
    <n v="2"/>
    <m/>
    <n v="0"/>
    <x v="1"/>
    <n v="0"/>
    <x v="4"/>
    <x v="4"/>
    <x v="1"/>
    <n v="-403.94"/>
  </r>
  <r>
    <n v="1036"/>
    <x v="235"/>
    <x v="4"/>
    <x v="8"/>
    <n v="2"/>
    <n v="4802.42"/>
    <n v="9604.84"/>
    <x v="68"/>
    <n v="-1728.8711999999994"/>
    <x v="142"/>
    <x v="4"/>
    <x v="0"/>
    <n v="605.03"/>
  </r>
  <r>
    <n v="1237"/>
    <x v="236"/>
    <x v="4"/>
    <x v="14"/>
    <n v="2"/>
    <m/>
    <n v="0"/>
    <x v="69"/>
    <n v="0"/>
    <x v="143"/>
    <x v="5"/>
    <x v="0"/>
    <n v="-465.98"/>
  </r>
  <r>
    <n v="1238"/>
    <x v="237"/>
    <x v="2"/>
    <x v="13"/>
    <n v="2"/>
    <m/>
    <n v="0"/>
    <x v="1"/>
    <n v="0"/>
    <x v="4"/>
    <x v="5"/>
    <x v="0"/>
    <n v="2742.61"/>
  </r>
  <r>
    <n v="1239"/>
    <x v="238"/>
    <x v="4"/>
    <x v="16"/>
    <n v="4"/>
    <n v="644.58000000000004"/>
    <n v="2578.3200000000002"/>
    <x v="1"/>
    <n v="2578.3200000000002"/>
    <x v="144"/>
    <x v="0"/>
    <x v="1"/>
    <n v="1097.8800000000001"/>
  </r>
  <r>
    <n v="1240"/>
    <x v="239"/>
    <x v="5"/>
    <x v="6"/>
    <n v="2"/>
    <n v="4634.13"/>
    <n v="9268.26"/>
    <x v="1"/>
    <n v="9268.26"/>
    <x v="145"/>
    <x v="3"/>
    <x v="0"/>
    <n v="2625.44"/>
  </r>
  <r>
    <n v="1241"/>
    <x v="240"/>
    <x v="0"/>
    <x v="0"/>
    <n v="6"/>
    <n v="3111.95"/>
    <n v="18671.699999999997"/>
    <x v="1"/>
    <n v="18671.699999999997"/>
    <x v="146"/>
    <x v="3"/>
    <x v="0"/>
    <n v="2814.82"/>
  </r>
  <r>
    <n v="1242"/>
    <x v="241"/>
    <x v="0"/>
    <x v="20"/>
    <n v="-1"/>
    <m/>
    <n v="0"/>
    <x v="1"/>
    <n v="0"/>
    <x v="76"/>
    <x v="5"/>
    <x v="1"/>
    <n v="1576.74"/>
  </r>
  <r>
    <n v="1243"/>
    <x v="242"/>
    <x v="3"/>
    <x v="23"/>
    <n v="3"/>
    <m/>
    <n v="0"/>
    <x v="70"/>
    <n v="0"/>
    <x v="147"/>
    <x v="1"/>
    <x v="0"/>
    <n v="779.51"/>
  </r>
  <r>
    <n v="1244"/>
    <x v="243"/>
    <x v="5"/>
    <x v="11"/>
    <n v="6"/>
    <m/>
    <n v="0"/>
    <x v="1"/>
    <n v="0"/>
    <x v="148"/>
    <x v="1"/>
    <x v="0"/>
    <n v="2574.7600000000002"/>
  </r>
  <r>
    <n v="1245"/>
    <x v="244"/>
    <x v="4"/>
    <x v="14"/>
    <n v="2"/>
    <n v="1822.9"/>
    <n v="3645.8"/>
    <x v="1"/>
    <n v="3645.8"/>
    <x v="149"/>
    <x v="0"/>
    <x v="0"/>
    <n v="1076.3399999999999"/>
  </r>
  <r>
    <n v="1246"/>
    <x v="245"/>
    <x v="5"/>
    <x v="11"/>
    <n v="0"/>
    <m/>
    <n v="0"/>
    <x v="71"/>
    <n v="0"/>
    <x v="4"/>
    <x v="4"/>
    <x v="0"/>
    <n v="733.8"/>
  </r>
  <r>
    <n v="1247"/>
    <x v="246"/>
    <x v="4"/>
    <x v="4"/>
    <n v="-1"/>
    <m/>
    <n v="0"/>
    <x v="1"/>
    <n v="0"/>
    <x v="4"/>
    <x v="4"/>
    <x v="1"/>
    <n v="1605.97"/>
  </r>
  <r>
    <n v="1248"/>
    <x v="247"/>
    <x v="3"/>
    <x v="21"/>
    <n v="2"/>
    <m/>
    <n v="0"/>
    <x v="72"/>
    <n v="0"/>
    <x v="150"/>
    <x v="2"/>
    <x v="1"/>
    <n v="397.41"/>
  </r>
  <r>
    <n v="1249"/>
    <x v="248"/>
    <x v="3"/>
    <x v="23"/>
    <n v="2"/>
    <m/>
    <n v="0"/>
    <x v="37"/>
    <n v="0"/>
    <x v="151"/>
    <x v="5"/>
    <x v="0"/>
    <n v="809.89"/>
  </r>
  <r>
    <n v="1250"/>
    <x v="249"/>
    <x v="2"/>
    <x v="13"/>
    <n v="2"/>
    <m/>
    <n v="0"/>
    <x v="1"/>
    <n v="0"/>
    <x v="4"/>
    <x v="0"/>
    <x v="1"/>
    <n v="1653.07"/>
  </r>
  <r>
    <n v="1251"/>
    <x v="250"/>
    <x v="5"/>
    <x v="6"/>
    <n v="2"/>
    <n v="4841.3999999999996"/>
    <n v="9682.7999999999993"/>
    <x v="0"/>
    <n v="3873.12"/>
    <x v="152"/>
    <x v="5"/>
    <x v="0"/>
    <n v="578.37"/>
  </r>
  <r>
    <n v="1252"/>
    <x v="251"/>
    <x v="4"/>
    <x v="14"/>
    <n v="6"/>
    <n v="1638.51"/>
    <n v="9831.06"/>
    <x v="29"/>
    <n v="1179.7271999999998"/>
    <x v="153"/>
    <x v="2"/>
    <x v="0"/>
    <n v="1484.7"/>
  </r>
  <r>
    <n v="1253"/>
    <x v="252"/>
    <x v="5"/>
    <x v="12"/>
    <n v="2"/>
    <m/>
    <n v="0"/>
    <x v="1"/>
    <n v="0"/>
    <x v="152"/>
    <x v="3"/>
    <x v="1"/>
    <n v="2512.63"/>
  </r>
  <r>
    <n v="1254"/>
    <x v="253"/>
    <x v="2"/>
    <x v="13"/>
    <n v="6"/>
    <m/>
    <n v="0"/>
    <x v="1"/>
    <n v="0"/>
    <x v="154"/>
    <x v="2"/>
    <x v="1"/>
    <n v="2418.9899999999998"/>
  </r>
  <r>
    <n v="1255"/>
    <x v="254"/>
    <x v="4"/>
    <x v="14"/>
    <n v="4"/>
    <n v="1849.68"/>
    <n v="7398.72"/>
    <x v="1"/>
    <n v="7398.72"/>
    <x v="93"/>
    <x v="4"/>
    <x v="0"/>
    <n v="-706.09"/>
  </r>
  <r>
    <n v="1256"/>
    <x v="255"/>
    <x v="1"/>
    <x v="15"/>
    <n v="2"/>
    <n v="1801.38"/>
    <n v="3602.76"/>
    <x v="1"/>
    <n v="3602.76"/>
    <x v="155"/>
    <x v="3"/>
    <x v="0"/>
    <n v="2071.1"/>
  </r>
  <r>
    <n v="1257"/>
    <x v="256"/>
    <x v="0"/>
    <x v="9"/>
    <n v="2"/>
    <n v="1228.78"/>
    <n v="2457.56"/>
    <x v="1"/>
    <n v="2457.56"/>
    <x v="4"/>
    <x v="1"/>
    <x v="0"/>
    <n v="-83.19"/>
  </r>
  <r>
    <n v="1258"/>
    <x v="257"/>
    <x v="5"/>
    <x v="19"/>
    <n v="-2"/>
    <n v="4313.38"/>
    <n v="-8626.76"/>
    <x v="1"/>
    <n v="-8626.76"/>
    <x v="156"/>
    <x v="0"/>
    <x v="0"/>
    <n v="2636.96"/>
  </r>
  <r>
    <n v="1259"/>
    <x v="258"/>
    <x v="2"/>
    <x v="17"/>
    <n v="-2"/>
    <n v="3396.92"/>
    <n v="-6793.84"/>
    <x v="1"/>
    <n v="-6793.84"/>
    <x v="80"/>
    <x v="1"/>
    <x v="0"/>
    <n v="-830.5"/>
  </r>
  <r>
    <n v="1260"/>
    <x v="259"/>
    <x v="5"/>
    <x v="11"/>
    <n v="2"/>
    <m/>
    <n v="0"/>
    <x v="1"/>
    <n v="0"/>
    <x v="157"/>
    <x v="0"/>
    <x v="1"/>
    <n v="-817.8"/>
  </r>
  <r>
    <n v="1012"/>
    <x v="260"/>
    <x v="0"/>
    <x v="5"/>
    <n v="2"/>
    <n v="4129.37"/>
    <n v="8258.74"/>
    <x v="1"/>
    <n v="8258.74"/>
    <x v="7"/>
    <x v="0"/>
    <x v="1"/>
    <n v="2328.1"/>
  </r>
  <r>
    <n v="1262"/>
    <x v="261"/>
    <x v="3"/>
    <x v="21"/>
    <n v="2"/>
    <m/>
    <n v="0"/>
    <x v="73"/>
    <n v="0"/>
    <x v="158"/>
    <x v="3"/>
    <x v="1"/>
    <n v="786.25"/>
  </r>
  <r>
    <n v="1263"/>
    <x v="262"/>
    <x v="2"/>
    <x v="13"/>
    <n v="2"/>
    <n v="2542.7199999999998"/>
    <n v="5085.4399999999996"/>
    <x v="1"/>
    <n v="5085.4399999999996"/>
    <x v="4"/>
    <x v="0"/>
    <x v="0"/>
    <n v="-136.41"/>
  </r>
  <r>
    <n v="1264"/>
    <x v="263"/>
    <x v="4"/>
    <x v="16"/>
    <n v="2"/>
    <n v="3382.08"/>
    <n v="6764.16"/>
    <x v="1"/>
    <n v="6764.16"/>
    <x v="159"/>
    <x v="0"/>
    <x v="0"/>
    <n v="1647.48"/>
  </r>
  <r>
    <n v="1265"/>
    <x v="264"/>
    <x v="4"/>
    <x v="16"/>
    <n v="0"/>
    <n v="721.41"/>
    <n v="0"/>
    <x v="63"/>
    <n v="0"/>
    <x v="160"/>
    <x v="4"/>
    <x v="0"/>
    <n v="1718.95"/>
  </r>
  <r>
    <n v="1266"/>
    <x v="265"/>
    <x v="2"/>
    <x v="13"/>
    <n v="2"/>
    <m/>
    <n v="0"/>
    <x v="74"/>
    <n v="0"/>
    <x v="161"/>
    <x v="0"/>
    <x v="0"/>
    <n v="1024.8599999999999"/>
  </r>
  <r>
    <n v="1267"/>
    <x v="266"/>
    <x v="1"/>
    <x v="15"/>
    <n v="3"/>
    <n v="3255.23"/>
    <n v="9765.69"/>
    <x v="1"/>
    <n v="9765.69"/>
    <x v="162"/>
    <x v="0"/>
    <x v="1"/>
    <n v="650.79999999999995"/>
  </r>
  <r>
    <n v="1268"/>
    <x v="267"/>
    <x v="1"/>
    <x v="18"/>
    <n v="1"/>
    <m/>
    <n v="0"/>
    <x v="75"/>
    <n v="0"/>
    <x v="4"/>
    <x v="5"/>
    <x v="0"/>
    <n v="2668.22"/>
  </r>
  <r>
    <n v="1269"/>
    <x v="268"/>
    <x v="4"/>
    <x v="16"/>
    <n v="2"/>
    <m/>
    <n v="0"/>
    <x v="1"/>
    <n v="0"/>
    <x v="4"/>
    <x v="2"/>
    <x v="0"/>
    <n v="483.01"/>
  </r>
  <r>
    <n v="1270"/>
    <x v="269"/>
    <x v="4"/>
    <x v="16"/>
    <n v="0"/>
    <n v="4446.82"/>
    <n v="0"/>
    <x v="1"/>
    <n v="0"/>
    <x v="163"/>
    <x v="4"/>
    <x v="1"/>
    <n v="-293.05"/>
  </r>
  <r>
    <n v="1271"/>
    <x v="270"/>
    <x v="4"/>
    <x v="8"/>
    <n v="2"/>
    <m/>
    <n v="0"/>
    <x v="1"/>
    <n v="0"/>
    <x v="164"/>
    <x v="3"/>
    <x v="1"/>
    <n v="1295.93"/>
  </r>
  <r>
    <n v="1272"/>
    <x v="271"/>
    <x v="3"/>
    <x v="3"/>
    <n v="2"/>
    <n v="1429.94"/>
    <n v="2859.88"/>
    <x v="1"/>
    <n v="2859.88"/>
    <x v="165"/>
    <x v="4"/>
    <x v="1"/>
    <n v="484.51"/>
  </r>
  <r>
    <n v="1273"/>
    <x v="272"/>
    <x v="4"/>
    <x v="8"/>
    <n v="2"/>
    <m/>
    <n v="0"/>
    <x v="1"/>
    <n v="0"/>
    <x v="2"/>
    <x v="4"/>
    <x v="0"/>
    <n v="-431.92"/>
  </r>
  <r>
    <n v="1274"/>
    <x v="273"/>
    <x v="5"/>
    <x v="12"/>
    <n v="2"/>
    <m/>
    <n v="0"/>
    <x v="34"/>
    <n v="0"/>
    <x v="4"/>
    <x v="1"/>
    <x v="1"/>
    <n v="62.98"/>
  </r>
  <r>
    <n v="1275"/>
    <x v="274"/>
    <x v="5"/>
    <x v="6"/>
    <n v="3"/>
    <n v="4132"/>
    <n v="12396"/>
    <x v="1"/>
    <n v="12396"/>
    <x v="166"/>
    <x v="3"/>
    <x v="1"/>
    <n v="2732.47"/>
  </r>
  <r>
    <n v="1276"/>
    <x v="275"/>
    <x v="2"/>
    <x v="17"/>
    <n v="2"/>
    <n v="3243.45"/>
    <n v="6486.9"/>
    <x v="76"/>
    <n v="2529.8910000000001"/>
    <x v="4"/>
    <x v="2"/>
    <x v="0"/>
    <n v="-869.12"/>
  </r>
  <r>
    <n v="1277"/>
    <x v="276"/>
    <x v="3"/>
    <x v="7"/>
    <n v="2"/>
    <n v="4720.5200000000004"/>
    <n v="9441.0400000000009"/>
    <x v="13"/>
    <n v="4059.6472000000008"/>
    <x v="167"/>
    <x v="0"/>
    <x v="0"/>
    <n v="1255.6600000000001"/>
  </r>
  <r>
    <n v="1278"/>
    <x v="277"/>
    <x v="3"/>
    <x v="7"/>
    <n v="2"/>
    <n v="3550.91"/>
    <n v="7101.82"/>
    <x v="1"/>
    <n v="7101.82"/>
    <x v="168"/>
    <x v="0"/>
    <x v="0"/>
    <n v="466.53"/>
  </r>
  <r>
    <n v="1279"/>
    <x v="278"/>
    <x v="2"/>
    <x v="17"/>
    <n v="2"/>
    <n v="2600.33"/>
    <n v="5200.66"/>
    <x v="1"/>
    <n v="5200.66"/>
    <x v="169"/>
    <x v="1"/>
    <x v="0"/>
    <n v="1430.67"/>
  </r>
  <r>
    <n v="1280"/>
    <x v="279"/>
    <x v="4"/>
    <x v="4"/>
    <n v="3"/>
    <m/>
    <n v="0"/>
    <x v="1"/>
    <n v="0"/>
    <x v="170"/>
    <x v="1"/>
    <x v="1"/>
    <n v="263.41000000000003"/>
  </r>
  <r>
    <n v="1003"/>
    <x v="280"/>
    <x v="1"/>
    <x v="1"/>
    <n v="-2"/>
    <n v="548.19000000000005"/>
    <n v="-1096.3800000000001"/>
    <x v="1"/>
    <n v="-1096.3800000000001"/>
    <x v="171"/>
    <x v="2"/>
    <x v="0"/>
    <n v="259.02999999999997"/>
  </r>
  <r>
    <n v="1282"/>
    <x v="281"/>
    <x v="2"/>
    <x v="2"/>
    <n v="-1"/>
    <m/>
    <n v="0"/>
    <x v="50"/>
    <n v="0"/>
    <x v="172"/>
    <x v="2"/>
    <x v="1"/>
    <n v="-909.75"/>
  </r>
  <r>
    <n v="1283"/>
    <x v="282"/>
    <x v="2"/>
    <x v="13"/>
    <n v="2"/>
    <m/>
    <n v="0"/>
    <x v="52"/>
    <n v="0"/>
    <x v="4"/>
    <x v="4"/>
    <x v="1"/>
    <n v="379.24"/>
  </r>
  <r>
    <n v="1284"/>
    <x v="283"/>
    <x v="1"/>
    <x v="1"/>
    <n v="2"/>
    <n v="1500.19"/>
    <n v="3000.38"/>
    <x v="1"/>
    <n v="3000.38"/>
    <x v="173"/>
    <x v="4"/>
    <x v="0"/>
    <n v="-348.48"/>
  </r>
  <r>
    <n v="1285"/>
    <x v="284"/>
    <x v="3"/>
    <x v="3"/>
    <n v="5"/>
    <m/>
    <n v="0"/>
    <x v="1"/>
    <n v="0"/>
    <x v="4"/>
    <x v="0"/>
    <x v="0"/>
    <n v="2024.84"/>
  </r>
  <r>
    <n v="1286"/>
    <x v="285"/>
    <x v="4"/>
    <x v="16"/>
    <n v="2"/>
    <n v="2972.45"/>
    <n v="5944.9"/>
    <x v="1"/>
    <n v="5944.9"/>
    <x v="174"/>
    <x v="2"/>
    <x v="0"/>
    <n v="2562.54"/>
  </r>
  <r>
    <n v="1287"/>
    <x v="286"/>
    <x v="0"/>
    <x v="0"/>
    <n v="2"/>
    <m/>
    <n v="0"/>
    <x v="1"/>
    <n v="0"/>
    <x v="175"/>
    <x v="3"/>
    <x v="1"/>
    <n v="802.66"/>
  </r>
  <r>
    <n v="1288"/>
    <x v="287"/>
    <x v="2"/>
    <x v="13"/>
    <n v="4"/>
    <m/>
    <n v="0"/>
    <x v="1"/>
    <n v="0"/>
    <x v="4"/>
    <x v="0"/>
    <x v="1"/>
    <n v="-492.73"/>
  </r>
  <r>
    <n v="1289"/>
    <x v="288"/>
    <x v="1"/>
    <x v="18"/>
    <n v="2"/>
    <n v="3590.85"/>
    <n v="7181.7"/>
    <x v="1"/>
    <n v="7181.7"/>
    <x v="4"/>
    <x v="2"/>
    <x v="0"/>
    <n v="2052.5700000000002"/>
  </r>
  <r>
    <n v="1290"/>
    <x v="289"/>
    <x v="0"/>
    <x v="0"/>
    <n v="2"/>
    <n v="1412.12"/>
    <n v="2824.24"/>
    <x v="61"/>
    <n v="-564.84799999999984"/>
    <x v="4"/>
    <x v="0"/>
    <x v="1"/>
    <n v="430.92"/>
  </r>
  <r>
    <n v="1291"/>
    <x v="290"/>
    <x v="1"/>
    <x v="1"/>
    <n v="2"/>
    <m/>
    <n v="0"/>
    <x v="1"/>
    <n v="0"/>
    <x v="4"/>
    <x v="4"/>
    <x v="0"/>
    <n v="1073.44"/>
  </r>
  <r>
    <n v="1292"/>
    <x v="291"/>
    <x v="5"/>
    <x v="11"/>
    <n v="3"/>
    <m/>
    <n v="0"/>
    <x v="28"/>
    <n v="0"/>
    <x v="4"/>
    <x v="2"/>
    <x v="0"/>
    <n v="1165.8599999999999"/>
  </r>
  <r>
    <n v="1293"/>
    <x v="292"/>
    <x v="1"/>
    <x v="18"/>
    <n v="2"/>
    <m/>
    <n v="0"/>
    <x v="1"/>
    <n v="0"/>
    <x v="4"/>
    <x v="4"/>
    <x v="1"/>
    <n v="2073.16"/>
  </r>
  <r>
    <n v="1294"/>
    <x v="293"/>
    <x v="3"/>
    <x v="21"/>
    <n v="2"/>
    <m/>
    <n v="0"/>
    <x v="10"/>
    <n v="0"/>
    <x v="4"/>
    <x v="0"/>
    <x v="1"/>
    <n v="898.24"/>
  </r>
  <r>
    <n v="1295"/>
    <x v="294"/>
    <x v="1"/>
    <x v="22"/>
    <n v="-1"/>
    <m/>
    <n v="0"/>
    <x v="1"/>
    <n v="0"/>
    <x v="176"/>
    <x v="3"/>
    <x v="0"/>
    <n v="2967.72"/>
  </r>
  <r>
    <n v="1296"/>
    <x v="295"/>
    <x v="0"/>
    <x v="0"/>
    <n v="-2"/>
    <n v="2795.79"/>
    <n v="-5591.58"/>
    <x v="1"/>
    <n v="-5591.58"/>
    <x v="177"/>
    <x v="3"/>
    <x v="1"/>
    <n v="1438.47"/>
  </r>
  <r>
    <n v="1297"/>
    <x v="296"/>
    <x v="1"/>
    <x v="1"/>
    <n v="2"/>
    <n v="4524.2"/>
    <n v="9048.4"/>
    <x v="1"/>
    <n v="9048.4"/>
    <x v="178"/>
    <x v="0"/>
    <x v="0"/>
    <n v="1637.33"/>
  </r>
  <r>
    <n v="1298"/>
    <x v="297"/>
    <x v="4"/>
    <x v="16"/>
    <n v="2"/>
    <m/>
    <n v="0"/>
    <x v="1"/>
    <n v="0"/>
    <x v="82"/>
    <x v="1"/>
    <x v="0"/>
    <n v="2490.23"/>
  </r>
  <r>
    <n v="1299"/>
    <x v="298"/>
    <x v="1"/>
    <x v="18"/>
    <n v="1"/>
    <n v="1026.58"/>
    <n v="1026.58"/>
    <x v="1"/>
    <n v="1026.58"/>
    <x v="11"/>
    <x v="4"/>
    <x v="0"/>
    <n v="1178.3699999999999"/>
  </r>
  <r>
    <n v="1300"/>
    <x v="299"/>
    <x v="0"/>
    <x v="0"/>
    <n v="2"/>
    <n v="4611.8999999999996"/>
    <n v="9223.7999999999993"/>
    <x v="1"/>
    <n v="9223.7999999999993"/>
    <x v="140"/>
    <x v="0"/>
    <x v="1"/>
    <n v="703.48"/>
  </r>
  <r>
    <n v="1047"/>
    <x v="300"/>
    <x v="0"/>
    <x v="9"/>
    <n v="5"/>
    <m/>
    <n v="0"/>
    <x v="23"/>
    <n v="0"/>
    <x v="179"/>
    <x v="4"/>
    <x v="0"/>
    <n v="1368.68"/>
  </r>
  <r>
    <n v="1302"/>
    <x v="301"/>
    <x v="0"/>
    <x v="20"/>
    <n v="5"/>
    <m/>
    <n v="0"/>
    <x v="48"/>
    <n v="0"/>
    <x v="154"/>
    <x v="1"/>
    <x v="0"/>
    <n v="339.17"/>
  </r>
  <r>
    <n v="1303"/>
    <x v="302"/>
    <x v="0"/>
    <x v="9"/>
    <n v="3"/>
    <n v="1192.1600000000001"/>
    <n v="3576.4800000000005"/>
    <x v="1"/>
    <n v="3576.4800000000005"/>
    <x v="4"/>
    <x v="5"/>
    <x v="1"/>
    <n v="505.33"/>
  </r>
  <r>
    <n v="1047"/>
    <x v="303"/>
    <x v="5"/>
    <x v="11"/>
    <n v="2"/>
    <n v="3218.39"/>
    <n v="6436.78"/>
    <x v="1"/>
    <n v="6436.78"/>
    <x v="180"/>
    <x v="2"/>
    <x v="1"/>
    <n v="-442.98"/>
  </r>
  <r>
    <n v="1305"/>
    <x v="304"/>
    <x v="1"/>
    <x v="15"/>
    <n v="3"/>
    <m/>
    <n v="0"/>
    <x v="1"/>
    <n v="0"/>
    <x v="181"/>
    <x v="0"/>
    <x v="0"/>
    <n v="2861.3"/>
  </r>
  <r>
    <n v="1306"/>
    <x v="305"/>
    <x v="3"/>
    <x v="3"/>
    <n v="4"/>
    <m/>
    <n v="0"/>
    <x v="1"/>
    <n v="0"/>
    <x v="4"/>
    <x v="1"/>
    <x v="0"/>
    <n v="99.1"/>
  </r>
  <r>
    <n v="1307"/>
    <x v="306"/>
    <x v="5"/>
    <x v="11"/>
    <n v="2"/>
    <n v="2648.43"/>
    <n v="5296.86"/>
    <x v="1"/>
    <n v="5296.86"/>
    <x v="119"/>
    <x v="1"/>
    <x v="1"/>
    <n v="642"/>
  </r>
  <r>
    <n v="1308"/>
    <x v="307"/>
    <x v="5"/>
    <x v="19"/>
    <n v="2"/>
    <n v="4203.62"/>
    <n v="8407.24"/>
    <x v="1"/>
    <n v="8407.24"/>
    <x v="182"/>
    <x v="2"/>
    <x v="1"/>
    <n v="464.65"/>
  </r>
  <r>
    <n v="1309"/>
    <x v="308"/>
    <x v="3"/>
    <x v="23"/>
    <n v="2"/>
    <m/>
    <n v="0"/>
    <x v="1"/>
    <n v="0"/>
    <x v="92"/>
    <x v="5"/>
    <x v="1"/>
    <n v="481.45"/>
  </r>
  <r>
    <n v="1310"/>
    <x v="309"/>
    <x v="5"/>
    <x v="11"/>
    <n v="2"/>
    <m/>
    <n v="0"/>
    <x v="1"/>
    <n v="0"/>
    <x v="68"/>
    <x v="5"/>
    <x v="1"/>
    <n v="1516.35"/>
  </r>
  <r>
    <n v="1311"/>
    <x v="310"/>
    <x v="1"/>
    <x v="15"/>
    <n v="3"/>
    <m/>
    <n v="0"/>
    <x v="77"/>
    <n v="0"/>
    <x v="165"/>
    <x v="2"/>
    <x v="1"/>
    <n v="-109.19"/>
  </r>
  <r>
    <n v="1312"/>
    <x v="311"/>
    <x v="3"/>
    <x v="7"/>
    <n v="2"/>
    <m/>
    <n v="0"/>
    <x v="1"/>
    <n v="0"/>
    <x v="183"/>
    <x v="5"/>
    <x v="1"/>
    <n v="-646.16"/>
  </r>
  <r>
    <n v="1313"/>
    <x v="312"/>
    <x v="3"/>
    <x v="21"/>
    <n v="2"/>
    <n v="4763.45"/>
    <n v="9526.9"/>
    <x v="78"/>
    <n v="381.07600000000031"/>
    <x v="184"/>
    <x v="5"/>
    <x v="0"/>
    <n v="-581.35"/>
  </r>
  <r>
    <n v="1314"/>
    <x v="313"/>
    <x v="2"/>
    <x v="13"/>
    <n v="-1"/>
    <m/>
    <n v="0"/>
    <x v="1"/>
    <n v="0"/>
    <x v="185"/>
    <x v="4"/>
    <x v="0"/>
    <n v="1148.06"/>
  </r>
  <r>
    <n v="1315"/>
    <x v="314"/>
    <x v="0"/>
    <x v="5"/>
    <n v="-2"/>
    <n v="515.04"/>
    <n v="-1030.08"/>
    <x v="1"/>
    <n v="-1030.08"/>
    <x v="186"/>
    <x v="3"/>
    <x v="0"/>
    <n v="-279.01"/>
  </r>
  <r>
    <n v="1316"/>
    <x v="315"/>
    <x v="4"/>
    <x v="4"/>
    <n v="2"/>
    <n v="1345.98"/>
    <n v="2691.96"/>
    <x v="1"/>
    <n v="2691.96"/>
    <x v="187"/>
    <x v="5"/>
    <x v="0"/>
    <n v="-177.6"/>
  </r>
  <r>
    <n v="1317"/>
    <x v="316"/>
    <x v="3"/>
    <x v="21"/>
    <n v="0"/>
    <m/>
    <n v="0"/>
    <x v="1"/>
    <n v="0"/>
    <x v="188"/>
    <x v="2"/>
    <x v="1"/>
    <n v="-476.45"/>
  </r>
  <r>
    <n v="1318"/>
    <x v="317"/>
    <x v="3"/>
    <x v="3"/>
    <n v="3"/>
    <m/>
    <n v="0"/>
    <x v="1"/>
    <n v="0"/>
    <x v="4"/>
    <x v="5"/>
    <x v="0"/>
    <n v="1830.14"/>
  </r>
  <r>
    <n v="1319"/>
    <x v="318"/>
    <x v="5"/>
    <x v="19"/>
    <n v="0"/>
    <m/>
    <n v="0"/>
    <x v="1"/>
    <n v="0"/>
    <x v="189"/>
    <x v="1"/>
    <x v="0"/>
    <n v="-66.17"/>
  </r>
  <r>
    <n v="1320"/>
    <x v="319"/>
    <x v="3"/>
    <x v="3"/>
    <n v="4"/>
    <m/>
    <n v="0"/>
    <x v="1"/>
    <n v="0"/>
    <x v="4"/>
    <x v="0"/>
    <x v="1"/>
    <n v="2011.4"/>
  </r>
  <r>
    <n v="1321"/>
    <x v="320"/>
    <x v="1"/>
    <x v="22"/>
    <n v="3"/>
    <m/>
    <n v="0"/>
    <x v="79"/>
    <n v="0"/>
    <x v="190"/>
    <x v="0"/>
    <x v="0"/>
    <n v="632.23"/>
  </r>
  <r>
    <n v="1322"/>
    <x v="321"/>
    <x v="4"/>
    <x v="14"/>
    <n v="2"/>
    <n v="2387.61"/>
    <n v="4775.22"/>
    <x v="1"/>
    <n v="4775.22"/>
    <x v="147"/>
    <x v="0"/>
    <x v="0"/>
    <n v="822.46"/>
  </r>
  <r>
    <n v="1323"/>
    <x v="322"/>
    <x v="1"/>
    <x v="1"/>
    <n v="2"/>
    <m/>
    <n v="0"/>
    <x v="74"/>
    <n v="0"/>
    <x v="191"/>
    <x v="5"/>
    <x v="0"/>
    <n v="-96.6"/>
  </r>
  <r>
    <n v="1324"/>
    <x v="323"/>
    <x v="1"/>
    <x v="15"/>
    <n v="2"/>
    <m/>
    <n v="0"/>
    <x v="1"/>
    <n v="0"/>
    <x v="192"/>
    <x v="2"/>
    <x v="0"/>
    <n v="-610.52"/>
  </r>
  <r>
    <n v="1325"/>
    <x v="324"/>
    <x v="0"/>
    <x v="20"/>
    <n v="2"/>
    <n v="1315.93"/>
    <n v="2631.86"/>
    <x v="1"/>
    <n v="2631.86"/>
    <x v="103"/>
    <x v="3"/>
    <x v="0"/>
    <n v="1435.03"/>
  </r>
  <r>
    <n v="1326"/>
    <x v="325"/>
    <x v="5"/>
    <x v="6"/>
    <n v="2"/>
    <n v="4104.3599999999997"/>
    <n v="8208.7199999999993"/>
    <x v="44"/>
    <n v="-902.95920000000069"/>
    <x v="193"/>
    <x v="2"/>
    <x v="0"/>
    <n v="1404.45"/>
  </r>
  <r>
    <n v="1327"/>
    <x v="326"/>
    <x v="2"/>
    <x v="13"/>
    <n v="2"/>
    <n v="2964.44"/>
    <n v="5928.88"/>
    <x v="1"/>
    <n v="5928.88"/>
    <x v="194"/>
    <x v="2"/>
    <x v="0"/>
    <n v="2021.54"/>
  </r>
  <r>
    <n v="1328"/>
    <x v="327"/>
    <x v="2"/>
    <x v="17"/>
    <n v="4"/>
    <n v="3250.24"/>
    <n v="13000.96"/>
    <x v="10"/>
    <n v="5720.4223999999986"/>
    <x v="8"/>
    <x v="5"/>
    <x v="1"/>
    <n v="2269.54"/>
  </r>
  <r>
    <n v="1329"/>
    <x v="328"/>
    <x v="4"/>
    <x v="16"/>
    <n v="1"/>
    <n v="2587.7800000000002"/>
    <n v="2587.7800000000002"/>
    <x v="1"/>
    <n v="2587.7800000000002"/>
    <x v="195"/>
    <x v="4"/>
    <x v="0"/>
    <n v="1667.02"/>
  </r>
  <r>
    <n v="1330"/>
    <x v="329"/>
    <x v="5"/>
    <x v="11"/>
    <n v="-2"/>
    <m/>
    <n v="0"/>
    <x v="1"/>
    <n v="0"/>
    <x v="67"/>
    <x v="1"/>
    <x v="0"/>
    <n v="-587.38"/>
  </r>
  <r>
    <n v="1331"/>
    <x v="330"/>
    <x v="3"/>
    <x v="3"/>
    <n v="6"/>
    <m/>
    <n v="0"/>
    <x v="1"/>
    <n v="0"/>
    <x v="21"/>
    <x v="3"/>
    <x v="0"/>
    <n v="1301.18"/>
  </r>
  <r>
    <n v="1332"/>
    <x v="331"/>
    <x v="4"/>
    <x v="16"/>
    <n v="2"/>
    <m/>
    <n v="0"/>
    <x v="80"/>
    <n v="0"/>
    <x v="196"/>
    <x v="2"/>
    <x v="0"/>
    <n v="2301.09"/>
  </r>
  <r>
    <n v="1028"/>
    <x v="332"/>
    <x v="3"/>
    <x v="21"/>
    <n v="2"/>
    <m/>
    <n v="0"/>
    <x v="1"/>
    <n v="0"/>
    <x v="197"/>
    <x v="1"/>
    <x v="1"/>
    <n v="2502.73"/>
  </r>
  <r>
    <n v="1334"/>
    <x v="333"/>
    <x v="5"/>
    <x v="11"/>
    <n v="6"/>
    <n v="1454.69"/>
    <n v="8728.14"/>
    <x v="1"/>
    <n v="8728.14"/>
    <x v="198"/>
    <x v="0"/>
    <x v="0"/>
    <n v="652.87"/>
  </r>
  <r>
    <n v="1335"/>
    <x v="334"/>
    <x v="2"/>
    <x v="13"/>
    <n v="5"/>
    <m/>
    <n v="0"/>
    <x v="1"/>
    <n v="0"/>
    <x v="140"/>
    <x v="4"/>
    <x v="0"/>
    <n v="-815.88"/>
  </r>
  <r>
    <n v="1336"/>
    <x v="335"/>
    <x v="1"/>
    <x v="18"/>
    <n v="2"/>
    <m/>
    <n v="0"/>
    <x v="1"/>
    <n v="0"/>
    <x v="4"/>
    <x v="0"/>
    <x v="1"/>
    <n v="2000.91"/>
  </r>
  <r>
    <n v="1337"/>
    <x v="336"/>
    <x v="1"/>
    <x v="18"/>
    <n v="6"/>
    <n v="2286.6799999999998"/>
    <n v="13720.079999999998"/>
    <x v="81"/>
    <n v="-3704.4215999999997"/>
    <x v="135"/>
    <x v="4"/>
    <x v="0"/>
    <n v="716.16"/>
  </r>
  <r>
    <n v="1338"/>
    <x v="337"/>
    <x v="4"/>
    <x v="16"/>
    <n v="0"/>
    <m/>
    <n v="0"/>
    <x v="1"/>
    <n v="0"/>
    <x v="199"/>
    <x v="1"/>
    <x v="1"/>
    <n v="415.06"/>
  </r>
  <r>
    <n v="1339"/>
    <x v="338"/>
    <x v="5"/>
    <x v="11"/>
    <n v="2"/>
    <n v="4507.5"/>
    <n v="9015"/>
    <x v="1"/>
    <n v="9015"/>
    <x v="200"/>
    <x v="3"/>
    <x v="0"/>
    <n v="2552.65"/>
  </r>
  <r>
    <n v="1340"/>
    <x v="339"/>
    <x v="0"/>
    <x v="9"/>
    <n v="2"/>
    <m/>
    <n v="0"/>
    <x v="82"/>
    <n v="0"/>
    <x v="3"/>
    <x v="2"/>
    <x v="0"/>
    <n v="1282.27"/>
  </r>
  <r>
    <n v="1341"/>
    <x v="340"/>
    <x v="2"/>
    <x v="13"/>
    <n v="-1"/>
    <n v="3074.06"/>
    <n v="-3074.06"/>
    <x v="72"/>
    <n v="737.77440000000001"/>
    <x v="201"/>
    <x v="1"/>
    <x v="0"/>
    <n v="2634.42"/>
  </r>
  <r>
    <n v="1342"/>
    <x v="341"/>
    <x v="5"/>
    <x v="12"/>
    <n v="-1"/>
    <n v="4707.2"/>
    <n v="-4707.2"/>
    <x v="1"/>
    <n v="-4707.2"/>
    <x v="4"/>
    <x v="5"/>
    <x v="1"/>
    <n v="1395.82"/>
  </r>
  <r>
    <n v="1343"/>
    <x v="342"/>
    <x v="0"/>
    <x v="20"/>
    <n v="2"/>
    <n v="4012.48"/>
    <n v="8024.96"/>
    <x v="1"/>
    <n v="8024.96"/>
    <x v="38"/>
    <x v="2"/>
    <x v="0"/>
    <n v="730.98"/>
  </r>
  <r>
    <n v="1344"/>
    <x v="343"/>
    <x v="0"/>
    <x v="9"/>
    <n v="4"/>
    <n v="3386.91"/>
    <n v="13547.64"/>
    <x v="1"/>
    <n v="13547.64"/>
    <x v="4"/>
    <x v="2"/>
    <x v="0"/>
    <n v="2006.17"/>
  </r>
  <r>
    <n v="1040"/>
    <x v="344"/>
    <x v="4"/>
    <x v="14"/>
    <n v="2"/>
    <m/>
    <n v="0"/>
    <x v="21"/>
    <n v="0"/>
    <x v="4"/>
    <x v="3"/>
    <x v="1"/>
    <n v="2721.4"/>
  </r>
  <r>
    <n v="1346"/>
    <x v="345"/>
    <x v="2"/>
    <x v="13"/>
    <n v="-2"/>
    <n v="1622.65"/>
    <n v="-3245.3"/>
    <x v="1"/>
    <n v="-3245.3"/>
    <x v="4"/>
    <x v="2"/>
    <x v="0"/>
    <n v="-891.76"/>
  </r>
  <r>
    <n v="1005"/>
    <x v="346"/>
    <x v="0"/>
    <x v="9"/>
    <n v="6"/>
    <n v="2228.4499999999998"/>
    <n v="13370.699999999999"/>
    <x v="61"/>
    <n v="-2674.139999999999"/>
    <x v="175"/>
    <x v="3"/>
    <x v="0"/>
    <n v="2728.03"/>
  </r>
  <r>
    <n v="1348"/>
    <x v="347"/>
    <x v="4"/>
    <x v="14"/>
    <n v="2"/>
    <n v="1219.2"/>
    <n v="2438.4"/>
    <x v="64"/>
    <n v="-414.52799999999985"/>
    <x v="101"/>
    <x v="4"/>
    <x v="1"/>
    <n v="2694.39"/>
  </r>
  <r>
    <n v="1349"/>
    <x v="348"/>
    <x v="1"/>
    <x v="22"/>
    <n v="-2"/>
    <m/>
    <n v="0"/>
    <x v="83"/>
    <n v="0"/>
    <x v="202"/>
    <x v="5"/>
    <x v="1"/>
    <n v="2085.75"/>
  </r>
  <r>
    <n v="1008"/>
    <x v="349"/>
    <x v="4"/>
    <x v="14"/>
    <n v="2"/>
    <n v="2319.84"/>
    <n v="4639.68"/>
    <x v="1"/>
    <n v="4639.68"/>
    <x v="4"/>
    <x v="3"/>
    <x v="1"/>
    <n v="1669.55"/>
  </r>
  <r>
    <n v="1351"/>
    <x v="350"/>
    <x v="2"/>
    <x v="13"/>
    <n v="2"/>
    <m/>
    <n v="0"/>
    <x v="1"/>
    <n v="0"/>
    <x v="203"/>
    <x v="4"/>
    <x v="0"/>
    <n v="2621.66"/>
  </r>
  <r>
    <n v="1034"/>
    <x v="351"/>
    <x v="4"/>
    <x v="16"/>
    <n v="2"/>
    <n v="3991.4"/>
    <n v="7982.8"/>
    <x v="1"/>
    <n v="7982.8"/>
    <x v="204"/>
    <x v="5"/>
    <x v="0"/>
    <n v="-555.4"/>
  </r>
  <r>
    <n v="1042"/>
    <x v="352"/>
    <x v="0"/>
    <x v="9"/>
    <n v="2"/>
    <m/>
    <n v="0"/>
    <x v="40"/>
    <n v="0"/>
    <x v="205"/>
    <x v="3"/>
    <x v="0"/>
    <n v="1558.99"/>
  </r>
  <r>
    <n v="1354"/>
    <x v="353"/>
    <x v="0"/>
    <x v="9"/>
    <n v="1"/>
    <m/>
    <n v="0"/>
    <x v="1"/>
    <n v="0"/>
    <x v="206"/>
    <x v="1"/>
    <x v="0"/>
    <n v="-678.38"/>
  </r>
  <r>
    <n v="1355"/>
    <x v="354"/>
    <x v="5"/>
    <x v="19"/>
    <n v="1"/>
    <n v="1054.69"/>
    <n v="1054.69"/>
    <x v="21"/>
    <n v="864.84580000000005"/>
    <x v="144"/>
    <x v="2"/>
    <x v="1"/>
    <n v="698.05"/>
  </r>
  <r>
    <n v="1356"/>
    <x v="355"/>
    <x v="1"/>
    <x v="18"/>
    <n v="2"/>
    <n v="2418.5500000000002"/>
    <n v="4837.1000000000004"/>
    <x v="29"/>
    <n v="580.452"/>
    <x v="207"/>
    <x v="1"/>
    <x v="0"/>
    <n v="428.96"/>
  </r>
  <r>
    <n v="1357"/>
    <x v="356"/>
    <x v="1"/>
    <x v="1"/>
    <n v="2"/>
    <n v="1128.57"/>
    <n v="2257.14"/>
    <x v="84"/>
    <n v="1376.8553999999999"/>
    <x v="208"/>
    <x v="4"/>
    <x v="0"/>
    <n v="684.88"/>
  </r>
  <r>
    <n v="1358"/>
    <x v="357"/>
    <x v="3"/>
    <x v="7"/>
    <n v="2"/>
    <m/>
    <n v="0"/>
    <x v="85"/>
    <n v="0"/>
    <x v="209"/>
    <x v="3"/>
    <x v="0"/>
    <n v="1347.26"/>
  </r>
  <r>
    <n v="1359"/>
    <x v="358"/>
    <x v="4"/>
    <x v="4"/>
    <n v="2"/>
    <n v="4625.84"/>
    <n v="9251.68"/>
    <x v="1"/>
    <n v="9251.68"/>
    <x v="4"/>
    <x v="2"/>
    <x v="0"/>
    <n v="1663.88"/>
  </r>
  <r>
    <n v="1360"/>
    <x v="359"/>
    <x v="0"/>
    <x v="5"/>
    <n v="2"/>
    <m/>
    <n v="0"/>
    <x v="20"/>
    <n v="0"/>
    <x v="152"/>
    <x v="0"/>
    <x v="0"/>
    <n v="1316.73"/>
  </r>
  <r>
    <n v="1361"/>
    <x v="360"/>
    <x v="4"/>
    <x v="14"/>
    <n v="2"/>
    <m/>
    <n v="0"/>
    <x v="1"/>
    <n v="0"/>
    <x v="210"/>
    <x v="2"/>
    <x v="0"/>
    <n v="528.79999999999995"/>
  </r>
  <r>
    <n v="1362"/>
    <x v="361"/>
    <x v="4"/>
    <x v="14"/>
    <n v="-1"/>
    <n v="4953.0200000000004"/>
    <n v="-4953.0200000000004"/>
    <x v="1"/>
    <n v="-4953.0200000000004"/>
    <x v="211"/>
    <x v="1"/>
    <x v="0"/>
    <n v="-499.33"/>
  </r>
  <r>
    <n v="1363"/>
    <x v="362"/>
    <x v="5"/>
    <x v="19"/>
    <n v="6"/>
    <m/>
    <n v="0"/>
    <x v="1"/>
    <n v="0"/>
    <x v="4"/>
    <x v="2"/>
    <x v="1"/>
    <n v="2143.4"/>
  </r>
  <r>
    <n v="1364"/>
    <x v="363"/>
    <x v="4"/>
    <x v="14"/>
    <n v="2"/>
    <m/>
    <n v="0"/>
    <x v="86"/>
    <n v="0"/>
    <x v="4"/>
    <x v="1"/>
    <x v="0"/>
    <n v="1839.35"/>
  </r>
  <r>
    <n v="1365"/>
    <x v="364"/>
    <x v="5"/>
    <x v="11"/>
    <n v="1"/>
    <n v="776.52"/>
    <n v="776.52"/>
    <x v="1"/>
    <n v="776.52"/>
    <x v="4"/>
    <x v="0"/>
    <x v="0"/>
    <n v="2757.77"/>
  </r>
  <r>
    <n v="1366"/>
    <x v="365"/>
    <x v="5"/>
    <x v="19"/>
    <n v="2"/>
    <n v="1927.12"/>
    <n v="3854.24"/>
    <x v="87"/>
    <n v="2158.3744000000002"/>
    <x v="89"/>
    <x v="3"/>
    <x v="0"/>
    <n v="928.57"/>
  </r>
  <r>
    <n v="1367"/>
    <x v="366"/>
    <x v="3"/>
    <x v="23"/>
    <n v="2"/>
    <n v="573.79999999999995"/>
    <n v="1147.5999999999999"/>
    <x v="1"/>
    <n v="1147.5999999999999"/>
    <x v="94"/>
    <x v="1"/>
    <x v="1"/>
    <n v="2546.35"/>
  </r>
  <r>
    <n v="1368"/>
    <x v="367"/>
    <x v="4"/>
    <x v="14"/>
    <n v="4"/>
    <n v="4032.95"/>
    <n v="16131.8"/>
    <x v="1"/>
    <n v="16131.8"/>
    <x v="4"/>
    <x v="1"/>
    <x v="0"/>
    <n v="-20.09"/>
  </r>
  <r>
    <n v="1369"/>
    <x v="368"/>
    <x v="3"/>
    <x v="23"/>
    <n v="2"/>
    <m/>
    <n v="0"/>
    <x v="9"/>
    <n v="0"/>
    <x v="212"/>
    <x v="4"/>
    <x v="0"/>
    <n v="-844.78"/>
  </r>
  <r>
    <n v="1370"/>
    <x v="369"/>
    <x v="5"/>
    <x v="19"/>
    <n v="-2"/>
    <n v="2345.4899999999998"/>
    <n v="-4690.9799999999996"/>
    <x v="68"/>
    <n v="844.37639999999965"/>
    <x v="213"/>
    <x v="4"/>
    <x v="1"/>
    <n v="212.66"/>
  </r>
  <r>
    <n v="1371"/>
    <x v="370"/>
    <x v="0"/>
    <x v="20"/>
    <n v="2"/>
    <m/>
    <n v="0"/>
    <x v="1"/>
    <n v="0"/>
    <x v="4"/>
    <x v="2"/>
    <x v="1"/>
    <n v="72.959999999999994"/>
  </r>
  <r>
    <n v="1372"/>
    <x v="371"/>
    <x v="3"/>
    <x v="7"/>
    <n v="1"/>
    <m/>
    <n v="0"/>
    <x v="17"/>
    <n v="0"/>
    <x v="214"/>
    <x v="0"/>
    <x v="0"/>
    <n v="418.89"/>
  </r>
  <r>
    <n v="1373"/>
    <x v="372"/>
    <x v="1"/>
    <x v="22"/>
    <n v="-2"/>
    <n v="3523.43"/>
    <n v="-7046.86"/>
    <x v="17"/>
    <n v="-5707.9566000000004"/>
    <x v="4"/>
    <x v="0"/>
    <x v="0"/>
    <n v="-892.76"/>
  </r>
  <r>
    <n v="1374"/>
    <x v="373"/>
    <x v="4"/>
    <x v="14"/>
    <n v="1"/>
    <m/>
    <n v="0"/>
    <x v="1"/>
    <n v="0"/>
    <x v="215"/>
    <x v="3"/>
    <x v="0"/>
    <n v="2519.16"/>
  </r>
  <r>
    <n v="1375"/>
    <x v="374"/>
    <x v="0"/>
    <x v="9"/>
    <n v="3"/>
    <n v="420.42"/>
    <n v="1261.26"/>
    <x v="1"/>
    <n v="1261.26"/>
    <x v="4"/>
    <x v="4"/>
    <x v="0"/>
    <n v="1318.19"/>
  </r>
  <r>
    <n v="1376"/>
    <x v="375"/>
    <x v="3"/>
    <x v="23"/>
    <n v="4"/>
    <n v="1447.28"/>
    <n v="5789.12"/>
    <x v="1"/>
    <n v="5789.12"/>
    <x v="216"/>
    <x v="4"/>
    <x v="1"/>
    <n v="175.33"/>
  </r>
  <r>
    <n v="1377"/>
    <x v="376"/>
    <x v="1"/>
    <x v="18"/>
    <n v="0"/>
    <m/>
    <n v="0"/>
    <x v="88"/>
    <n v="0"/>
    <x v="4"/>
    <x v="3"/>
    <x v="1"/>
    <n v="2229.9499999999998"/>
  </r>
  <r>
    <n v="1378"/>
    <x v="377"/>
    <x v="1"/>
    <x v="1"/>
    <n v="5"/>
    <n v="4581.26"/>
    <n v="22906.300000000003"/>
    <x v="68"/>
    <n v="-4123.1339999999991"/>
    <x v="217"/>
    <x v="3"/>
    <x v="0"/>
    <n v="-345.1"/>
  </r>
  <r>
    <n v="1013"/>
    <x v="378"/>
    <x v="1"/>
    <x v="1"/>
    <n v="2"/>
    <m/>
    <n v="0"/>
    <x v="1"/>
    <n v="0"/>
    <x v="218"/>
    <x v="0"/>
    <x v="0"/>
    <n v="1647.38"/>
  </r>
  <r>
    <n v="1380"/>
    <x v="379"/>
    <x v="5"/>
    <x v="19"/>
    <n v="2"/>
    <m/>
    <n v="0"/>
    <x v="1"/>
    <n v="0"/>
    <x v="4"/>
    <x v="0"/>
    <x v="1"/>
    <n v="-475.94"/>
  </r>
  <r>
    <n v="1381"/>
    <x v="380"/>
    <x v="0"/>
    <x v="20"/>
    <n v="1"/>
    <m/>
    <n v="0"/>
    <x v="89"/>
    <n v="0"/>
    <x v="219"/>
    <x v="3"/>
    <x v="0"/>
    <n v="-136.30000000000001"/>
  </r>
  <r>
    <n v="1382"/>
    <x v="381"/>
    <x v="0"/>
    <x v="5"/>
    <n v="-2"/>
    <m/>
    <n v="0"/>
    <x v="1"/>
    <n v="0"/>
    <x v="220"/>
    <x v="3"/>
    <x v="1"/>
    <n v="-165.59"/>
  </r>
  <r>
    <n v="1383"/>
    <x v="382"/>
    <x v="5"/>
    <x v="11"/>
    <n v="5"/>
    <n v="2409.13"/>
    <n v="12045.650000000001"/>
    <x v="1"/>
    <n v="12045.650000000001"/>
    <x v="221"/>
    <x v="5"/>
    <x v="0"/>
    <n v="127.63"/>
  </r>
  <r>
    <n v="1048"/>
    <x v="383"/>
    <x v="2"/>
    <x v="13"/>
    <n v="2"/>
    <m/>
    <n v="0"/>
    <x v="1"/>
    <n v="0"/>
    <x v="82"/>
    <x v="1"/>
    <x v="0"/>
    <n v="2393.9899999999998"/>
  </r>
  <r>
    <n v="1385"/>
    <x v="384"/>
    <x v="5"/>
    <x v="12"/>
    <n v="1"/>
    <m/>
    <n v="0"/>
    <x v="1"/>
    <n v="0"/>
    <x v="4"/>
    <x v="3"/>
    <x v="0"/>
    <n v="2744.77"/>
  </r>
  <r>
    <n v="1386"/>
    <x v="385"/>
    <x v="2"/>
    <x v="17"/>
    <n v="5"/>
    <n v="4439.8100000000004"/>
    <n v="22199.050000000003"/>
    <x v="9"/>
    <n v="-2219.9050000000025"/>
    <x v="126"/>
    <x v="0"/>
    <x v="1"/>
    <n v="1669.09"/>
  </r>
  <r>
    <n v="1387"/>
    <x v="386"/>
    <x v="1"/>
    <x v="1"/>
    <n v="3"/>
    <m/>
    <n v="0"/>
    <x v="1"/>
    <n v="0"/>
    <x v="222"/>
    <x v="5"/>
    <x v="0"/>
    <n v="-505.47"/>
  </r>
  <r>
    <n v="1388"/>
    <x v="387"/>
    <x v="5"/>
    <x v="6"/>
    <n v="4"/>
    <m/>
    <n v="0"/>
    <x v="1"/>
    <n v="0"/>
    <x v="128"/>
    <x v="0"/>
    <x v="0"/>
    <n v="475.79"/>
  </r>
  <r>
    <n v="1389"/>
    <x v="388"/>
    <x v="5"/>
    <x v="12"/>
    <n v="2"/>
    <n v="2742.38"/>
    <n v="5484.76"/>
    <x v="1"/>
    <n v="5484.76"/>
    <x v="223"/>
    <x v="1"/>
    <x v="0"/>
    <n v="1987.46"/>
  </r>
  <r>
    <n v="1390"/>
    <x v="389"/>
    <x v="0"/>
    <x v="0"/>
    <n v="4"/>
    <m/>
    <n v="0"/>
    <x v="1"/>
    <n v="0"/>
    <x v="4"/>
    <x v="5"/>
    <x v="0"/>
    <n v="1789.75"/>
  </r>
  <r>
    <n v="1391"/>
    <x v="390"/>
    <x v="2"/>
    <x v="13"/>
    <n v="0"/>
    <n v="2213.79"/>
    <n v="0"/>
    <x v="86"/>
    <n v="0"/>
    <x v="224"/>
    <x v="4"/>
    <x v="0"/>
    <n v="418.24"/>
  </r>
  <r>
    <n v="1014"/>
    <x v="391"/>
    <x v="0"/>
    <x v="20"/>
    <n v="2"/>
    <n v="784.1"/>
    <n v="1568.2"/>
    <x v="1"/>
    <n v="1568.2"/>
    <x v="204"/>
    <x v="0"/>
    <x v="0"/>
    <n v="401.24"/>
  </r>
  <r>
    <n v="1393"/>
    <x v="392"/>
    <x v="1"/>
    <x v="15"/>
    <n v="6"/>
    <m/>
    <n v="0"/>
    <x v="1"/>
    <n v="0"/>
    <x v="4"/>
    <x v="4"/>
    <x v="0"/>
    <n v="2001.24"/>
  </r>
  <r>
    <n v="1394"/>
    <x v="393"/>
    <x v="1"/>
    <x v="15"/>
    <n v="2"/>
    <n v="1218.6500000000001"/>
    <n v="2437.3000000000002"/>
    <x v="1"/>
    <n v="2437.3000000000002"/>
    <x v="183"/>
    <x v="4"/>
    <x v="0"/>
    <n v="2538.59"/>
  </r>
  <r>
    <n v="1395"/>
    <x v="394"/>
    <x v="5"/>
    <x v="12"/>
    <n v="2"/>
    <m/>
    <n v="0"/>
    <x v="1"/>
    <n v="0"/>
    <x v="81"/>
    <x v="2"/>
    <x v="1"/>
    <n v="-357.08"/>
  </r>
  <r>
    <n v="1396"/>
    <x v="395"/>
    <x v="0"/>
    <x v="9"/>
    <n v="2"/>
    <n v="3663.65"/>
    <n v="7327.3"/>
    <x v="42"/>
    <n v="5422.2020000000002"/>
    <x v="4"/>
    <x v="1"/>
    <x v="1"/>
    <n v="1553.44"/>
  </r>
  <r>
    <n v="1397"/>
    <x v="396"/>
    <x v="1"/>
    <x v="22"/>
    <n v="2"/>
    <m/>
    <n v="0"/>
    <x v="1"/>
    <n v="0"/>
    <x v="28"/>
    <x v="3"/>
    <x v="0"/>
    <n v="1239.6199999999999"/>
  </r>
  <r>
    <n v="1398"/>
    <x v="397"/>
    <x v="5"/>
    <x v="6"/>
    <n v="2"/>
    <m/>
    <n v="0"/>
    <x v="1"/>
    <n v="0"/>
    <x v="225"/>
    <x v="4"/>
    <x v="0"/>
    <n v="-43.7"/>
  </r>
  <r>
    <n v="1399"/>
    <x v="398"/>
    <x v="1"/>
    <x v="18"/>
    <n v="4"/>
    <m/>
    <n v="0"/>
    <x v="90"/>
    <n v="0"/>
    <x v="226"/>
    <x v="0"/>
    <x v="0"/>
    <n v="-444.08"/>
  </r>
  <r>
    <n v="1400"/>
    <x v="399"/>
    <x v="4"/>
    <x v="14"/>
    <n v="2"/>
    <m/>
    <n v="0"/>
    <x v="1"/>
    <n v="0"/>
    <x v="0"/>
    <x v="0"/>
    <x v="0"/>
    <n v="1385.55"/>
  </r>
  <r>
    <n v="1401"/>
    <x v="400"/>
    <x v="4"/>
    <x v="14"/>
    <n v="-2"/>
    <m/>
    <n v="0"/>
    <x v="1"/>
    <n v="0"/>
    <x v="95"/>
    <x v="4"/>
    <x v="0"/>
    <n v="-751.05"/>
  </r>
  <r>
    <n v="1402"/>
    <x v="401"/>
    <x v="3"/>
    <x v="21"/>
    <n v="2"/>
    <n v="603.51"/>
    <n v="1207.02"/>
    <x v="85"/>
    <n v="-277.6146"/>
    <x v="227"/>
    <x v="4"/>
    <x v="0"/>
    <n v="982.01"/>
  </r>
  <r>
    <n v="1403"/>
    <x v="402"/>
    <x v="4"/>
    <x v="4"/>
    <n v="2"/>
    <m/>
    <n v="0"/>
    <x v="1"/>
    <n v="0"/>
    <x v="228"/>
    <x v="4"/>
    <x v="0"/>
    <n v="2210.0700000000002"/>
  </r>
  <r>
    <n v="1404"/>
    <x v="403"/>
    <x v="3"/>
    <x v="21"/>
    <n v="2"/>
    <n v="3074.59"/>
    <n v="6149.18"/>
    <x v="1"/>
    <n v="6149.18"/>
    <x v="4"/>
    <x v="3"/>
    <x v="0"/>
    <n v="1979.07"/>
  </r>
  <r>
    <n v="1405"/>
    <x v="404"/>
    <x v="5"/>
    <x v="11"/>
    <n v="2"/>
    <m/>
    <n v="0"/>
    <x v="10"/>
    <n v="0"/>
    <x v="15"/>
    <x v="2"/>
    <x v="0"/>
    <n v="2345.6799999999998"/>
  </r>
  <r>
    <n v="1406"/>
    <x v="405"/>
    <x v="5"/>
    <x v="11"/>
    <n v="2"/>
    <m/>
    <n v="0"/>
    <x v="1"/>
    <n v="0"/>
    <x v="64"/>
    <x v="3"/>
    <x v="0"/>
    <n v="-863.17"/>
  </r>
  <r>
    <n v="1407"/>
    <x v="406"/>
    <x v="4"/>
    <x v="16"/>
    <n v="2"/>
    <n v="4977.8100000000004"/>
    <n v="9955.6200000000008"/>
    <x v="1"/>
    <n v="9955.6200000000008"/>
    <x v="229"/>
    <x v="1"/>
    <x v="1"/>
    <n v="2041.12"/>
  </r>
  <r>
    <n v="1408"/>
    <x v="407"/>
    <x v="2"/>
    <x v="17"/>
    <n v="2"/>
    <m/>
    <n v="0"/>
    <x v="1"/>
    <n v="0"/>
    <x v="230"/>
    <x v="2"/>
    <x v="1"/>
    <n v="2305.3200000000002"/>
  </r>
  <r>
    <n v="1409"/>
    <x v="408"/>
    <x v="3"/>
    <x v="23"/>
    <n v="6"/>
    <m/>
    <n v="0"/>
    <x v="1"/>
    <n v="0"/>
    <x v="4"/>
    <x v="5"/>
    <x v="0"/>
    <n v="-941.44"/>
  </r>
  <r>
    <n v="1410"/>
    <x v="409"/>
    <x v="0"/>
    <x v="20"/>
    <n v="6"/>
    <n v="4445.8100000000004"/>
    <n v="26674.86"/>
    <x v="1"/>
    <n v="26674.86"/>
    <x v="4"/>
    <x v="0"/>
    <x v="0"/>
    <n v="-654.59"/>
  </r>
  <r>
    <n v="1411"/>
    <x v="410"/>
    <x v="5"/>
    <x v="12"/>
    <n v="2"/>
    <n v="4946.7700000000004"/>
    <n v="9893.5400000000009"/>
    <x v="1"/>
    <n v="9893.5400000000009"/>
    <x v="4"/>
    <x v="2"/>
    <x v="0"/>
    <n v="1520.19"/>
  </r>
  <r>
    <n v="1412"/>
    <x v="411"/>
    <x v="2"/>
    <x v="13"/>
    <n v="2"/>
    <m/>
    <n v="0"/>
    <x v="1"/>
    <n v="0"/>
    <x v="231"/>
    <x v="4"/>
    <x v="0"/>
    <n v="2314.9299999999998"/>
  </r>
  <r>
    <n v="1413"/>
    <x v="412"/>
    <x v="5"/>
    <x v="11"/>
    <n v="1"/>
    <m/>
    <n v="0"/>
    <x v="91"/>
    <n v="0"/>
    <x v="232"/>
    <x v="1"/>
    <x v="0"/>
    <n v="1539.28"/>
  </r>
  <r>
    <n v="1414"/>
    <x v="413"/>
    <x v="4"/>
    <x v="8"/>
    <n v="2"/>
    <m/>
    <n v="0"/>
    <x v="1"/>
    <n v="0"/>
    <x v="35"/>
    <x v="1"/>
    <x v="0"/>
    <n v="2843.55"/>
  </r>
  <r>
    <n v="1415"/>
    <x v="414"/>
    <x v="1"/>
    <x v="1"/>
    <n v="2"/>
    <n v="3149"/>
    <n v="6298"/>
    <x v="1"/>
    <n v="6298"/>
    <x v="4"/>
    <x v="3"/>
    <x v="0"/>
    <n v="2661.23"/>
  </r>
  <r>
    <n v="1416"/>
    <x v="415"/>
    <x v="3"/>
    <x v="21"/>
    <n v="2"/>
    <n v="3527.15"/>
    <n v="7054.3"/>
    <x v="1"/>
    <n v="7054.3"/>
    <x v="233"/>
    <x v="4"/>
    <x v="0"/>
    <n v="2286.48"/>
  </r>
  <r>
    <n v="1417"/>
    <x v="416"/>
    <x v="5"/>
    <x v="12"/>
    <n v="2"/>
    <m/>
    <n v="0"/>
    <x v="1"/>
    <n v="0"/>
    <x v="234"/>
    <x v="3"/>
    <x v="1"/>
    <n v="888.59"/>
  </r>
  <r>
    <n v="1418"/>
    <x v="417"/>
    <x v="5"/>
    <x v="19"/>
    <n v="2"/>
    <m/>
    <n v="0"/>
    <x v="77"/>
    <n v="0"/>
    <x v="222"/>
    <x v="3"/>
    <x v="1"/>
    <n v="1403.76"/>
  </r>
  <r>
    <n v="1419"/>
    <x v="418"/>
    <x v="1"/>
    <x v="15"/>
    <n v="2"/>
    <m/>
    <n v="0"/>
    <x v="1"/>
    <n v="0"/>
    <x v="235"/>
    <x v="4"/>
    <x v="1"/>
    <n v="-565.16999999999996"/>
  </r>
  <r>
    <n v="1420"/>
    <x v="419"/>
    <x v="2"/>
    <x v="2"/>
    <n v="2"/>
    <m/>
    <n v="0"/>
    <x v="78"/>
    <n v="0"/>
    <x v="198"/>
    <x v="1"/>
    <x v="1"/>
    <n v="2790.42"/>
  </r>
  <r>
    <n v="1421"/>
    <x v="420"/>
    <x v="4"/>
    <x v="14"/>
    <n v="0"/>
    <m/>
    <n v="0"/>
    <x v="1"/>
    <n v="0"/>
    <x v="1"/>
    <x v="1"/>
    <x v="0"/>
    <n v="575.19000000000005"/>
  </r>
  <r>
    <n v="1422"/>
    <x v="421"/>
    <x v="0"/>
    <x v="5"/>
    <n v="2"/>
    <n v="4466.49"/>
    <n v="8932.98"/>
    <x v="1"/>
    <n v="8932.98"/>
    <x v="236"/>
    <x v="1"/>
    <x v="1"/>
    <n v="2168.7800000000002"/>
  </r>
  <r>
    <n v="1423"/>
    <x v="422"/>
    <x v="1"/>
    <x v="22"/>
    <n v="2"/>
    <m/>
    <n v="0"/>
    <x v="1"/>
    <n v="0"/>
    <x v="59"/>
    <x v="4"/>
    <x v="0"/>
    <n v="1302.05"/>
  </r>
  <r>
    <n v="1424"/>
    <x v="423"/>
    <x v="4"/>
    <x v="14"/>
    <n v="-1"/>
    <n v="538.6"/>
    <n v="-538.6"/>
    <x v="68"/>
    <n v="96.947999999999965"/>
    <x v="63"/>
    <x v="4"/>
    <x v="0"/>
    <n v="752.81"/>
  </r>
  <r>
    <n v="1425"/>
    <x v="424"/>
    <x v="3"/>
    <x v="23"/>
    <n v="2"/>
    <n v="1133.73"/>
    <n v="2267.46"/>
    <x v="1"/>
    <n v="2267.46"/>
    <x v="67"/>
    <x v="5"/>
    <x v="1"/>
    <n v="2604.14"/>
  </r>
  <r>
    <n v="1426"/>
    <x v="425"/>
    <x v="0"/>
    <x v="20"/>
    <n v="-2"/>
    <n v="3175.17"/>
    <n v="-6350.34"/>
    <x v="92"/>
    <n v="-889.0476000000001"/>
    <x v="4"/>
    <x v="4"/>
    <x v="1"/>
    <n v="2860.99"/>
  </r>
  <r>
    <n v="1427"/>
    <x v="426"/>
    <x v="2"/>
    <x v="17"/>
    <n v="2"/>
    <m/>
    <n v="0"/>
    <x v="1"/>
    <n v="0"/>
    <x v="3"/>
    <x v="2"/>
    <x v="0"/>
    <n v="2795.17"/>
  </r>
  <r>
    <n v="1015"/>
    <x v="427"/>
    <x v="0"/>
    <x v="5"/>
    <n v="2"/>
    <m/>
    <n v="0"/>
    <x v="1"/>
    <n v="0"/>
    <x v="21"/>
    <x v="0"/>
    <x v="0"/>
    <n v="1869.46"/>
  </r>
  <r>
    <n v="1429"/>
    <x v="428"/>
    <x v="5"/>
    <x v="19"/>
    <n v="2"/>
    <n v="3292.01"/>
    <n v="6584.02"/>
    <x v="1"/>
    <n v="6584.02"/>
    <x v="237"/>
    <x v="0"/>
    <x v="1"/>
    <n v="-358.22"/>
  </r>
  <r>
    <n v="1430"/>
    <x v="429"/>
    <x v="0"/>
    <x v="9"/>
    <n v="-2"/>
    <m/>
    <n v="0"/>
    <x v="93"/>
    <n v="0"/>
    <x v="206"/>
    <x v="5"/>
    <x v="0"/>
    <n v="2045.56"/>
  </r>
  <r>
    <n v="1431"/>
    <x v="430"/>
    <x v="3"/>
    <x v="21"/>
    <n v="2"/>
    <m/>
    <n v="0"/>
    <x v="1"/>
    <n v="0"/>
    <x v="238"/>
    <x v="0"/>
    <x v="1"/>
    <n v="2191.02"/>
  </r>
  <r>
    <n v="1432"/>
    <x v="431"/>
    <x v="2"/>
    <x v="10"/>
    <n v="2"/>
    <m/>
    <n v="0"/>
    <x v="1"/>
    <n v="0"/>
    <x v="239"/>
    <x v="1"/>
    <x v="1"/>
    <n v="-849.15"/>
  </r>
  <r>
    <n v="1433"/>
    <x v="432"/>
    <x v="4"/>
    <x v="8"/>
    <n v="2"/>
    <m/>
    <n v="0"/>
    <x v="5"/>
    <n v="0"/>
    <x v="63"/>
    <x v="2"/>
    <x v="1"/>
    <n v="-878.85"/>
  </r>
  <r>
    <n v="1434"/>
    <x v="433"/>
    <x v="0"/>
    <x v="5"/>
    <n v="0"/>
    <n v="476.2"/>
    <n v="0"/>
    <x v="75"/>
    <n v="0"/>
    <x v="119"/>
    <x v="4"/>
    <x v="0"/>
    <n v="-310.8"/>
  </r>
  <r>
    <n v="1435"/>
    <x v="434"/>
    <x v="4"/>
    <x v="14"/>
    <n v="3"/>
    <m/>
    <n v="0"/>
    <x v="1"/>
    <n v="0"/>
    <x v="240"/>
    <x v="4"/>
    <x v="1"/>
    <n v="904.65"/>
  </r>
  <r>
    <n v="1436"/>
    <x v="435"/>
    <x v="4"/>
    <x v="14"/>
    <n v="2"/>
    <m/>
    <n v="0"/>
    <x v="45"/>
    <n v="0"/>
    <x v="89"/>
    <x v="1"/>
    <x v="0"/>
    <n v="1445.93"/>
  </r>
  <r>
    <n v="1437"/>
    <x v="436"/>
    <x v="0"/>
    <x v="5"/>
    <n v="0"/>
    <n v="3886.3"/>
    <n v="0"/>
    <x v="94"/>
    <n v="0"/>
    <x v="241"/>
    <x v="0"/>
    <x v="0"/>
    <n v="131.47999999999999"/>
  </r>
  <r>
    <n v="1438"/>
    <x v="437"/>
    <x v="5"/>
    <x v="12"/>
    <n v="2"/>
    <n v="2663.97"/>
    <n v="5327.94"/>
    <x v="40"/>
    <n v="852.47040000000015"/>
    <x v="242"/>
    <x v="5"/>
    <x v="0"/>
    <n v="1014.29"/>
  </r>
  <r>
    <n v="1439"/>
    <x v="438"/>
    <x v="4"/>
    <x v="16"/>
    <n v="2"/>
    <m/>
    <n v="0"/>
    <x v="1"/>
    <n v="0"/>
    <x v="4"/>
    <x v="1"/>
    <x v="1"/>
    <n v="726.42"/>
  </r>
  <r>
    <n v="1440"/>
    <x v="439"/>
    <x v="5"/>
    <x v="19"/>
    <n v="0"/>
    <n v="635.12"/>
    <n v="0"/>
    <x v="95"/>
    <n v="0"/>
    <x v="243"/>
    <x v="4"/>
    <x v="0"/>
    <n v="-476.72"/>
  </r>
  <r>
    <n v="1441"/>
    <x v="440"/>
    <x v="0"/>
    <x v="0"/>
    <n v="2"/>
    <m/>
    <n v="0"/>
    <x v="1"/>
    <n v="0"/>
    <x v="4"/>
    <x v="3"/>
    <x v="0"/>
    <n v="-316.51"/>
  </r>
  <r>
    <n v="1442"/>
    <x v="441"/>
    <x v="2"/>
    <x v="13"/>
    <n v="0"/>
    <n v="3001.28"/>
    <n v="0"/>
    <x v="1"/>
    <n v="0"/>
    <x v="244"/>
    <x v="0"/>
    <x v="0"/>
    <n v="1218.28"/>
  </r>
  <r>
    <n v="1443"/>
    <x v="442"/>
    <x v="4"/>
    <x v="4"/>
    <n v="2"/>
    <m/>
    <n v="0"/>
    <x v="1"/>
    <n v="0"/>
    <x v="245"/>
    <x v="3"/>
    <x v="0"/>
    <n v="2962.6"/>
  </r>
  <r>
    <n v="1444"/>
    <x v="443"/>
    <x v="3"/>
    <x v="21"/>
    <n v="3"/>
    <n v="3452.16"/>
    <n v="10356.48"/>
    <x v="1"/>
    <n v="10356.48"/>
    <x v="4"/>
    <x v="2"/>
    <x v="0"/>
    <n v="810.8"/>
  </r>
  <r>
    <n v="1445"/>
    <x v="444"/>
    <x v="1"/>
    <x v="15"/>
    <n v="2"/>
    <n v="1370.36"/>
    <n v="2740.72"/>
    <x v="96"/>
    <n v="1260.7311999999997"/>
    <x v="246"/>
    <x v="2"/>
    <x v="0"/>
    <n v="2846.13"/>
  </r>
  <r>
    <n v="1446"/>
    <x v="445"/>
    <x v="2"/>
    <x v="2"/>
    <n v="2"/>
    <n v="2827.68"/>
    <n v="5655.36"/>
    <x v="92"/>
    <n v="791.75040000000001"/>
    <x v="247"/>
    <x v="0"/>
    <x v="0"/>
    <n v="-602.57000000000005"/>
  </r>
  <r>
    <n v="1031"/>
    <x v="446"/>
    <x v="4"/>
    <x v="14"/>
    <n v="6"/>
    <n v="3792.09"/>
    <n v="22752.54"/>
    <x v="1"/>
    <n v="22752.54"/>
    <x v="248"/>
    <x v="3"/>
    <x v="0"/>
    <n v="194.31"/>
  </r>
  <r>
    <n v="1448"/>
    <x v="447"/>
    <x v="0"/>
    <x v="0"/>
    <n v="2"/>
    <n v="1657.95"/>
    <n v="3315.9"/>
    <x v="1"/>
    <n v="3315.9"/>
    <x v="249"/>
    <x v="5"/>
    <x v="1"/>
    <n v="1948.49"/>
  </r>
  <r>
    <n v="1449"/>
    <x v="448"/>
    <x v="0"/>
    <x v="9"/>
    <n v="2"/>
    <n v="2855.53"/>
    <n v="5711.06"/>
    <x v="97"/>
    <n v="2569.9769999999999"/>
    <x v="16"/>
    <x v="1"/>
    <x v="0"/>
    <n v="2598.7399999999998"/>
  </r>
  <r>
    <n v="1043"/>
    <x v="449"/>
    <x v="4"/>
    <x v="16"/>
    <n v="4"/>
    <m/>
    <n v="0"/>
    <x v="1"/>
    <n v="0"/>
    <x v="250"/>
    <x v="0"/>
    <x v="0"/>
    <n v="-401.44"/>
  </r>
  <r>
    <n v="1451"/>
    <x v="450"/>
    <x v="2"/>
    <x v="13"/>
    <n v="2"/>
    <n v="620.64"/>
    <n v="1241.28"/>
    <x v="1"/>
    <n v="1241.28"/>
    <x v="251"/>
    <x v="4"/>
    <x v="0"/>
    <n v="1553.39"/>
  </r>
  <r>
    <n v="1452"/>
    <x v="451"/>
    <x v="3"/>
    <x v="7"/>
    <n v="-2"/>
    <n v="2660.28"/>
    <n v="-5320.56"/>
    <x v="94"/>
    <n v="-3511.5695999999998"/>
    <x v="4"/>
    <x v="0"/>
    <x v="0"/>
    <n v="918.54"/>
  </r>
  <r>
    <n v="1453"/>
    <x v="452"/>
    <x v="0"/>
    <x v="9"/>
    <n v="0"/>
    <m/>
    <n v="0"/>
    <x v="21"/>
    <n v="0"/>
    <x v="211"/>
    <x v="3"/>
    <x v="1"/>
    <n v="1465.97"/>
  </r>
  <r>
    <n v="1454"/>
    <x v="453"/>
    <x v="3"/>
    <x v="7"/>
    <n v="2"/>
    <n v="4523.58"/>
    <n v="9047.16"/>
    <x v="1"/>
    <n v="9047.16"/>
    <x v="132"/>
    <x v="5"/>
    <x v="0"/>
    <n v="2424.44"/>
  </r>
  <r>
    <n v="1455"/>
    <x v="454"/>
    <x v="4"/>
    <x v="14"/>
    <n v="2"/>
    <m/>
    <n v="0"/>
    <x v="1"/>
    <n v="0"/>
    <x v="62"/>
    <x v="0"/>
    <x v="0"/>
    <n v="743.47"/>
  </r>
  <r>
    <n v="1456"/>
    <x v="455"/>
    <x v="4"/>
    <x v="16"/>
    <n v="2"/>
    <m/>
    <n v="0"/>
    <x v="1"/>
    <n v="0"/>
    <x v="154"/>
    <x v="3"/>
    <x v="0"/>
    <n v="1350.12"/>
  </r>
  <r>
    <n v="1457"/>
    <x v="456"/>
    <x v="3"/>
    <x v="21"/>
    <n v="0"/>
    <n v="2342.25"/>
    <n v="0"/>
    <x v="1"/>
    <n v="0"/>
    <x v="4"/>
    <x v="3"/>
    <x v="1"/>
    <n v="750.64"/>
  </r>
  <r>
    <n v="1458"/>
    <x v="457"/>
    <x v="1"/>
    <x v="1"/>
    <n v="6"/>
    <m/>
    <n v="0"/>
    <x v="2"/>
    <n v="0"/>
    <x v="4"/>
    <x v="2"/>
    <x v="0"/>
    <n v="1877.22"/>
  </r>
  <r>
    <n v="1459"/>
    <x v="458"/>
    <x v="3"/>
    <x v="7"/>
    <n v="2"/>
    <n v="2494.9899999999998"/>
    <n v="4989.9799999999996"/>
    <x v="98"/>
    <n v="99.799600000000083"/>
    <x v="252"/>
    <x v="5"/>
    <x v="0"/>
    <n v="2959.95"/>
  </r>
  <r>
    <n v="1460"/>
    <x v="459"/>
    <x v="1"/>
    <x v="22"/>
    <n v="2"/>
    <n v="4264.16"/>
    <n v="8528.32"/>
    <x v="1"/>
    <n v="8528.32"/>
    <x v="253"/>
    <x v="0"/>
    <x v="1"/>
    <n v="921.96"/>
  </r>
  <r>
    <n v="1461"/>
    <x v="460"/>
    <x v="5"/>
    <x v="6"/>
    <n v="2"/>
    <n v="2708.35"/>
    <n v="5416.7"/>
    <x v="22"/>
    <n v="-325.00200000000029"/>
    <x v="4"/>
    <x v="4"/>
    <x v="0"/>
    <n v="941.87"/>
  </r>
  <r>
    <n v="1462"/>
    <x v="461"/>
    <x v="1"/>
    <x v="1"/>
    <n v="-1"/>
    <m/>
    <n v="0"/>
    <x v="1"/>
    <n v="0"/>
    <x v="254"/>
    <x v="0"/>
    <x v="0"/>
    <n v="372.63"/>
  </r>
  <r>
    <n v="1463"/>
    <x v="462"/>
    <x v="5"/>
    <x v="12"/>
    <n v="1"/>
    <n v="4606.09"/>
    <n v="4606.09"/>
    <x v="74"/>
    <n v="-552.7308000000005"/>
    <x v="255"/>
    <x v="0"/>
    <x v="1"/>
    <n v="-877.13"/>
  </r>
  <r>
    <n v="1464"/>
    <x v="463"/>
    <x v="5"/>
    <x v="12"/>
    <n v="2"/>
    <m/>
    <n v="0"/>
    <x v="1"/>
    <n v="0"/>
    <x v="256"/>
    <x v="3"/>
    <x v="0"/>
    <n v="837.3"/>
  </r>
  <r>
    <n v="1465"/>
    <x v="464"/>
    <x v="3"/>
    <x v="3"/>
    <n v="-2"/>
    <n v="2215.4"/>
    <n v="-4430.8"/>
    <x v="78"/>
    <n v="-177.23200000000017"/>
    <x v="257"/>
    <x v="4"/>
    <x v="0"/>
    <n v="-85.73"/>
  </r>
  <r>
    <n v="1014"/>
    <x v="465"/>
    <x v="5"/>
    <x v="12"/>
    <n v="2"/>
    <n v="3172.11"/>
    <n v="6344.22"/>
    <x v="1"/>
    <n v="6344.22"/>
    <x v="258"/>
    <x v="2"/>
    <x v="0"/>
    <n v="673.33"/>
  </r>
  <r>
    <n v="1030"/>
    <x v="466"/>
    <x v="2"/>
    <x v="10"/>
    <n v="2"/>
    <n v="3389.44"/>
    <n v="6778.88"/>
    <x v="48"/>
    <n v="6168.7808000000005"/>
    <x v="147"/>
    <x v="0"/>
    <x v="1"/>
    <n v="1663.45"/>
  </r>
  <r>
    <n v="1468"/>
    <x v="467"/>
    <x v="4"/>
    <x v="16"/>
    <n v="2"/>
    <n v="3332.84"/>
    <n v="6665.68"/>
    <x v="2"/>
    <n v="4865.9463999999998"/>
    <x v="259"/>
    <x v="1"/>
    <x v="0"/>
    <n v="733.66"/>
  </r>
  <r>
    <n v="1469"/>
    <x v="468"/>
    <x v="5"/>
    <x v="12"/>
    <n v="2"/>
    <n v="2665.7"/>
    <n v="5331.4"/>
    <x v="99"/>
    <n v="2719.0139999999997"/>
    <x v="21"/>
    <x v="3"/>
    <x v="1"/>
    <n v="1644.72"/>
  </r>
  <r>
    <n v="1470"/>
    <x v="469"/>
    <x v="4"/>
    <x v="8"/>
    <n v="-1"/>
    <n v="1376.54"/>
    <n v="-1376.54"/>
    <x v="1"/>
    <n v="-1376.54"/>
    <x v="4"/>
    <x v="4"/>
    <x v="0"/>
    <n v="0.59"/>
  </r>
  <r>
    <n v="1471"/>
    <x v="470"/>
    <x v="3"/>
    <x v="3"/>
    <n v="-2"/>
    <n v="4882.03"/>
    <n v="-9764.06"/>
    <x v="37"/>
    <n v="-7518.3261999999995"/>
    <x v="260"/>
    <x v="4"/>
    <x v="0"/>
    <n v="-605.66999999999996"/>
  </r>
  <r>
    <n v="1472"/>
    <x v="471"/>
    <x v="3"/>
    <x v="3"/>
    <n v="2"/>
    <m/>
    <n v="0"/>
    <x v="100"/>
    <n v="0"/>
    <x v="11"/>
    <x v="2"/>
    <x v="0"/>
    <n v="-69.28"/>
  </r>
  <r>
    <n v="1473"/>
    <x v="472"/>
    <x v="4"/>
    <x v="16"/>
    <n v="2"/>
    <m/>
    <n v="0"/>
    <x v="52"/>
    <n v="0"/>
    <x v="4"/>
    <x v="3"/>
    <x v="0"/>
    <n v="1769.11"/>
  </r>
  <r>
    <n v="1474"/>
    <x v="473"/>
    <x v="1"/>
    <x v="18"/>
    <n v="4"/>
    <m/>
    <n v="0"/>
    <x v="1"/>
    <n v="0"/>
    <x v="261"/>
    <x v="3"/>
    <x v="0"/>
    <n v="1791.38"/>
  </r>
  <r>
    <n v="1475"/>
    <x v="474"/>
    <x v="4"/>
    <x v="8"/>
    <n v="-2"/>
    <n v="3692.25"/>
    <n v="-7384.5"/>
    <x v="1"/>
    <n v="-7384.5"/>
    <x v="104"/>
    <x v="2"/>
    <x v="0"/>
    <n v="433.87"/>
  </r>
  <r>
    <n v="1476"/>
    <x v="475"/>
    <x v="0"/>
    <x v="20"/>
    <n v="5"/>
    <m/>
    <n v="0"/>
    <x v="13"/>
    <n v="0"/>
    <x v="38"/>
    <x v="3"/>
    <x v="0"/>
    <n v="1476.41"/>
  </r>
  <r>
    <n v="1477"/>
    <x v="476"/>
    <x v="5"/>
    <x v="19"/>
    <n v="2"/>
    <n v="2277.1999999999998"/>
    <n v="4554.3999999999996"/>
    <x v="1"/>
    <n v="4554.3999999999996"/>
    <x v="153"/>
    <x v="4"/>
    <x v="0"/>
    <n v="1295.82"/>
  </r>
  <r>
    <n v="1478"/>
    <x v="477"/>
    <x v="1"/>
    <x v="18"/>
    <n v="2"/>
    <n v="2277.41"/>
    <n v="4554.82"/>
    <x v="1"/>
    <n v="4554.82"/>
    <x v="262"/>
    <x v="1"/>
    <x v="0"/>
    <n v="-584.69000000000005"/>
  </r>
  <r>
    <n v="1479"/>
    <x v="478"/>
    <x v="5"/>
    <x v="11"/>
    <n v="1"/>
    <m/>
    <n v="0"/>
    <x v="1"/>
    <n v="0"/>
    <x v="4"/>
    <x v="1"/>
    <x v="0"/>
    <n v="-575.87"/>
  </r>
  <r>
    <n v="1480"/>
    <x v="479"/>
    <x v="1"/>
    <x v="18"/>
    <n v="2"/>
    <n v="755.42"/>
    <n v="1510.84"/>
    <x v="1"/>
    <n v="1510.84"/>
    <x v="263"/>
    <x v="5"/>
    <x v="0"/>
    <n v="2956.26"/>
  </r>
  <r>
    <n v="1481"/>
    <x v="480"/>
    <x v="3"/>
    <x v="21"/>
    <n v="2"/>
    <m/>
    <n v="0"/>
    <x v="101"/>
    <n v="0"/>
    <x v="4"/>
    <x v="0"/>
    <x v="0"/>
    <n v="375"/>
  </r>
  <r>
    <n v="1482"/>
    <x v="481"/>
    <x v="2"/>
    <x v="13"/>
    <n v="2"/>
    <n v="1269.51"/>
    <n v="2539.02"/>
    <x v="1"/>
    <n v="2539.02"/>
    <x v="177"/>
    <x v="1"/>
    <x v="0"/>
    <n v="480.43"/>
  </r>
  <r>
    <n v="1483"/>
    <x v="482"/>
    <x v="4"/>
    <x v="8"/>
    <n v="2"/>
    <n v="2347.19"/>
    <n v="4694.38"/>
    <x v="1"/>
    <n v="4694.38"/>
    <x v="253"/>
    <x v="3"/>
    <x v="0"/>
    <n v="2870.3"/>
  </r>
  <r>
    <n v="1484"/>
    <x v="483"/>
    <x v="1"/>
    <x v="15"/>
    <n v="2"/>
    <n v="818.68"/>
    <n v="1637.36"/>
    <x v="1"/>
    <n v="1637.36"/>
    <x v="264"/>
    <x v="2"/>
    <x v="0"/>
    <n v="2357.7399999999998"/>
  </r>
  <r>
    <n v="1485"/>
    <x v="484"/>
    <x v="2"/>
    <x v="10"/>
    <n v="2"/>
    <m/>
    <n v="0"/>
    <x v="1"/>
    <n v="0"/>
    <x v="114"/>
    <x v="4"/>
    <x v="1"/>
    <n v="672.88"/>
  </r>
  <r>
    <n v="1486"/>
    <x v="485"/>
    <x v="0"/>
    <x v="20"/>
    <n v="6"/>
    <m/>
    <n v="0"/>
    <x v="1"/>
    <n v="0"/>
    <x v="4"/>
    <x v="2"/>
    <x v="1"/>
    <n v="2745.83"/>
  </r>
  <r>
    <n v="1487"/>
    <x v="486"/>
    <x v="3"/>
    <x v="7"/>
    <n v="6"/>
    <n v="1234.08"/>
    <n v="7404.48"/>
    <x v="58"/>
    <n v="2147.2991999999999"/>
    <x v="265"/>
    <x v="0"/>
    <x v="0"/>
    <n v="-849.81"/>
  </r>
  <r>
    <n v="1488"/>
    <x v="487"/>
    <x v="3"/>
    <x v="23"/>
    <n v="2"/>
    <n v="4925.93"/>
    <n v="9851.86"/>
    <x v="1"/>
    <n v="9851.86"/>
    <x v="266"/>
    <x v="3"/>
    <x v="0"/>
    <n v="2121.1999999999998"/>
  </r>
  <r>
    <n v="1489"/>
    <x v="488"/>
    <x v="2"/>
    <x v="10"/>
    <n v="-2"/>
    <m/>
    <n v="0"/>
    <x v="1"/>
    <n v="0"/>
    <x v="58"/>
    <x v="5"/>
    <x v="1"/>
    <n v="2102.1999999999998"/>
  </r>
  <r>
    <n v="1490"/>
    <x v="489"/>
    <x v="4"/>
    <x v="14"/>
    <n v="1"/>
    <m/>
    <n v="0"/>
    <x v="1"/>
    <n v="0"/>
    <x v="31"/>
    <x v="0"/>
    <x v="0"/>
    <n v="230.97"/>
  </r>
  <r>
    <n v="1491"/>
    <x v="490"/>
    <x v="2"/>
    <x v="10"/>
    <n v="1"/>
    <m/>
    <n v="0"/>
    <x v="69"/>
    <n v="0"/>
    <x v="4"/>
    <x v="3"/>
    <x v="1"/>
    <n v="2039.1"/>
  </r>
  <r>
    <n v="1492"/>
    <x v="491"/>
    <x v="4"/>
    <x v="14"/>
    <n v="2"/>
    <m/>
    <n v="0"/>
    <x v="89"/>
    <n v="0"/>
    <x v="4"/>
    <x v="4"/>
    <x v="1"/>
    <n v="-308.83"/>
  </r>
  <r>
    <n v="1493"/>
    <x v="492"/>
    <x v="5"/>
    <x v="12"/>
    <n v="2"/>
    <m/>
    <n v="0"/>
    <x v="71"/>
    <n v="0"/>
    <x v="4"/>
    <x v="4"/>
    <x v="0"/>
    <n v="478.28"/>
  </r>
  <r>
    <n v="1494"/>
    <x v="493"/>
    <x v="0"/>
    <x v="9"/>
    <n v="2"/>
    <n v="4338.0600000000004"/>
    <n v="8676.1200000000008"/>
    <x v="102"/>
    <n v="6593.851200000001"/>
    <x v="267"/>
    <x v="2"/>
    <x v="0"/>
    <n v="386.01"/>
  </r>
  <r>
    <n v="1495"/>
    <x v="494"/>
    <x v="3"/>
    <x v="21"/>
    <n v="2"/>
    <n v="2261.4899999999998"/>
    <n v="4522.9799999999996"/>
    <x v="1"/>
    <n v="4522.9799999999996"/>
    <x v="45"/>
    <x v="3"/>
    <x v="0"/>
    <n v="2044.15"/>
  </r>
  <r>
    <n v="1496"/>
    <x v="495"/>
    <x v="1"/>
    <x v="18"/>
    <n v="-1"/>
    <n v="4874.76"/>
    <n v="-4874.76"/>
    <x v="1"/>
    <n v="-4874.76"/>
    <x v="268"/>
    <x v="1"/>
    <x v="1"/>
    <n v="2438.13"/>
  </r>
  <r>
    <n v="1497"/>
    <x v="496"/>
    <x v="3"/>
    <x v="3"/>
    <n v="2"/>
    <n v="1461.5"/>
    <n v="2923"/>
    <x v="1"/>
    <n v="2923"/>
    <x v="9"/>
    <x v="5"/>
    <x v="0"/>
    <n v="1561.06"/>
  </r>
  <r>
    <n v="1498"/>
    <x v="497"/>
    <x v="0"/>
    <x v="9"/>
    <n v="6"/>
    <n v="3771.67"/>
    <n v="22630.02"/>
    <x v="1"/>
    <n v="22630.02"/>
    <x v="111"/>
    <x v="2"/>
    <x v="0"/>
    <n v="2442.42"/>
  </r>
  <r>
    <n v="1499"/>
    <x v="498"/>
    <x v="4"/>
    <x v="4"/>
    <n v="2"/>
    <m/>
    <n v="0"/>
    <x v="1"/>
    <n v="0"/>
    <x v="4"/>
    <x v="3"/>
    <x v="0"/>
    <n v="2116.52"/>
  </r>
  <r>
    <n v="1500"/>
    <x v="499"/>
    <x v="0"/>
    <x v="9"/>
    <n v="2"/>
    <n v="2128.7399999999998"/>
    <n v="4257.4799999999996"/>
    <x v="1"/>
    <n v="4257.4799999999996"/>
    <x v="85"/>
    <x v="1"/>
    <x v="1"/>
    <n v="-648.94000000000005"/>
  </r>
  <r>
    <n v="1501"/>
    <x v="500"/>
    <x v="4"/>
    <x v="4"/>
    <n v="-2"/>
    <m/>
    <n v="0"/>
    <x v="88"/>
    <n v="0"/>
    <x v="4"/>
    <x v="3"/>
    <x v="0"/>
    <n v="-957.83"/>
  </r>
  <r>
    <n v="1502"/>
    <x v="501"/>
    <x v="5"/>
    <x v="19"/>
    <n v="2"/>
    <n v="4260.95"/>
    <n v="8521.9"/>
    <x v="1"/>
    <n v="8521.9"/>
    <x v="269"/>
    <x v="0"/>
    <x v="0"/>
    <n v="-86.64"/>
  </r>
  <r>
    <n v="1503"/>
    <x v="502"/>
    <x v="4"/>
    <x v="8"/>
    <n v="2"/>
    <n v="4621.79"/>
    <n v="9243.58"/>
    <x v="95"/>
    <n v="6285.634399999999"/>
    <x v="270"/>
    <x v="0"/>
    <x v="0"/>
    <n v="1350.48"/>
  </r>
  <r>
    <n v="1504"/>
    <x v="503"/>
    <x v="2"/>
    <x v="2"/>
    <n v="2"/>
    <n v="2558.4299999999998"/>
    <n v="5116.8599999999997"/>
    <x v="1"/>
    <n v="5116.8599999999997"/>
    <x v="101"/>
    <x v="3"/>
    <x v="1"/>
    <n v="-360.49"/>
  </r>
  <r>
    <n v="1048"/>
    <x v="504"/>
    <x v="3"/>
    <x v="21"/>
    <n v="2"/>
    <n v="1316.64"/>
    <n v="2633.28"/>
    <x v="1"/>
    <n v="2633.28"/>
    <x v="271"/>
    <x v="3"/>
    <x v="0"/>
    <n v="1390.52"/>
  </r>
  <r>
    <n v="1506"/>
    <x v="505"/>
    <x v="4"/>
    <x v="4"/>
    <n v="2"/>
    <m/>
    <n v="0"/>
    <x v="1"/>
    <n v="0"/>
    <x v="272"/>
    <x v="3"/>
    <x v="0"/>
    <n v="1406.62"/>
  </r>
  <r>
    <n v="1507"/>
    <x v="506"/>
    <x v="1"/>
    <x v="1"/>
    <n v="2"/>
    <n v="3597.73"/>
    <n v="7195.46"/>
    <x v="1"/>
    <n v="7195.46"/>
    <x v="273"/>
    <x v="0"/>
    <x v="0"/>
    <n v="-857.53"/>
  </r>
  <r>
    <n v="1508"/>
    <x v="507"/>
    <x v="5"/>
    <x v="19"/>
    <n v="-1"/>
    <m/>
    <n v="0"/>
    <x v="1"/>
    <n v="0"/>
    <x v="274"/>
    <x v="1"/>
    <x v="0"/>
    <n v="1796.35"/>
  </r>
  <r>
    <n v="1509"/>
    <x v="508"/>
    <x v="5"/>
    <x v="19"/>
    <n v="2"/>
    <m/>
    <n v="0"/>
    <x v="103"/>
    <n v="0"/>
    <x v="275"/>
    <x v="3"/>
    <x v="0"/>
    <n v="1333.87"/>
  </r>
  <r>
    <n v="1510"/>
    <x v="509"/>
    <x v="4"/>
    <x v="16"/>
    <n v="2"/>
    <n v="1897.11"/>
    <n v="3794.22"/>
    <x v="1"/>
    <n v="3794.22"/>
    <x v="276"/>
    <x v="0"/>
    <x v="0"/>
    <n v="-345.3"/>
  </r>
  <r>
    <n v="1511"/>
    <x v="510"/>
    <x v="1"/>
    <x v="1"/>
    <n v="2"/>
    <m/>
    <n v="0"/>
    <x v="47"/>
    <n v="0"/>
    <x v="277"/>
    <x v="4"/>
    <x v="1"/>
    <n v="-521.84"/>
  </r>
  <r>
    <n v="1512"/>
    <x v="511"/>
    <x v="3"/>
    <x v="7"/>
    <n v="2"/>
    <m/>
    <n v="0"/>
    <x v="1"/>
    <n v="0"/>
    <x v="278"/>
    <x v="0"/>
    <x v="0"/>
    <n v="352.91"/>
  </r>
  <r>
    <n v="1513"/>
    <x v="512"/>
    <x v="1"/>
    <x v="22"/>
    <n v="6"/>
    <m/>
    <n v="0"/>
    <x v="1"/>
    <n v="0"/>
    <x v="279"/>
    <x v="0"/>
    <x v="0"/>
    <n v="156.52000000000001"/>
  </r>
  <r>
    <n v="1514"/>
    <x v="513"/>
    <x v="4"/>
    <x v="8"/>
    <n v="2"/>
    <n v="2343.7199999999998"/>
    <n v="4687.4399999999996"/>
    <x v="1"/>
    <n v="4687.4399999999996"/>
    <x v="180"/>
    <x v="2"/>
    <x v="0"/>
    <n v="-760.9"/>
  </r>
  <r>
    <n v="1515"/>
    <x v="514"/>
    <x v="3"/>
    <x v="7"/>
    <n v="3"/>
    <n v="4596.03"/>
    <n v="13788.09"/>
    <x v="1"/>
    <n v="13788.09"/>
    <x v="200"/>
    <x v="0"/>
    <x v="0"/>
    <n v="-866.29"/>
  </r>
  <r>
    <n v="1516"/>
    <x v="515"/>
    <x v="5"/>
    <x v="6"/>
    <n v="-1"/>
    <n v="1039.31"/>
    <n v="-1039.31"/>
    <x v="8"/>
    <n v="-62.358600000000052"/>
    <x v="4"/>
    <x v="1"/>
    <x v="1"/>
    <n v="-104.79"/>
  </r>
  <r>
    <n v="1517"/>
    <x v="516"/>
    <x v="0"/>
    <x v="0"/>
    <n v="2"/>
    <n v="4944.25"/>
    <n v="9888.5"/>
    <x v="1"/>
    <n v="9888.5"/>
    <x v="95"/>
    <x v="1"/>
    <x v="1"/>
    <n v="-157.21"/>
  </r>
  <r>
    <n v="1518"/>
    <x v="517"/>
    <x v="0"/>
    <x v="0"/>
    <n v="2"/>
    <n v="706.71"/>
    <n v="1413.42"/>
    <x v="1"/>
    <n v="1413.42"/>
    <x v="280"/>
    <x v="0"/>
    <x v="0"/>
    <n v="-285.44"/>
  </r>
  <r>
    <n v="1519"/>
    <x v="518"/>
    <x v="3"/>
    <x v="3"/>
    <n v="1"/>
    <n v="3762.86"/>
    <n v="3762.86"/>
    <x v="1"/>
    <n v="3762.86"/>
    <x v="96"/>
    <x v="2"/>
    <x v="1"/>
    <n v="2567.73"/>
  </r>
  <r>
    <n v="1520"/>
    <x v="519"/>
    <x v="4"/>
    <x v="4"/>
    <n v="4"/>
    <m/>
    <n v="0"/>
    <x v="58"/>
    <n v="0"/>
    <x v="281"/>
    <x v="2"/>
    <x v="0"/>
    <n v="-822.18"/>
  </r>
  <r>
    <n v="1521"/>
    <x v="520"/>
    <x v="0"/>
    <x v="9"/>
    <n v="2"/>
    <n v="2362.0300000000002"/>
    <n v="4724.0600000000004"/>
    <x v="81"/>
    <n v="-1275.4962000000003"/>
    <x v="196"/>
    <x v="4"/>
    <x v="0"/>
    <n v="-943.46"/>
  </r>
  <r>
    <n v="1522"/>
    <x v="521"/>
    <x v="3"/>
    <x v="7"/>
    <n v="6"/>
    <m/>
    <n v="0"/>
    <x v="87"/>
    <n v="0"/>
    <x v="282"/>
    <x v="3"/>
    <x v="1"/>
    <n v="547.09"/>
  </r>
  <r>
    <n v="1523"/>
    <x v="522"/>
    <x v="4"/>
    <x v="8"/>
    <n v="-2"/>
    <m/>
    <n v="0"/>
    <x v="77"/>
    <n v="0"/>
    <x v="283"/>
    <x v="1"/>
    <x v="1"/>
    <n v="1475.12"/>
  </r>
  <r>
    <n v="1524"/>
    <x v="523"/>
    <x v="5"/>
    <x v="12"/>
    <n v="2"/>
    <m/>
    <n v="0"/>
    <x v="41"/>
    <n v="0"/>
    <x v="1"/>
    <x v="4"/>
    <x v="0"/>
    <n v="2668.06"/>
  </r>
  <r>
    <n v="1525"/>
    <x v="524"/>
    <x v="3"/>
    <x v="21"/>
    <n v="5"/>
    <n v="4591.26"/>
    <n v="22956.300000000003"/>
    <x v="1"/>
    <n v="22956.300000000003"/>
    <x v="210"/>
    <x v="4"/>
    <x v="1"/>
    <n v="-602.79999999999995"/>
  </r>
  <r>
    <n v="1526"/>
    <x v="525"/>
    <x v="2"/>
    <x v="10"/>
    <n v="2"/>
    <n v="1884.25"/>
    <n v="3768.5"/>
    <x v="1"/>
    <n v="3768.5"/>
    <x v="284"/>
    <x v="3"/>
    <x v="0"/>
    <n v="1177.57"/>
  </r>
  <r>
    <n v="1527"/>
    <x v="526"/>
    <x v="0"/>
    <x v="0"/>
    <n v="2"/>
    <n v="3431.26"/>
    <n v="6862.52"/>
    <x v="1"/>
    <n v="6862.52"/>
    <x v="259"/>
    <x v="3"/>
    <x v="0"/>
    <n v="1931.28"/>
  </r>
  <r>
    <n v="1026"/>
    <x v="527"/>
    <x v="4"/>
    <x v="4"/>
    <n v="0"/>
    <m/>
    <n v="0"/>
    <x v="1"/>
    <n v="0"/>
    <x v="285"/>
    <x v="0"/>
    <x v="0"/>
    <n v="2916.18"/>
  </r>
  <r>
    <n v="1529"/>
    <x v="528"/>
    <x v="4"/>
    <x v="14"/>
    <n v="2"/>
    <n v="3381.7"/>
    <n v="6763.4"/>
    <x v="1"/>
    <n v="6763.4"/>
    <x v="267"/>
    <x v="0"/>
    <x v="0"/>
    <n v="2953.76"/>
  </r>
  <r>
    <n v="1530"/>
    <x v="529"/>
    <x v="1"/>
    <x v="18"/>
    <n v="6"/>
    <m/>
    <n v="0"/>
    <x v="1"/>
    <n v="0"/>
    <x v="286"/>
    <x v="4"/>
    <x v="0"/>
    <n v="1451.55"/>
  </r>
  <r>
    <n v="1531"/>
    <x v="530"/>
    <x v="0"/>
    <x v="20"/>
    <n v="2"/>
    <m/>
    <n v="0"/>
    <x v="62"/>
    <n v="0"/>
    <x v="70"/>
    <x v="1"/>
    <x v="1"/>
    <n v="-173.83"/>
  </r>
  <r>
    <n v="1532"/>
    <x v="531"/>
    <x v="4"/>
    <x v="8"/>
    <n v="2"/>
    <m/>
    <n v="0"/>
    <x v="18"/>
    <n v="0"/>
    <x v="287"/>
    <x v="2"/>
    <x v="1"/>
    <n v="2512.66"/>
  </r>
  <r>
    <n v="1533"/>
    <x v="532"/>
    <x v="5"/>
    <x v="19"/>
    <n v="2"/>
    <n v="3965.94"/>
    <n v="7931.88"/>
    <x v="1"/>
    <n v="7931.88"/>
    <x v="288"/>
    <x v="2"/>
    <x v="0"/>
    <n v="-759.07"/>
  </r>
  <r>
    <n v="1534"/>
    <x v="533"/>
    <x v="4"/>
    <x v="16"/>
    <n v="2"/>
    <m/>
    <n v="0"/>
    <x v="1"/>
    <n v="0"/>
    <x v="140"/>
    <x v="0"/>
    <x v="1"/>
    <n v="-836.06"/>
  </r>
  <r>
    <n v="1535"/>
    <x v="534"/>
    <x v="3"/>
    <x v="23"/>
    <n v="2"/>
    <n v="720.35"/>
    <n v="1440.7"/>
    <x v="1"/>
    <n v="1440.7"/>
    <x v="289"/>
    <x v="3"/>
    <x v="0"/>
    <n v="1359.17"/>
  </r>
  <r>
    <n v="1536"/>
    <x v="535"/>
    <x v="5"/>
    <x v="19"/>
    <n v="1"/>
    <m/>
    <n v="0"/>
    <x v="1"/>
    <n v="0"/>
    <x v="290"/>
    <x v="0"/>
    <x v="1"/>
    <n v="1966.62"/>
  </r>
  <r>
    <n v="1537"/>
    <x v="536"/>
    <x v="0"/>
    <x v="20"/>
    <n v="-1"/>
    <m/>
    <n v="0"/>
    <x v="55"/>
    <n v="0"/>
    <x v="4"/>
    <x v="3"/>
    <x v="0"/>
    <n v="68.260000000000005"/>
  </r>
  <r>
    <n v="1538"/>
    <x v="537"/>
    <x v="5"/>
    <x v="19"/>
    <n v="2"/>
    <n v="4767.6099999999997"/>
    <n v="9535.2199999999993"/>
    <x v="86"/>
    <n v="9439.8678"/>
    <x v="4"/>
    <x v="1"/>
    <x v="1"/>
    <n v="-956.8"/>
  </r>
  <r>
    <n v="1539"/>
    <x v="538"/>
    <x v="0"/>
    <x v="9"/>
    <n v="2"/>
    <n v="2891.64"/>
    <n v="5783.28"/>
    <x v="1"/>
    <n v="5783.28"/>
    <x v="4"/>
    <x v="2"/>
    <x v="0"/>
    <n v="2309.23"/>
  </r>
  <r>
    <n v="1540"/>
    <x v="539"/>
    <x v="1"/>
    <x v="1"/>
    <n v="2"/>
    <m/>
    <n v="0"/>
    <x v="1"/>
    <n v="0"/>
    <x v="291"/>
    <x v="1"/>
    <x v="0"/>
    <n v="815.28"/>
  </r>
  <r>
    <n v="1541"/>
    <x v="540"/>
    <x v="3"/>
    <x v="23"/>
    <n v="2"/>
    <n v="2989.4"/>
    <n v="5978.8"/>
    <x v="1"/>
    <n v="5978.8"/>
    <x v="292"/>
    <x v="2"/>
    <x v="0"/>
    <n v="-530.72"/>
  </r>
  <r>
    <n v="1542"/>
    <x v="541"/>
    <x v="1"/>
    <x v="15"/>
    <n v="1"/>
    <n v="2044.17"/>
    <n v="2044.17"/>
    <x v="1"/>
    <n v="2044.17"/>
    <x v="4"/>
    <x v="5"/>
    <x v="0"/>
    <n v="-798.37"/>
  </r>
  <r>
    <n v="1543"/>
    <x v="542"/>
    <x v="5"/>
    <x v="19"/>
    <n v="1"/>
    <n v="4440.24"/>
    <n v="4440.24"/>
    <x v="95"/>
    <n v="3019.3631999999998"/>
    <x v="4"/>
    <x v="1"/>
    <x v="1"/>
    <n v="1884.06"/>
  </r>
  <r>
    <n v="1544"/>
    <x v="543"/>
    <x v="5"/>
    <x v="11"/>
    <n v="6"/>
    <m/>
    <n v="0"/>
    <x v="1"/>
    <n v="0"/>
    <x v="4"/>
    <x v="3"/>
    <x v="0"/>
    <n v="87.47"/>
  </r>
  <r>
    <n v="1545"/>
    <x v="544"/>
    <x v="5"/>
    <x v="6"/>
    <n v="1"/>
    <m/>
    <n v="0"/>
    <x v="1"/>
    <n v="0"/>
    <x v="246"/>
    <x v="4"/>
    <x v="1"/>
    <n v="2526.29"/>
  </r>
  <r>
    <n v="1546"/>
    <x v="545"/>
    <x v="4"/>
    <x v="8"/>
    <n v="2"/>
    <m/>
    <n v="0"/>
    <x v="1"/>
    <n v="0"/>
    <x v="293"/>
    <x v="1"/>
    <x v="0"/>
    <n v="1978.16"/>
  </r>
  <r>
    <n v="1547"/>
    <x v="546"/>
    <x v="5"/>
    <x v="11"/>
    <n v="6"/>
    <m/>
    <n v="0"/>
    <x v="104"/>
    <n v="0"/>
    <x v="294"/>
    <x v="5"/>
    <x v="1"/>
    <n v="1018.03"/>
  </r>
  <r>
    <n v="1548"/>
    <x v="547"/>
    <x v="1"/>
    <x v="15"/>
    <n v="2"/>
    <n v="2273.15"/>
    <n v="4546.3"/>
    <x v="1"/>
    <n v="4546.3"/>
    <x v="4"/>
    <x v="1"/>
    <x v="0"/>
    <n v="-701.47"/>
  </r>
  <r>
    <n v="1549"/>
    <x v="548"/>
    <x v="3"/>
    <x v="7"/>
    <n v="2"/>
    <n v="2465.23"/>
    <n v="4930.46"/>
    <x v="32"/>
    <n v="2859.6668000000004"/>
    <x v="4"/>
    <x v="3"/>
    <x v="0"/>
    <n v="256.3"/>
  </r>
  <r>
    <n v="1550"/>
    <x v="549"/>
    <x v="1"/>
    <x v="22"/>
    <n v="1"/>
    <m/>
    <n v="0"/>
    <x v="105"/>
    <n v="0"/>
    <x v="111"/>
    <x v="5"/>
    <x v="0"/>
    <n v="2195.27"/>
  </r>
  <r>
    <n v="1551"/>
    <x v="550"/>
    <x v="1"/>
    <x v="22"/>
    <n v="2"/>
    <n v="2656.77"/>
    <n v="5313.54"/>
    <x v="65"/>
    <n v="-265.67700000000025"/>
    <x v="4"/>
    <x v="2"/>
    <x v="0"/>
    <n v="2293.08"/>
  </r>
  <r>
    <n v="1552"/>
    <x v="551"/>
    <x v="2"/>
    <x v="13"/>
    <n v="2"/>
    <n v="883.76"/>
    <n v="1767.52"/>
    <x v="1"/>
    <n v="1767.52"/>
    <x v="4"/>
    <x v="1"/>
    <x v="0"/>
    <n v="-572.62"/>
  </r>
  <r>
    <n v="1553"/>
    <x v="552"/>
    <x v="3"/>
    <x v="3"/>
    <n v="1"/>
    <m/>
    <n v="0"/>
    <x v="1"/>
    <n v="0"/>
    <x v="4"/>
    <x v="4"/>
    <x v="0"/>
    <n v="2824.43"/>
  </r>
  <r>
    <n v="1554"/>
    <x v="553"/>
    <x v="2"/>
    <x v="2"/>
    <n v="2"/>
    <n v="2345.71"/>
    <n v="4691.42"/>
    <x v="1"/>
    <n v="4691.42"/>
    <x v="187"/>
    <x v="5"/>
    <x v="0"/>
    <n v="2041.71"/>
  </r>
  <r>
    <n v="1555"/>
    <x v="554"/>
    <x v="3"/>
    <x v="3"/>
    <n v="2"/>
    <m/>
    <n v="0"/>
    <x v="1"/>
    <n v="0"/>
    <x v="4"/>
    <x v="3"/>
    <x v="0"/>
    <n v="312.38"/>
  </r>
  <r>
    <n v="1556"/>
    <x v="555"/>
    <x v="0"/>
    <x v="5"/>
    <n v="2"/>
    <n v="453.92"/>
    <n v="907.84"/>
    <x v="1"/>
    <n v="907.84"/>
    <x v="147"/>
    <x v="3"/>
    <x v="1"/>
    <n v="2308.0100000000002"/>
  </r>
  <r>
    <n v="1557"/>
    <x v="556"/>
    <x v="1"/>
    <x v="1"/>
    <n v="2"/>
    <n v="4402.3999999999996"/>
    <n v="8804.7999999999993"/>
    <x v="1"/>
    <n v="8804.7999999999993"/>
    <x v="295"/>
    <x v="4"/>
    <x v="0"/>
    <n v="-594.21"/>
  </r>
  <r>
    <n v="1558"/>
    <x v="557"/>
    <x v="4"/>
    <x v="16"/>
    <n v="-2"/>
    <m/>
    <n v="0"/>
    <x v="1"/>
    <n v="0"/>
    <x v="296"/>
    <x v="5"/>
    <x v="0"/>
    <n v="300.17"/>
  </r>
  <r>
    <n v="1559"/>
    <x v="558"/>
    <x v="1"/>
    <x v="22"/>
    <n v="2"/>
    <m/>
    <n v="0"/>
    <x v="48"/>
    <n v="0"/>
    <x v="4"/>
    <x v="2"/>
    <x v="0"/>
    <n v="-548.17999999999995"/>
  </r>
  <r>
    <n v="1560"/>
    <x v="559"/>
    <x v="3"/>
    <x v="23"/>
    <n v="2"/>
    <m/>
    <n v="0"/>
    <x v="58"/>
    <n v="0"/>
    <x v="125"/>
    <x v="4"/>
    <x v="1"/>
    <n v="574.85"/>
  </r>
  <r>
    <n v="1561"/>
    <x v="560"/>
    <x v="2"/>
    <x v="10"/>
    <n v="4"/>
    <m/>
    <n v="0"/>
    <x v="1"/>
    <n v="0"/>
    <x v="297"/>
    <x v="0"/>
    <x v="0"/>
    <n v="2513.2399999999998"/>
  </r>
  <r>
    <n v="1562"/>
    <x v="561"/>
    <x v="3"/>
    <x v="23"/>
    <n v="2"/>
    <m/>
    <n v="0"/>
    <x v="1"/>
    <n v="0"/>
    <x v="4"/>
    <x v="4"/>
    <x v="1"/>
    <n v="930.14"/>
  </r>
  <r>
    <n v="1563"/>
    <x v="562"/>
    <x v="5"/>
    <x v="11"/>
    <n v="5"/>
    <n v="1571.12"/>
    <n v="7855.5999999999995"/>
    <x v="88"/>
    <n v="2749.4599999999996"/>
    <x v="4"/>
    <x v="1"/>
    <x v="0"/>
    <n v="103.28"/>
  </r>
  <r>
    <n v="1564"/>
    <x v="563"/>
    <x v="0"/>
    <x v="5"/>
    <n v="2"/>
    <m/>
    <n v="0"/>
    <x v="93"/>
    <n v="0"/>
    <x v="4"/>
    <x v="5"/>
    <x v="0"/>
    <n v="-953.17"/>
  </r>
  <r>
    <n v="1565"/>
    <x v="564"/>
    <x v="3"/>
    <x v="23"/>
    <n v="2"/>
    <n v="1867.24"/>
    <n v="3734.48"/>
    <x v="17"/>
    <n v="3024.9288000000001"/>
    <x v="276"/>
    <x v="5"/>
    <x v="1"/>
    <n v="784.96"/>
  </r>
  <r>
    <n v="1566"/>
    <x v="565"/>
    <x v="1"/>
    <x v="1"/>
    <n v="2"/>
    <n v="1696.72"/>
    <n v="3393.44"/>
    <x v="1"/>
    <n v="3393.44"/>
    <x v="298"/>
    <x v="1"/>
    <x v="1"/>
    <n v="953.07"/>
  </r>
  <r>
    <n v="1567"/>
    <x v="566"/>
    <x v="3"/>
    <x v="3"/>
    <n v="2"/>
    <m/>
    <n v="0"/>
    <x v="1"/>
    <n v="0"/>
    <x v="4"/>
    <x v="4"/>
    <x v="0"/>
    <n v="2545.25"/>
  </r>
  <r>
    <n v="1568"/>
    <x v="567"/>
    <x v="0"/>
    <x v="20"/>
    <n v="6"/>
    <m/>
    <n v="0"/>
    <x v="1"/>
    <n v="0"/>
    <x v="4"/>
    <x v="0"/>
    <x v="0"/>
    <n v="2403.0100000000002"/>
  </r>
  <r>
    <n v="1569"/>
    <x v="568"/>
    <x v="5"/>
    <x v="11"/>
    <n v="1"/>
    <m/>
    <n v="0"/>
    <x v="27"/>
    <n v="0"/>
    <x v="36"/>
    <x v="1"/>
    <x v="0"/>
    <n v="576.66"/>
  </r>
  <r>
    <n v="1570"/>
    <x v="569"/>
    <x v="1"/>
    <x v="22"/>
    <n v="1"/>
    <n v="4774.7700000000004"/>
    <n v="4774.7700000000004"/>
    <x v="78"/>
    <n v="190.99080000000018"/>
    <x v="182"/>
    <x v="2"/>
    <x v="0"/>
    <n v="-146.16999999999999"/>
  </r>
  <r>
    <n v="1571"/>
    <x v="570"/>
    <x v="1"/>
    <x v="18"/>
    <n v="3"/>
    <n v="1308.06"/>
    <n v="3924.18"/>
    <x v="1"/>
    <n v="3924.18"/>
    <x v="4"/>
    <x v="5"/>
    <x v="0"/>
    <n v="-246.91"/>
  </r>
  <r>
    <n v="1572"/>
    <x v="571"/>
    <x v="1"/>
    <x v="22"/>
    <n v="4"/>
    <m/>
    <n v="0"/>
    <x v="83"/>
    <n v="0"/>
    <x v="16"/>
    <x v="0"/>
    <x v="0"/>
    <n v="534.6"/>
  </r>
  <r>
    <n v="1573"/>
    <x v="572"/>
    <x v="0"/>
    <x v="20"/>
    <n v="2"/>
    <n v="3972.78"/>
    <n v="7945.56"/>
    <x v="1"/>
    <n v="7945.56"/>
    <x v="299"/>
    <x v="4"/>
    <x v="0"/>
    <n v="-902.58"/>
  </r>
  <r>
    <n v="1574"/>
    <x v="573"/>
    <x v="3"/>
    <x v="3"/>
    <n v="-1"/>
    <m/>
    <n v="0"/>
    <x v="1"/>
    <n v="0"/>
    <x v="300"/>
    <x v="1"/>
    <x v="1"/>
    <n v="-803.35"/>
  </r>
  <r>
    <n v="1575"/>
    <x v="574"/>
    <x v="4"/>
    <x v="16"/>
    <n v="2"/>
    <n v="615.07000000000005"/>
    <n v="1230.1400000000001"/>
    <x v="1"/>
    <n v="1230.1400000000001"/>
    <x v="111"/>
    <x v="1"/>
    <x v="0"/>
    <n v="638.16"/>
  </r>
  <r>
    <n v="1576"/>
    <x v="575"/>
    <x v="1"/>
    <x v="18"/>
    <n v="1"/>
    <n v="1882.14"/>
    <n v="1882.14"/>
    <x v="0"/>
    <n v="752.85600000000011"/>
    <x v="301"/>
    <x v="1"/>
    <x v="1"/>
    <n v="2554.79"/>
  </r>
  <r>
    <n v="1010"/>
    <x v="576"/>
    <x v="5"/>
    <x v="6"/>
    <n v="2"/>
    <n v="3134.69"/>
    <n v="6269.38"/>
    <x v="35"/>
    <n v="5830.5234"/>
    <x v="4"/>
    <x v="0"/>
    <x v="0"/>
    <n v="555.44000000000005"/>
  </r>
  <r>
    <n v="1578"/>
    <x v="577"/>
    <x v="5"/>
    <x v="11"/>
    <n v="2"/>
    <m/>
    <n v="0"/>
    <x v="1"/>
    <n v="0"/>
    <x v="176"/>
    <x v="3"/>
    <x v="0"/>
    <n v="2604.12"/>
  </r>
  <r>
    <n v="1579"/>
    <x v="578"/>
    <x v="2"/>
    <x v="17"/>
    <n v="3"/>
    <m/>
    <n v="0"/>
    <x v="1"/>
    <n v="0"/>
    <x v="76"/>
    <x v="4"/>
    <x v="1"/>
    <n v="-155.77000000000001"/>
  </r>
  <r>
    <n v="1580"/>
    <x v="579"/>
    <x v="5"/>
    <x v="12"/>
    <n v="2"/>
    <m/>
    <n v="0"/>
    <x v="1"/>
    <n v="0"/>
    <x v="302"/>
    <x v="4"/>
    <x v="1"/>
    <n v="-364.57"/>
  </r>
  <r>
    <n v="1581"/>
    <x v="580"/>
    <x v="0"/>
    <x v="9"/>
    <n v="2"/>
    <m/>
    <n v="0"/>
    <x v="1"/>
    <n v="0"/>
    <x v="75"/>
    <x v="0"/>
    <x v="0"/>
    <n v="1109.06"/>
  </r>
  <r>
    <n v="1582"/>
    <x v="581"/>
    <x v="0"/>
    <x v="0"/>
    <n v="1"/>
    <n v="4809.8999999999996"/>
    <n v="4809.8999999999996"/>
    <x v="11"/>
    <n v="384.7919999999998"/>
    <x v="134"/>
    <x v="2"/>
    <x v="0"/>
    <n v="-356.01"/>
  </r>
  <r>
    <n v="1583"/>
    <x v="582"/>
    <x v="5"/>
    <x v="6"/>
    <n v="2"/>
    <m/>
    <n v="0"/>
    <x v="1"/>
    <n v="0"/>
    <x v="303"/>
    <x v="5"/>
    <x v="1"/>
    <n v="829.03"/>
  </r>
  <r>
    <n v="1584"/>
    <x v="583"/>
    <x v="5"/>
    <x v="19"/>
    <n v="5"/>
    <m/>
    <n v="0"/>
    <x v="6"/>
    <n v="0"/>
    <x v="117"/>
    <x v="1"/>
    <x v="1"/>
    <n v="2853.8"/>
  </r>
  <r>
    <n v="1585"/>
    <x v="584"/>
    <x v="2"/>
    <x v="10"/>
    <n v="-2"/>
    <n v="2738.72"/>
    <n v="-5477.44"/>
    <x v="106"/>
    <n v="-602.51839999999993"/>
    <x v="104"/>
    <x v="0"/>
    <x v="0"/>
    <n v="-709.13"/>
  </r>
  <r>
    <n v="1586"/>
    <x v="585"/>
    <x v="2"/>
    <x v="2"/>
    <n v="2"/>
    <m/>
    <n v="0"/>
    <x v="107"/>
    <n v="0"/>
    <x v="188"/>
    <x v="5"/>
    <x v="1"/>
    <n v="1765.79"/>
  </r>
  <r>
    <n v="1587"/>
    <x v="586"/>
    <x v="2"/>
    <x v="2"/>
    <n v="-1"/>
    <m/>
    <n v="0"/>
    <x v="1"/>
    <n v="0"/>
    <x v="4"/>
    <x v="2"/>
    <x v="0"/>
    <n v="1376.9"/>
  </r>
  <r>
    <n v="1588"/>
    <x v="587"/>
    <x v="3"/>
    <x v="7"/>
    <n v="1"/>
    <m/>
    <n v="0"/>
    <x v="1"/>
    <n v="0"/>
    <x v="304"/>
    <x v="0"/>
    <x v="1"/>
    <n v="526.32000000000005"/>
  </r>
  <r>
    <n v="1589"/>
    <x v="588"/>
    <x v="2"/>
    <x v="2"/>
    <n v="2"/>
    <n v="527.07000000000005"/>
    <n v="1054.1400000000001"/>
    <x v="108"/>
    <n v="579.77700000000016"/>
    <x v="4"/>
    <x v="2"/>
    <x v="0"/>
    <n v="2617.9899999999998"/>
  </r>
  <r>
    <n v="1590"/>
    <x v="589"/>
    <x v="5"/>
    <x v="11"/>
    <n v="6"/>
    <m/>
    <n v="0"/>
    <x v="93"/>
    <n v="0"/>
    <x v="4"/>
    <x v="3"/>
    <x v="1"/>
    <n v="-104.43"/>
  </r>
  <r>
    <n v="1591"/>
    <x v="590"/>
    <x v="4"/>
    <x v="16"/>
    <n v="2"/>
    <m/>
    <n v="0"/>
    <x v="1"/>
    <n v="0"/>
    <x v="305"/>
    <x v="2"/>
    <x v="0"/>
    <n v="158.05000000000001"/>
  </r>
  <r>
    <n v="1592"/>
    <x v="591"/>
    <x v="2"/>
    <x v="10"/>
    <n v="5"/>
    <m/>
    <n v="0"/>
    <x v="73"/>
    <n v="0"/>
    <x v="82"/>
    <x v="2"/>
    <x v="0"/>
    <n v="619.25"/>
  </r>
  <r>
    <n v="1593"/>
    <x v="592"/>
    <x v="4"/>
    <x v="16"/>
    <n v="2"/>
    <m/>
    <n v="0"/>
    <x v="1"/>
    <n v="0"/>
    <x v="306"/>
    <x v="2"/>
    <x v="0"/>
    <n v="2598.9299999999998"/>
  </r>
  <r>
    <n v="1594"/>
    <x v="593"/>
    <x v="0"/>
    <x v="9"/>
    <n v="2"/>
    <n v="3784.99"/>
    <n v="7569.98"/>
    <x v="1"/>
    <n v="7569.98"/>
    <x v="4"/>
    <x v="3"/>
    <x v="0"/>
    <n v="346.37"/>
  </r>
  <r>
    <n v="1595"/>
    <x v="594"/>
    <x v="5"/>
    <x v="19"/>
    <n v="2"/>
    <m/>
    <n v="0"/>
    <x v="1"/>
    <n v="0"/>
    <x v="7"/>
    <x v="2"/>
    <x v="0"/>
    <n v="1483.7"/>
  </r>
  <r>
    <n v="1596"/>
    <x v="595"/>
    <x v="1"/>
    <x v="1"/>
    <n v="3"/>
    <n v="738.29"/>
    <n v="2214.87"/>
    <x v="1"/>
    <n v="2214.87"/>
    <x v="168"/>
    <x v="1"/>
    <x v="1"/>
    <n v="-871.38"/>
  </r>
  <r>
    <n v="1597"/>
    <x v="596"/>
    <x v="4"/>
    <x v="4"/>
    <n v="1"/>
    <n v="657.51"/>
    <n v="657.51"/>
    <x v="49"/>
    <n v="151.22729999999999"/>
    <x v="188"/>
    <x v="0"/>
    <x v="0"/>
    <n v="2744.32"/>
  </r>
  <r>
    <n v="1598"/>
    <x v="597"/>
    <x v="1"/>
    <x v="18"/>
    <n v="2"/>
    <n v="3311.31"/>
    <n v="6622.62"/>
    <x v="1"/>
    <n v="6622.62"/>
    <x v="4"/>
    <x v="5"/>
    <x v="1"/>
    <n v="2944.25"/>
  </r>
  <r>
    <n v="1599"/>
    <x v="598"/>
    <x v="1"/>
    <x v="15"/>
    <n v="2"/>
    <m/>
    <n v="0"/>
    <x v="1"/>
    <n v="0"/>
    <x v="307"/>
    <x v="2"/>
    <x v="0"/>
    <n v="790.51"/>
  </r>
  <r>
    <n v="1600"/>
    <x v="599"/>
    <x v="3"/>
    <x v="21"/>
    <n v="2"/>
    <m/>
    <n v="0"/>
    <x v="1"/>
    <n v="0"/>
    <x v="308"/>
    <x v="1"/>
    <x v="1"/>
    <n v="-605.05999999999995"/>
  </r>
  <r>
    <n v="1601"/>
    <x v="600"/>
    <x v="3"/>
    <x v="3"/>
    <n v="2"/>
    <m/>
    <n v="0"/>
    <x v="1"/>
    <n v="0"/>
    <x v="83"/>
    <x v="2"/>
    <x v="1"/>
    <n v="1282.26"/>
  </r>
  <r>
    <n v="1602"/>
    <x v="601"/>
    <x v="5"/>
    <x v="12"/>
    <n v="2"/>
    <n v="4256.43"/>
    <n v="8512.86"/>
    <x v="1"/>
    <n v="8512.86"/>
    <x v="8"/>
    <x v="3"/>
    <x v="0"/>
    <n v="2472.73"/>
  </r>
  <r>
    <n v="1603"/>
    <x v="602"/>
    <x v="1"/>
    <x v="15"/>
    <n v="2"/>
    <m/>
    <n v="0"/>
    <x v="65"/>
    <n v="0"/>
    <x v="4"/>
    <x v="1"/>
    <x v="0"/>
    <n v="2700.72"/>
  </r>
  <r>
    <n v="1604"/>
    <x v="603"/>
    <x v="4"/>
    <x v="16"/>
    <n v="2"/>
    <m/>
    <n v="0"/>
    <x v="1"/>
    <n v="0"/>
    <x v="309"/>
    <x v="3"/>
    <x v="1"/>
    <n v="2976.74"/>
  </r>
  <r>
    <n v="1605"/>
    <x v="604"/>
    <x v="3"/>
    <x v="21"/>
    <n v="0"/>
    <m/>
    <n v="0"/>
    <x v="41"/>
    <n v="0"/>
    <x v="63"/>
    <x v="4"/>
    <x v="0"/>
    <n v="-339.59"/>
  </r>
  <r>
    <n v="1606"/>
    <x v="605"/>
    <x v="4"/>
    <x v="16"/>
    <n v="6"/>
    <m/>
    <n v="0"/>
    <x v="1"/>
    <n v="0"/>
    <x v="175"/>
    <x v="0"/>
    <x v="0"/>
    <n v="-527.17999999999995"/>
  </r>
  <r>
    <n v="1607"/>
    <x v="606"/>
    <x v="2"/>
    <x v="2"/>
    <n v="2"/>
    <n v="4941.2700000000004"/>
    <n v="9882.5400000000009"/>
    <x v="1"/>
    <n v="9882.5400000000009"/>
    <x v="310"/>
    <x v="0"/>
    <x v="0"/>
    <n v="515.05999999999995"/>
  </r>
  <r>
    <n v="1608"/>
    <x v="607"/>
    <x v="2"/>
    <x v="13"/>
    <n v="3"/>
    <n v="3536.61"/>
    <n v="10609.83"/>
    <x v="109"/>
    <n v="2228.0642999999995"/>
    <x v="257"/>
    <x v="2"/>
    <x v="0"/>
    <n v="-55.01"/>
  </r>
  <r>
    <n v="1609"/>
    <x v="608"/>
    <x v="2"/>
    <x v="2"/>
    <n v="4"/>
    <m/>
    <n v="0"/>
    <x v="1"/>
    <n v="0"/>
    <x v="97"/>
    <x v="4"/>
    <x v="0"/>
    <n v="-939.39"/>
  </r>
  <r>
    <n v="1610"/>
    <x v="609"/>
    <x v="0"/>
    <x v="9"/>
    <n v="5"/>
    <m/>
    <n v="0"/>
    <x v="1"/>
    <n v="0"/>
    <x v="183"/>
    <x v="4"/>
    <x v="1"/>
    <n v="-361.65"/>
  </r>
  <r>
    <n v="1611"/>
    <x v="610"/>
    <x v="4"/>
    <x v="16"/>
    <n v="2"/>
    <m/>
    <n v="0"/>
    <x v="89"/>
    <n v="0"/>
    <x v="101"/>
    <x v="0"/>
    <x v="0"/>
    <n v="-351.41"/>
  </r>
  <r>
    <n v="1612"/>
    <x v="611"/>
    <x v="1"/>
    <x v="1"/>
    <n v="5"/>
    <n v="1010.24"/>
    <n v="5051.2"/>
    <x v="1"/>
    <n v="5051.2"/>
    <x v="311"/>
    <x v="5"/>
    <x v="0"/>
    <n v="2174.98"/>
  </r>
  <r>
    <n v="1613"/>
    <x v="612"/>
    <x v="3"/>
    <x v="21"/>
    <n v="1"/>
    <n v="1575.26"/>
    <n v="1575.26"/>
    <x v="1"/>
    <n v="1575.26"/>
    <x v="312"/>
    <x v="0"/>
    <x v="0"/>
    <n v="-641.72"/>
  </r>
  <r>
    <n v="1614"/>
    <x v="613"/>
    <x v="3"/>
    <x v="7"/>
    <n v="-1"/>
    <m/>
    <n v="0"/>
    <x v="1"/>
    <n v="0"/>
    <x v="121"/>
    <x v="2"/>
    <x v="0"/>
    <n v="319.85000000000002"/>
  </r>
  <r>
    <n v="1615"/>
    <x v="614"/>
    <x v="5"/>
    <x v="6"/>
    <n v="6"/>
    <n v="4962.7"/>
    <n v="29776.199999999997"/>
    <x v="27"/>
    <n v="29180.675999999996"/>
    <x v="313"/>
    <x v="4"/>
    <x v="0"/>
    <n v="61.6"/>
  </r>
  <r>
    <n v="1616"/>
    <x v="615"/>
    <x v="2"/>
    <x v="2"/>
    <n v="2"/>
    <n v="4443.82"/>
    <n v="8887.64"/>
    <x v="1"/>
    <n v="8887.64"/>
    <x v="314"/>
    <x v="3"/>
    <x v="0"/>
    <n v="1611.45"/>
  </r>
  <r>
    <n v="1617"/>
    <x v="616"/>
    <x v="0"/>
    <x v="5"/>
    <n v="2"/>
    <n v="1144.47"/>
    <n v="2288.94"/>
    <x v="1"/>
    <n v="2288.94"/>
    <x v="315"/>
    <x v="5"/>
    <x v="0"/>
    <n v="-863.76"/>
  </r>
  <r>
    <n v="1618"/>
    <x v="617"/>
    <x v="5"/>
    <x v="12"/>
    <n v="2"/>
    <m/>
    <n v="0"/>
    <x v="110"/>
    <n v="0"/>
    <x v="316"/>
    <x v="2"/>
    <x v="1"/>
    <n v="2113.08"/>
  </r>
  <r>
    <n v="1619"/>
    <x v="618"/>
    <x v="0"/>
    <x v="9"/>
    <n v="2"/>
    <n v="1470.99"/>
    <n v="2941.98"/>
    <x v="5"/>
    <n v="882.59400000000016"/>
    <x v="317"/>
    <x v="3"/>
    <x v="1"/>
    <n v="-668.13"/>
  </r>
  <r>
    <n v="1620"/>
    <x v="619"/>
    <x v="5"/>
    <x v="11"/>
    <n v="6"/>
    <m/>
    <n v="0"/>
    <x v="64"/>
    <n v="0"/>
    <x v="269"/>
    <x v="0"/>
    <x v="0"/>
    <n v="1796.21"/>
  </r>
  <r>
    <n v="1621"/>
    <x v="620"/>
    <x v="4"/>
    <x v="14"/>
    <n v="6"/>
    <n v="639.66999999999996"/>
    <n v="3838.0199999999995"/>
    <x v="1"/>
    <n v="3838.0199999999995"/>
    <x v="134"/>
    <x v="4"/>
    <x v="1"/>
    <n v="1599.1"/>
  </r>
  <r>
    <n v="1622"/>
    <x v="621"/>
    <x v="2"/>
    <x v="13"/>
    <n v="1"/>
    <m/>
    <n v="0"/>
    <x v="1"/>
    <n v="0"/>
    <x v="4"/>
    <x v="3"/>
    <x v="0"/>
    <n v="-880.92"/>
  </r>
  <r>
    <n v="1033"/>
    <x v="622"/>
    <x v="4"/>
    <x v="14"/>
    <n v="2"/>
    <n v="3369.55"/>
    <n v="6739.1"/>
    <x v="1"/>
    <n v="6739.1"/>
    <x v="52"/>
    <x v="5"/>
    <x v="0"/>
    <n v="1927.24"/>
  </r>
  <r>
    <n v="1624"/>
    <x v="623"/>
    <x v="0"/>
    <x v="0"/>
    <n v="5"/>
    <n v="977.2"/>
    <n v="4886"/>
    <x v="1"/>
    <n v="4886"/>
    <x v="4"/>
    <x v="5"/>
    <x v="1"/>
    <n v="1003.06"/>
  </r>
  <r>
    <n v="1625"/>
    <x v="624"/>
    <x v="3"/>
    <x v="21"/>
    <n v="0"/>
    <n v="735.97"/>
    <n v="0"/>
    <x v="42"/>
    <n v="0"/>
    <x v="174"/>
    <x v="0"/>
    <x v="0"/>
    <n v="1690.22"/>
  </r>
  <r>
    <n v="1626"/>
    <x v="625"/>
    <x v="5"/>
    <x v="11"/>
    <n v="2"/>
    <n v="4695.1499999999996"/>
    <n v="9390.2999999999993"/>
    <x v="1"/>
    <n v="9390.2999999999993"/>
    <x v="4"/>
    <x v="5"/>
    <x v="0"/>
    <n v="1584.44"/>
  </r>
  <r>
    <n v="1004"/>
    <x v="626"/>
    <x v="0"/>
    <x v="20"/>
    <n v="6"/>
    <n v="987.35"/>
    <n v="5924.1"/>
    <x v="1"/>
    <n v="5924.1"/>
    <x v="152"/>
    <x v="2"/>
    <x v="1"/>
    <n v="-108.36"/>
  </r>
  <r>
    <n v="1628"/>
    <x v="627"/>
    <x v="5"/>
    <x v="19"/>
    <n v="1"/>
    <n v="3345.58"/>
    <n v="3345.58"/>
    <x v="42"/>
    <n v="2475.7291999999998"/>
    <x v="318"/>
    <x v="4"/>
    <x v="0"/>
    <n v="2274.54"/>
  </r>
  <r>
    <n v="1629"/>
    <x v="628"/>
    <x v="2"/>
    <x v="17"/>
    <n v="2"/>
    <n v="829.14"/>
    <n v="1658.28"/>
    <x v="1"/>
    <n v="1658.28"/>
    <x v="4"/>
    <x v="1"/>
    <x v="0"/>
    <n v="2172.06"/>
  </r>
  <r>
    <n v="1630"/>
    <x v="629"/>
    <x v="0"/>
    <x v="20"/>
    <n v="2"/>
    <n v="2393.14"/>
    <n v="4786.28"/>
    <x v="111"/>
    <n v="0"/>
    <x v="319"/>
    <x v="3"/>
    <x v="0"/>
    <n v="715.08"/>
  </r>
  <r>
    <n v="1631"/>
    <x v="630"/>
    <x v="5"/>
    <x v="6"/>
    <n v="2"/>
    <m/>
    <n v="0"/>
    <x v="1"/>
    <n v="0"/>
    <x v="272"/>
    <x v="4"/>
    <x v="0"/>
    <n v="186.7"/>
  </r>
  <r>
    <n v="1632"/>
    <x v="631"/>
    <x v="1"/>
    <x v="15"/>
    <n v="2"/>
    <n v="2618.69"/>
    <n v="5237.38"/>
    <x v="112"/>
    <n v="4661.2682000000004"/>
    <x v="106"/>
    <x v="5"/>
    <x v="0"/>
    <n v="130.88999999999999"/>
  </r>
  <r>
    <n v="1633"/>
    <x v="632"/>
    <x v="1"/>
    <x v="15"/>
    <n v="2"/>
    <n v="4599.41"/>
    <n v="9198.82"/>
    <x v="1"/>
    <n v="9198.82"/>
    <x v="174"/>
    <x v="0"/>
    <x v="1"/>
    <n v="182.46"/>
  </r>
  <r>
    <n v="1634"/>
    <x v="633"/>
    <x v="1"/>
    <x v="1"/>
    <n v="2"/>
    <m/>
    <n v="0"/>
    <x v="1"/>
    <n v="0"/>
    <x v="72"/>
    <x v="1"/>
    <x v="1"/>
    <n v="108.15"/>
  </r>
  <r>
    <n v="1635"/>
    <x v="634"/>
    <x v="3"/>
    <x v="23"/>
    <n v="2"/>
    <m/>
    <n v="0"/>
    <x v="1"/>
    <n v="0"/>
    <x v="320"/>
    <x v="0"/>
    <x v="0"/>
    <n v="857.97"/>
  </r>
  <r>
    <n v="1636"/>
    <x v="635"/>
    <x v="1"/>
    <x v="18"/>
    <n v="-2"/>
    <m/>
    <n v="0"/>
    <x v="1"/>
    <n v="0"/>
    <x v="143"/>
    <x v="5"/>
    <x v="0"/>
    <n v="2569.59"/>
  </r>
  <r>
    <n v="1637"/>
    <x v="636"/>
    <x v="2"/>
    <x v="13"/>
    <n v="2"/>
    <n v="2644.73"/>
    <n v="5289.46"/>
    <x v="1"/>
    <n v="5289.46"/>
    <x v="4"/>
    <x v="0"/>
    <x v="1"/>
    <n v="1402.25"/>
  </r>
  <r>
    <n v="1638"/>
    <x v="506"/>
    <x v="0"/>
    <x v="5"/>
    <n v="2"/>
    <m/>
    <n v="0"/>
    <x v="96"/>
    <n v="0"/>
    <x v="207"/>
    <x v="2"/>
    <x v="0"/>
    <n v="2346.2199999999998"/>
  </r>
  <r>
    <n v="1639"/>
    <x v="637"/>
    <x v="0"/>
    <x v="5"/>
    <n v="2"/>
    <n v="4183.22"/>
    <n v="8366.44"/>
    <x v="1"/>
    <n v="8366.44"/>
    <x v="321"/>
    <x v="3"/>
    <x v="0"/>
    <n v="532.80999999999995"/>
  </r>
  <r>
    <n v="1640"/>
    <x v="638"/>
    <x v="3"/>
    <x v="3"/>
    <n v="2"/>
    <m/>
    <n v="0"/>
    <x v="1"/>
    <n v="0"/>
    <x v="62"/>
    <x v="5"/>
    <x v="0"/>
    <n v="1823.75"/>
  </r>
  <r>
    <n v="1641"/>
    <x v="639"/>
    <x v="3"/>
    <x v="23"/>
    <n v="2"/>
    <n v="1278.98"/>
    <n v="2557.96"/>
    <x v="96"/>
    <n v="1176.6615999999999"/>
    <x v="302"/>
    <x v="1"/>
    <x v="0"/>
    <n v="34.99"/>
  </r>
  <r>
    <n v="1642"/>
    <x v="640"/>
    <x v="1"/>
    <x v="18"/>
    <n v="3"/>
    <m/>
    <n v="0"/>
    <x v="1"/>
    <n v="0"/>
    <x v="151"/>
    <x v="4"/>
    <x v="0"/>
    <n v="2906.72"/>
  </r>
  <r>
    <n v="1643"/>
    <x v="641"/>
    <x v="2"/>
    <x v="17"/>
    <n v="-1"/>
    <m/>
    <n v="0"/>
    <x v="90"/>
    <n v="0"/>
    <x v="322"/>
    <x v="3"/>
    <x v="1"/>
    <n v="2589.4299999999998"/>
  </r>
  <r>
    <n v="1644"/>
    <x v="642"/>
    <x v="5"/>
    <x v="12"/>
    <n v="2"/>
    <m/>
    <n v="0"/>
    <x v="1"/>
    <n v="0"/>
    <x v="4"/>
    <x v="4"/>
    <x v="0"/>
    <n v="1343.06"/>
  </r>
  <r>
    <n v="1645"/>
    <x v="643"/>
    <x v="4"/>
    <x v="14"/>
    <n v="-2"/>
    <n v="2660.45"/>
    <n v="-5320.9"/>
    <x v="30"/>
    <n v="-4150.3019999999997"/>
    <x v="310"/>
    <x v="3"/>
    <x v="1"/>
    <n v="-825.82"/>
  </r>
  <r>
    <n v="1646"/>
    <x v="644"/>
    <x v="0"/>
    <x v="20"/>
    <n v="0"/>
    <n v="3393.47"/>
    <n v="0"/>
    <x v="113"/>
    <n v="0"/>
    <x v="323"/>
    <x v="1"/>
    <x v="0"/>
    <n v="925.07"/>
  </r>
  <r>
    <n v="1647"/>
    <x v="645"/>
    <x v="2"/>
    <x v="17"/>
    <n v="2"/>
    <n v="498.95"/>
    <n v="997.9"/>
    <x v="7"/>
    <n v="-189.60099999999994"/>
    <x v="163"/>
    <x v="2"/>
    <x v="0"/>
    <n v="-433.87"/>
  </r>
  <r>
    <n v="1648"/>
    <x v="646"/>
    <x v="1"/>
    <x v="15"/>
    <n v="2"/>
    <m/>
    <n v="0"/>
    <x v="1"/>
    <n v="0"/>
    <x v="112"/>
    <x v="2"/>
    <x v="1"/>
    <n v="-952.5"/>
  </r>
  <r>
    <n v="1649"/>
    <x v="647"/>
    <x v="2"/>
    <x v="17"/>
    <n v="2"/>
    <m/>
    <n v="0"/>
    <x v="82"/>
    <n v="0"/>
    <x v="107"/>
    <x v="4"/>
    <x v="1"/>
    <n v="-640.58000000000004"/>
  </r>
  <r>
    <n v="1650"/>
    <x v="648"/>
    <x v="5"/>
    <x v="12"/>
    <n v="2"/>
    <m/>
    <n v="0"/>
    <x v="78"/>
    <n v="0"/>
    <x v="199"/>
    <x v="2"/>
    <x v="0"/>
    <n v="1943.2"/>
  </r>
  <r>
    <n v="1651"/>
    <x v="649"/>
    <x v="2"/>
    <x v="10"/>
    <n v="3"/>
    <m/>
    <n v="0"/>
    <x v="67"/>
    <n v="0"/>
    <x v="4"/>
    <x v="2"/>
    <x v="0"/>
    <n v="-551.78"/>
  </r>
  <r>
    <n v="1652"/>
    <x v="650"/>
    <x v="5"/>
    <x v="11"/>
    <n v="2"/>
    <n v="2375.56"/>
    <n v="4751.12"/>
    <x v="34"/>
    <n v="1947.9592"/>
    <x v="4"/>
    <x v="4"/>
    <x v="0"/>
    <n v="2699.88"/>
  </r>
  <r>
    <n v="1653"/>
    <x v="651"/>
    <x v="1"/>
    <x v="18"/>
    <n v="2"/>
    <n v="2563.6"/>
    <n v="5127.2"/>
    <x v="29"/>
    <n v="615.26400000000001"/>
    <x v="324"/>
    <x v="2"/>
    <x v="1"/>
    <n v="516.95000000000005"/>
  </r>
  <r>
    <n v="1654"/>
    <x v="652"/>
    <x v="3"/>
    <x v="23"/>
    <n v="1"/>
    <m/>
    <n v="0"/>
    <x v="1"/>
    <n v="0"/>
    <x v="325"/>
    <x v="1"/>
    <x v="1"/>
    <n v="1433.43"/>
  </r>
  <r>
    <n v="1655"/>
    <x v="653"/>
    <x v="0"/>
    <x v="5"/>
    <n v="5"/>
    <n v="1385.86"/>
    <n v="6929.2999999999993"/>
    <x v="58"/>
    <n v="2009.4970000000001"/>
    <x v="326"/>
    <x v="2"/>
    <x v="0"/>
    <n v="1839.94"/>
  </r>
  <r>
    <n v="1656"/>
    <x v="654"/>
    <x v="2"/>
    <x v="13"/>
    <n v="2"/>
    <m/>
    <n v="0"/>
    <x v="1"/>
    <n v="0"/>
    <x v="18"/>
    <x v="0"/>
    <x v="0"/>
    <n v="1872.27"/>
  </r>
  <r>
    <n v="1657"/>
    <x v="655"/>
    <x v="0"/>
    <x v="20"/>
    <n v="2"/>
    <m/>
    <n v="0"/>
    <x v="1"/>
    <n v="0"/>
    <x v="320"/>
    <x v="3"/>
    <x v="1"/>
    <n v="2507.9299999999998"/>
  </r>
  <r>
    <n v="1658"/>
    <x v="656"/>
    <x v="1"/>
    <x v="1"/>
    <n v="2"/>
    <m/>
    <n v="0"/>
    <x v="1"/>
    <n v="0"/>
    <x v="307"/>
    <x v="3"/>
    <x v="0"/>
    <n v="2996.16"/>
  </r>
  <r>
    <n v="1659"/>
    <x v="657"/>
    <x v="2"/>
    <x v="10"/>
    <n v="2"/>
    <n v="1014.86"/>
    <n v="2029.72"/>
    <x v="114"/>
    <n v="1400.5067999999999"/>
    <x v="4"/>
    <x v="5"/>
    <x v="0"/>
    <n v="-379.55"/>
  </r>
  <r>
    <n v="1660"/>
    <x v="658"/>
    <x v="0"/>
    <x v="0"/>
    <n v="2"/>
    <m/>
    <n v="0"/>
    <x v="9"/>
    <n v="0"/>
    <x v="136"/>
    <x v="2"/>
    <x v="1"/>
    <n v="2345.37"/>
  </r>
  <r>
    <n v="1661"/>
    <x v="659"/>
    <x v="2"/>
    <x v="17"/>
    <n v="-2"/>
    <m/>
    <n v="0"/>
    <x v="1"/>
    <n v="0"/>
    <x v="211"/>
    <x v="3"/>
    <x v="0"/>
    <n v="49.2"/>
  </r>
  <r>
    <n v="1662"/>
    <x v="660"/>
    <x v="3"/>
    <x v="3"/>
    <n v="6"/>
    <m/>
    <n v="0"/>
    <x v="78"/>
    <n v="0"/>
    <x v="4"/>
    <x v="1"/>
    <x v="0"/>
    <n v="665.51"/>
  </r>
  <r>
    <n v="1663"/>
    <x v="661"/>
    <x v="2"/>
    <x v="2"/>
    <n v="3"/>
    <m/>
    <n v="0"/>
    <x v="1"/>
    <n v="0"/>
    <x v="327"/>
    <x v="3"/>
    <x v="0"/>
    <n v="2091.5300000000002"/>
  </r>
  <r>
    <n v="1664"/>
    <x v="662"/>
    <x v="2"/>
    <x v="17"/>
    <n v="-1"/>
    <m/>
    <n v="0"/>
    <x v="1"/>
    <n v="0"/>
    <x v="26"/>
    <x v="4"/>
    <x v="0"/>
    <n v="844.94"/>
  </r>
  <r>
    <n v="1665"/>
    <x v="663"/>
    <x v="4"/>
    <x v="4"/>
    <n v="2"/>
    <n v="4504.03"/>
    <n v="9008.06"/>
    <x v="1"/>
    <n v="9008.06"/>
    <x v="124"/>
    <x v="0"/>
    <x v="0"/>
    <n v="1488.95"/>
  </r>
  <r>
    <n v="1666"/>
    <x v="664"/>
    <x v="0"/>
    <x v="9"/>
    <n v="2"/>
    <n v="973.63"/>
    <n v="1947.26"/>
    <x v="1"/>
    <n v="1947.26"/>
    <x v="22"/>
    <x v="0"/>
    <x v="0"/>
    <n v="-148.66999999999999"/>
  </r>
  <r>
    <n v="1667"/>
    <x v="665"/>
    <x v="2"/>
    <x v="10"/>
    <n v="2"/>
    <n v="4021"/>
    <n v="8042"/>
    <x v="1"/>
    <n v="8042"/>
    <x v="158"/>
    <x v="2"/>
    <x v="1"/>
    <n v="2323.66"/>
  </r>
  <r>
    <n v="1668"/>
    <x v="666"/>
    <x v="0"/>
    <x v="5"/>
    <n v="2"/>
    <n v="2534.08"/>
    <n v="5068.16"/>
    <x v="1"/>
    <n v="5068.16"/>
    <x v="13"/>
    <x v="4"/>
    <x v="0"/>
    <n v="941.2"/>
  </r>
  <r>
    <n v="1669"/>
    <x v="667"/>
    <x v="2"/>
    <x v="17"/>
    <n v="0"/>
    <n v="1838.63"/>
    <n v="0"/>
    <x v="1"/>
    <n v="0"/>
    <x v="4"/>
    <x v="5"/>
    <x v="0"/>
    <n v="-524.25"/>
  </r>
  <r>
    <n v="1670"/>
    <x v="668"/>
    <x v="4"/>
    <x v="14"/>
    <n v="2"/>
    <m/>
    <n v="0"/>
    <x v="70"/>
    <n v="0"/>
    <x v="43"/>
    <x v="4"/>
    <x v="1"/>
    <n v="462.22"/>
  </r>
  <r>
    <n v="1671"/>
    <x v="669"/>
    <x v="0"/>
    <x v="0"/>
    <n v="2"/>
    <n v="4417.34"/>
    <n v="8834.68"/>
    <x v="1"/>
    <n v="8834.68"/>
    <x v="185"/>
    <x v="1"/>
    <x v="1"/>
    <n v="-72.28"/>
  </r>
  <r>
    <n v="1672"/>
    <x v="670"/>
    <x v="3"/>
    <x v="3"/>
    <n v="5"/>
    <m/>
    <n v="0"/>
    <x v="1"/>
    <n v="0"/>
    <x v="4"/>
    <x v="0"/>
    <x v="1"/>
    <n v="-587.27"/>
  </r>
  <r>
    <n v="1673"/>
    <x v="671"/>
    <x v="3"/>
    <x v="21"/>
    <n v="2"/>
    <n v="3992.21"/>
    <n v="7984.42"/>
    <x v="93"/>
    <n v="2634.8585999999996"/>
    <x v="4"/>
    <x v="2"/>
    <x v="0"/>
    <n v="617.12"/>
  </r>
  <r>
    <n v="1674"/>
    <x v="672"/>
    <x v="0"/>
    <x v="9"/>
    <n v="2"/>
    <m/>
    <n v="0"/>
    <x v="17"/>
    <n v="0"/>
    <x v="276"/>
    <x v="3"/>
    <x v="0"/>
    <n v="-680.26"/>
  </r>
  <r>
    <n v="1675"/>
    <x v="673"/>
    <x v="5"/>
    <x v="6"/>
    <n v="2"/>
    <m/>
    <n v="0"/>
    <x v="1"/>
    <n v="0"/>
    <x v="78"/>
    <x v="2"/>
    <x v="0"/>
    <n v="340.43"/>
  </r>
  <r>
    <n v="1676"/>
    <x v="674"/>
    <x v="5"/>
    <x v="11"/>
    <n v="0"/>
    <n v="4351.82"/>
    <n v="0"/>
    <x v="1"/>
    <n v="0"/>
    <x v="4"/>
    <x v="3"/>
    <x v="0"/>
    <n v="1818.14"/>
  </r>
  <r>
    <n v="1677"/>
    <x v="675"/>
    <x v="1"/>
    <x v="15"/>
    <n v="2"/>
    <n v="4639.8599999999997"/>
    <n v="9279.7199999999993"/>
    <x v="70"/>
    <n v="2876.7132000000001"/>
    <x v="328"/>
    <x v="4"/>
    <x v="0"/>
    <n v="1323.79"/>
  </r>
  <r>
    <n v="1048"/>
    <x v="676"/>
    <x v="3"/>
    <x v="21"/>
    <n v="4"/>
    <n v="1429.93"/>
    <n v="5719.72"/>
    <x v="1"/>
    <n v="5719.72"/>
    <x v="329"/>
    <x v="1"/>
    <x v="1"/>
    <n v="1844.84"/>
  </r>
  <r>
    <n v="1679"/>
    <x v="677"/>
    <x v="4"/>
    <x v="14"/>
    <n v="1"/>
    <n v="4198.5"/>
    <n v="4198.5"/>
    <x v="1"/>
    <n v="4198.5"/>
    <x v="330"/>
    <x v="5"/>
    <x v="0"/>
    <n v="2518.86"/>
  </r>
  <r>
    <n v="1680"/>
    <x v="678"/>
    <x v="0"/>
    <x v="9"/>
    <n v="2"/>
    <m/>
    <n v="0"/>
    <x v="1"/>
    <n v="0"/>
    <x v="190"/>
    <x v="1"/>
    <x v="1"/>
    <n v="2873.92"/>
  </r>
  <r>
    <n v="1681"/>
    <x v="679"/>
    <x v="5"/>
    <x v="11"/>
    <n v="2"/>
    <m/>
    <n v="0"/>
    <x v="42"/>
    <n v="0"/>
    <x v="331"/>
    <x v="1"/>
    <x v="1"/>
    <n v="-579.16"/>
  </r>
  <r>
    <n v="1682"/>
    <x v="680"/>
    <x v="3"/>
    <x v="7"/>
    <n v="5"/>
    <n v="4307.08"/>
    <n v="21535.4"/>
    <x v="45"/>
    <n v="-5599.2040000000006"/>
    <x v="332"/>
    <x v="0"/>
    <x v="0"/>
    <n v="961.46"/>
  </r>
  <r>
    <n v="1683"/>
    <x v="681"/>
    <x v="0"/>
    <x v="20"/>
    <n v="2"/>
    <n v="1743.64"/>
    <n v="3487.28"/>
    <x v="1"/>
    <n v="3487.28"/>
    <x v="4"/>
    <x v="5"/>
    <x v="0"/>
    <n v="32.33"/>
  </r>
  <r>
    <n v="1684"/>
    <x v="682"/>
    <x v="5"/>
    <x v="11"/>
    <n v="-2"/>
    <n v="3537.97"/>
    <n v="-7075.94"/>
    <x v="42"/>
    <n v="-5236.1956"/>
    <x v="333"/>
    <x v="3"/>
    <x v="0"/>
    <n v="1385.75"/>
  </r>
  <r>
    <n v="1685"/>
    <x v="683"/>
    <x v="5"/>
    <x v="19"/>
    <n v="4"/>
    <m/>
    <n v="0"/>
    <x v="1"/>
    <n v="0"/>
    <x v="4"/>
    <x v="4"/>
    <x v="1"/>
    <n v="1108.04"/>
  </r>
  <r>
    <n v="1686"/>
    <x v="684"/>
    <x v="0"/>
    <x v="5"/>
    <n v="1"/>
    <m/>
    <n v="0"/>
    <x v="82"/>
    <n v="0"/>
    <x v="4"/>
    <x v="5"/>
    <x v="0"/>
    <n v="718.58"/>
  </r>
  <r>
    <n v="1687"/>
    <x v="685"/>
    <x v="1"/>
    <x v="18"/>
    <n v="2"/>
    <m/>
    <n v="0"/>
    <x v="1"/>
    <n v="0"/>
    <x v="334"/>
    <x v="4"/>
    <x v="0"/>
    <n v="1132.23"/>
  </r>
  <r>
    <n v="1688"/>
    <x v="686"/>
    <x v="3"/>
    <x v="21"/>
    <n v="2"/>
    <n v="4177.8599999999997"/>
    <n v="8355.7199999999993"/>
    <x v="1"/>
    <n v="8355.7199999999993"/>
    <x v="4"/>
    <x v="4"/>
    <x v="0"/>
    <n v="2610.69"/>
  </r>
  <r>
    <n v="1689"/>
    <x v="687"/>
    <x v="4"/>
    <x v="8"/>
    <n v="2"/>
    <n v="1193.48"/>
    <n v="2386.96"/>
    <x v="1"/>
    <n v="2386.96"/>
    <x v="4"/>
    <x v="5"/>
    <x v="0"/>
    <n v="2629.51"/>
  </r>
  <r>
    <n v="1690"/>
    <x v="688"/>
    <x v="1"/>
    <x v="1"/>
    <n v="5"/>
    <n v="1941.39"/>
    <n v="9706.9500000000007"/>
    <x v="96"/>
    <n v="4465.1970000000001"/>
    <x v="68"/>
    <x v="0"/>
    <x v="0"/>
    <n v="206.95"/>
  </r>
  <r>
    <n v="1691"/>
    <x v="689"/>
    <x v="2"/>
    <x v="17"/>
    <n v="6"/>
    <n v="2878.51"/>
    <n v="17271.060000000001"/>
    <x v="1"/>
    <n v="17271.060000000001"/>
    <x v="142"/>
    <x v="2"/>
    <x v="0"/>
    <n v="2503.5100000000002"/>
  </r>
  <r>
    <n v="1692"/>
    <x v="690"/>
    <x v="4"/>
    <x v="8"/>
    <n v="2"/>
    <n v="2509.38"/>
    <n v="5018.76"/>
    <x v="93"/>
    <n v="1656.1907999999999"/>
    <x v="335"/>
    <x v="1"/>
    <x v="0"/>
    <n v="39.25"/>
  </r>
  <r>
    <n v="1693"/>
    <x v="691"/>
    <x v="1"/>
    <x v="22"/>
    <n v="1"/>
    <m/>
    <n v="0"/>
    <x v="1"/>
    <n v="0"/>
    <x v="336"/>
    <x v="3"/>
    <x v="0"/>
    <n v="2028.4"/>
  </r>
  <r>
    <n v="1694"/>
    <x v="692"/>
    <x v="0"/>
    <x v="5"/>
    <n v="2"/>
    <m/>
    <n v="0"/>
    <x v="1"/>
    <n v="0"/>
    <x v="204"/>
    <x v="4"/>
    <x v="1"/>
    <n v="264.60000000000002"/>
  </r>
  <r>
    <n v="1695"/>
    <x v="693"/>
    <x v="1"/>
    <x v="22"/>
    <n v="2"/>
    <n v="3785.14"/>
    <n v="7570.28"/>
    <x v="1"/>
    <n v="7570.28"/>
    <x v="4"/>
    <x v="2"/>
    <x v="0"/>
    <n v="-982.7"/>
  </r>
  <r>
    <n v="1696"/>
    <x v="694"/>
    <x v="2"/>
    <x v="10"/>
    <n v="2"/>
    <n v="532.47"/>
    <n v="1064.94"/>
    <x v="1"/>
    <n v="1064.94"/>
    <x v="4"/>
    <x v="2"/>
    <x v="1"/>
    <n v="666.49"/>
  </r>
  <r>
    <n v="1697"/>
    <x v="695"/>
    <x v="3"/>
    <x v="3"/>
    <n v="2"/>
    <n v="1758.97"/>
    <n v="3517.94"/>
    <x v="1"/>
    <n v="3517.94"/>
    <x v="39"/>
    <x v="0"/>
    <x v="0"/>
    <n v="2026.97"/>
  </r>
  <r>
    <n v="1698"/>
    <x v="696"/>
    <x v="2"/>
    <x v="2"/>
    <n v="2"/>
    <n v="2111.87"/>
    <n v="4223.74"/>
    <x v="1"/>
    <n v="4223.74"/>
    <x v="337"/>
    <x v="4"/>
    <x v="0"/>
    <n v="-621"/>
  </r>
  <r>
    <n v="1699"/>
    <x v="697"/>
    <x v="2"/>
    <x v="10"/>
    <n v="6"/>
    <n v="701.16"/>
    <n v="4206.96"/>
    <x v="1"/>
    <n v="4206.96"/>
    <x v="338"/>
    <x v="0"/>
    <x v="0"/>
    <n v="2632.17"/>
  </r>
  <r>
    <n v="1700"/>
    <x v="698"/>
    <x v="4"/>
    <x v="8"/>
    <n v="2"/>
    <n v="3332.06"/>
    <n v="6664.12"/>
    <x v="41"/>
    <n v="3531.9836"/>
    <x v="88"/>
    <x v="2"/>
    <x v="0"/>
    <n v="1969.67"/>
  </r>
  <r>
    <n v="1701"/>
    <x v="699"/>
    <x v="5"/>
    <x v="12"/>
    <n v="2"/>
    <n v="3402.47"/>
    <n v="6804.94"/>
    <x v="65"/>
    <n v="-340.2470000000003"/>
    <x v="4"/>
    <x v="1"/>
    <x v="0"/>
    <n v="1713.45"/>
  </r>
  <r>
    <n v="1702"/>
    <x v="700"/>
    <x v="2"/>
    <x v="10"/>
    <n v="2"/>
    <n v="792.36"/>
    <n v="1584.72"/>
    <x v="1"/>
    <n v="1584.72"/>
    <x v="292"/>
    <x v="1"/>
    <x v="0"/>
    <n v="990.35"/>
  </r>
  <r>
    <n v="1703"/>
    <x v="701"/>
    <x v="0"/>
    <x v="0"/>
    <n v="2"/>
    <m/>
    <n v="0"/>
    <x v="11"/>
    <n v="0"/>
    <x v="339"/>
    <x v="5"/>
    <x v="1"/>
    <n v="-96.41"/>
  </r>
  <r>
    <n v="1704"/>
    <x v="702"/>
    <x v="4"/>
    <x v="14"/>
    <n v="2"/>
    <m/>
    <n v="0"/>
    <x v="41"/>
    <n v="0"/>
    <x v="10"/>
    <x v="3"/>
    <x v="1"/>
    <n v="2611.36"/>
  </r>
  <r>
    <n v="1705"/>
    <x v="703"/>
    <x v="2"/>
    <x v="10"/>
    <n v="-2"/>
    <n v="4170.76"/>
    <n v="-8341.52"/>
    <x v="1"/>
    <n v="-8341.52"/>
    <x v="206"/>
    <x v="3"/>
    <x v="0"/>
    <n v="826.76"/>
  </r>
  <r>
    <n v="1706"/>
    <x v="704"/>
    <x v="1"/>
    <x v="18"/>
    <n v="5"/>
    <n v="4827.8900000000003"/>
    <n v="24139.45"/>
    <x v="40"/>
    <n v="3862.3120000000008"/>
    <x v="4"/>
    <x v="1"/>
    <x v="0"/>
    <n v="2824.1"/>
  </r>
  <r>
    <n v="1707"/>
    <x v="705"/>
    <x v="1"/>
    <x v="1"/>
    <n v="6"/>
    <m/>
    <n v="0"/>
    <x v="1"/>
    <n v="0"/>
    <x v="4"/>
    <x v="2"/>
    <x v="1"/>
    <n v="1903.2"/>
  </r>
  <r>
    <n v="1708"/>
    <x v="706"/>
    <x v="3"/>
    <x v="7"/>
    <n v="0"/>
    <m/>
    <n v="0"/>
    <x v="97"/>
    <n v="0"/>
    <x v="340"/>
    <x v="0"/>
    <x v="0"/>
    <n v="1400.39"/>
  </r>
  <r>
    <n v="1709"/>
    <x v="707"/>
    <x v="1"/>
    <x v="18"/>
    <n v="5"/>
    <n v="1717.79"/>
    <n v="8588.9500000000007"/>
    <x v="1"/>
    <n v="8588.9500000000007"/>
    <x v="134"/>
    <x v="1"/>
    <x v="1"/>
    <n v="2264.16"/>
  </r>
  <r>
    <n v="1710"/>
    <x v="708"/>
    <x v="3"/>
    <x v="21"/>
    <n v="-1"/>
    <m/>
    <n v="0"/>
    <x v="108"/>
    <n v="0"/>
    <x v="284"/>
    <x v="1"/>
    <x v="0"/>
    <n v="-333.46"/>
  </r>
  <r>
    <n v="1711"/>
    <x v="709"/>
    <x v="3"/>
    <x v="21"/>
    <n v="2"/>
    <n v="2685.92"/>
    <n v="5371.84"/>
    <x v="1"/>
    <n v="5371.84"/>
    <x v="144"/>
    <x v="5"/>
    <x v="1"/>
    <n v="2804.29"/>
  </r>
  <r>
    <n v="1712"/>
    <x v="710"/>
    <x v="3"/>
    <x v="3"/>
    <n v="-1"/>
    <n v="2386.58"/>
    <n v="-2386.58"/>
    <x v="1"/>
    <n v="-2386.58"/>
    <x v="43"/>
    <x v="5"/>
    <x v="1"/>
    <n v="1879.59"/>
  </r>
  <r>
    <n v="1713"/>
    <x v="711"/>
    <x v="4"/>
    <x v="16"/>
    <n v="2"/>
    <m/>
    <n v="0"/>
    <x v="1"/>
    <n v="0"/>
    <x v="341"/>
    <x v="5"/>
    <x v="0"/>
    <n v="832.34"/>
  </r>
  <r>
    <n v="1714"/>
    <x v="712"/>
    <x v="4"/>
    <x v="16"/>
    <n v="2"/>
    <m/>
    <n v="0"/>
    <x v="1"/>
    <n v="0"/>
    <x v="4"/>
    <x v="4"/>
    <x v="0"/>
    <n v="-746.03"/>
  </r>
  <r>
    <n v="1715"/>
    <x v="713"/>
    <x v="3"/>
    <x v="21"/>
    <n v="2"/>
    <n v="3863.51"/>
    <n v="7727.02"/>
    <x v="1"/>
    <n v="7727.02"/>
    <x v="342"/>
    <x v="2"/>
    <x v="0"/>
    <n v="-830.55"/>
  </r>
  <r>
    <n v="1716"/>
    <x v="714"/>
    <x v="5"/>
    <x v="6"/>
    <n v="2"/>
    <n v="980.17"/>
    <n v="1960.34"/>
    <x v="1"/>
    <n v="1960.34"/>
    <x v="343"/>
    <x v="2"/>
    <x v="1"/>
    <n v="275.05"/>
  </r>
  <r>
    <n v="1717"/>
    <x v="715"/>
    <x v="4"/>
    <x v="4"/>
    <n v="4"/>
    <n v="1279.2"/>
    <n v="5116.8"/>
    <x v="2"/>
    <n v="3735.2640000000001"/>
    <x v="27"/>
    <x v="0"/>
    <x v="0"/>
    <n v="453.7"/>
  </r>
  <r>
    <n v="1718"/>
    <x v="716"/>
    <x v="1"/>
    <x v="18"/>
    <n v="5"/>
    <n v="3988.99"/>
    <n v="19944.949999999997"/>
    <x v="1"/>
    <n v="19944.949999999997"/>
    <x v="344"/>
    <x v="4"/>
    <x v="0"/>
    <n v="1430.08"/>
  </r>
  <r>
    <n v="1719"/>
    <x v="717"/>
    <x v="0"/>
    <x v="5"/>
    <n v="3"/>
    <n v="4407.79"/>
    <n v="13223.369999999999"/>
    <x v="46"/>
    <n v="4760.4131999999991"/>
    <x v="345"/>
    <x v="0"/>
    <x v="1"/>
    <n v="1150.06"/>
  </r>
  <r>
    <n v="1720"/>
    <x v="718"/>
    <x v="1"/>
    <x v="22"/>
    <n v="3"/>
    <n v="3667.54"/>
    <n v="11002.619999999999"/>
    <x v="13"/>
    <n v="4731.1266000000005"/>
    <x v="346"/>
    <x v="1"/>
    <x v="1"/>
    <n v="459.43"/>
  </r>
  <r>
    <n v="1721"/>
    <x v="719"/>
    <x v="5"/>
    <x v="12"/>
    <n v="2"/>
    <m/>
    <n v="0"/>
    <x v="1"/>
    <n v="0"/>
    <x v="100"/>
    <x v="0"/>
    <x v="0"/>
    <n v="788.55"/>
  </r>
  <r>
    <n v="1722"/>
    <x v="720"/>
    <x v="1"/>
    <x v="15"/>
    <n v="2"/>
    <m/>
    <n v="0"/>
    <x v="110"/>
    <n v="0"/>
    <x v="4"/>
    <x v="2"/>
    <x v="0"/>
    <n v="1010.08"/>
  </r>
  <r>
    <n v="1723"/>
    <x v="721"/>
    <x v="5"/>
    <x v="19"/>
    <n v="4"/>
    <m/>
    <n v="0"/>
    <x v="31"/>
    <n v="0"/>
    <x v="246"/>
    <x v="1"/>
    <x v="1"/>
    <n v="351.59"/>
  </r>
  <r>
    <n v="1724"/>
    <x v="722"/>
    <x v="0"/>
    <x v="20"/>
    <n v="2"/>
    <n v="2047.6"/>
    <n v="4095.2"/>
    <x v="11"/>
    <n v="327.61599999999981"/>
    <x v="10"/>
    <x v="3"/>
    <x v="1"/>
    <n v="123.78"/>
  </r>
  <r>
    <n v="1725"/>
    <x v="723"/>
    <x v="5"/>
    <x v="11"/>
    <n v="3"/>
    <n v="671.5"/>
    <n v="2014.5"/>
    <x v="1"/>
    <n v="2014.5"/>
    <x v="89"/>
    <x v="4"/>
    <x v="1"/>
    <n v="1938.72"/>
  </r>
  <r>
    <n v="1726"/>
    <x v="724"/>
    <x v="5"/>
    <x v="19"/>
    <n v="5"/>
    <n v="1363.51"/>
    <n v="6817.55"/>
    <x v="45"/>
    <n v="-1772.5630000000001"/>
    <x v="347"/>
    <x v="3"/>
    <x v="0"/>
    <n v="2854.74"/>
  </r>
  <r>
    <n v="1727"/>
    <x v="725"/>
    <x v="3"/>
    <x v="21"/>
    <n v="5"/>
    <m/>
    <n v="0"/>
    <x v="56"/>
    <n v="0"/>
    <x v="4"/>
    <x v="2"/>
    <x v="0"/>
    <n v="1252.83"/>
  </r>
  <r>
    <n v="1728"/>
    <x v="726"/>
    <x v="2"/>
    <x v="2"/>
    <n v="1"/>
    <n v="733.15"/>
    <n v="733.15"/>
    <x v="2"/>
    <n v="535.19949999999994"/>
    <x v="21"/>
    <x v="1"/>
    <x v="1"/>
    <n v="273.12"/>
  </r>
  <r>
    <n v="1729"/>
    <x v="727"/>
    <x v="0"/>
    <x v="5"/>
    <n v="2"/>
    <n v="416.58"/>
    <n v="833.16"/>
    <x v="1"/>
    <n v="833.16"/>
    <x v="4"/>
    <x v="3"/>
    <x v="1"/>
    <n v="-765.44"/>
  </r>
  <r>
    <n v="1730"/>
    <x v="728"/>
    <x v="5"/>
    <x v="12"/>
    <n v="0"/>
    <n v="3933.55"/>
    <n v="0"/>
    <x v="1"/>
    <n v="0"/>
    <x v="107"/>
    <x v="3"/>
    <x v="0"/>
    <n v="2728.66"/>
  </r>
  <r>
    <n v="1731"/>
    <x v="729"/>
    <x v="1"/>
    <x v="22"/>
    <n v="2"/>
    <m/>
    <n v="0"/>
    <x v="111"/>
    <n v="0"/>
    <x v="348"/>
    <x v="2"/>
    <x v="0"/>
    <n v="2108.61"/>
  </r>
  <r>
    <n v="1732"/>
    <x v="730"/>
    <x v="5"/>
    <x v="12"/>
    <n v="5"/>
    <n v="4982.68"/>
    <n v="24913.4"/>
    <x v="1"/>
    <n v="24913.4"/>
    <x v="349"/>
    <x v="2"/>
    <x v="1"/>
    <n v="2239.42"/>
  </r>
  <r>
    <n v="1733"/>
    <x v="731"/>
    <x v="1"/>
    <x v="15"/>
    <n v="-2"/>
    <n v="721.25"/>
    <n v="-1442.5"/>
    <x v="1"/>
    <n v="-1442.5"/>
    <x v="350"/>
    <x v="0"/>
    <x v="0"/>
    <n v="-936.38"/>
  </r>
  <r>
    <n v="1734"/>
    <x v="732"/>
    <x v="1"/>
    <x v="22"/>
    <n v="0"/>
    <m/>
    <n v="0"/>
    <x v="1"/>
    <n v="0"/>
    <x v="339"/>
    <x v="4"/>
    <x v="0"/>
    <n v="-461.7"/>
  </r>
  <r>
    <n v="1735"/>
    <x v="733"/>
    <x v="1"/>
    <x v="1"/>
    <n v="4"/>
    <m/>
    <n v="0"/>
    <x v="22"/>
    <n v="0"/>
    <x v="332"/>
    <x v="2"/>
    <x v="0"/>
    <n v="2607.4299999999998"/>
  </r>
  <r>
    <n v="1736"/>
    <x v="734"/>
    <x v="1"/>
    <x v="1"/>
    <n v="2"/>
    <n v="1144.47"/>
    <n v="2288.94"/>
    <x v="48"/>
    <n v="2082.9354000000003"/>
    <x v="83"/>
    <x v="3"/>
    <x v="1"/>
    <n v="1236.6199999999999"/>
  </r>
  <r>
    <n v="1737"/>
    <x v="735"/>
    <x v="5"/>
    <x v="6"/>
    <n v="5"/>
    <n v="2220.4699999999998"/>
    <n v="11102.349999999999"/>
    <x v="1"/>
    <n v="11102.349999999999"/>
    <x v="4"/>
    <x v="5"/>
    <x v="0"/>
    <n v="-156.87"/>
  </r>
  <r>
    <n v="1738"/>
    <x v="736"/>
    <x v="4"/>
    <x v="14"/>
    <n v="2"/>
    <n v="1171.19"/>
    <n v="2342.38"/>
    <x v="1"/>
    <n v="2342.38"/>
    <x v="32"/>
    <x v="1"/>
    <x v="0"/>
    <n v="2205.44"/>
  </r>
  <r>
    <n v="1739"/>
    <x v="737"/>
    <x v="1"/>
    <x v="18"/>
    <n v="3"/>
    <n v="963.18"/>
    <n v="2889.54"/>
    <x v="1"/>
    <n v="2889.54"/>
    <x v="351"/>
    <x v="2"/>
    <x v="1"/>
    <n v="-114.6"/>
  </r>
  <r>
    <n v="1740"/>
    <x v="738"/>
    <x v="0"/>
    <x v="0"/>
    <n v="2"/>
    <m/>
    <n v="0"/>
    <x v="1"/>
    <n v="0"/>
    <x v="141"/>
    <x v="1"/>
    <x v="1"/>
    <n v="796.49"/>
  </r>
  <r>
    <n v="1741"/>
    <x v="739"/>
    <x v="4"/>
    <x v="16"/>
    <n v="1"/>
    <n v="1762.56"/>
    <n v="1762.56"/>
    <x v="98"/>
    <n v="35.251200000000033"/>
    <x v="352"/>
    <x v="1"/>
    <x v="1"/>
    <n v="1217.93"/>
  </r>
  <r>
    <n v="1742"/>
    <x v="740"/>
    <x v="0"/>
    <x v="20"/>
    <n v="2"/>
    <m/>
    <n v="0"/>
    <x v="71"/>
    <n v="0"/>
    <x v="4"/>
    <x v="3"/>
    <x v="0"/>
    <n v="-222.56"/>
  </r>
  <r>
    <n v="1743"/>
    <x v="741"/>
    <x v="4"/>
    <x v="4"/>
    <n v="2"/>
    <m/>
    <n v="0"/>
    <x v="1"/>
    <n v="0"/>
    <x v="80"/>
    <x v="5"/>
    <x v="0"/>
    <n v="1490.6"/>
  </r>
  <r>
    <n v="1744"/>
    <x v="742"/>
    <x v="2"/>
    <x v="17"/>
    <n v="2"/>
    <m/>
    <n v="0"/>
    <x v="1"/>
    <n v="0"/>
    <x v="353"/>
    <x v="2"/>
    <x v="0"/>
    <n v="1939.6"/>
  </r>
  <r>
    <n v="1745"/>
    <x v="743"/>
    <x v="4"/>
    <x v="16"/>
    <n v="4"/>
    <m/>
    <n v="0"/>
    <x v="36"/>
    <n v="0"/>
    <x v="354"/>
    <x v="3"/>
    <x v="0"/>
    <n v="723.22"/>
  </r>
  <r>
    <n v="1746"/>
    <x v="744"/>
    <x v="0"/>
    <x v="0"/>
    <n v="2"/>
    <m/>
    <n v="0"/>
    <x v="62"/>
    <n v="0"/>
    <x v="258"/>
    <x v="3"/>
    <x v="0"/>
    <n v="2037.45"/>
  </r>
  <r>
    <n v="1747"/>
    <x v="745"/>
    <x v="4"/>
    <x v="8"/>
    <n v="2"/>
    <n v="405.37"/>
    <n v="810.74"/>
    <x v="1"/>
    <n v="810.74"/>
    <x v="4"/>
    <x v="5"/>
    <x v="0"/>
    <n v="375.4"/>
  </r>
  <r>
    <n v="1748"/>
    <x v="746"/>
    <x v="5"/>
    <x v="12"/>
    <n v="2"/>
    <m/>
    <n v="0"/>
    <x v="1"/>
    <n v="0"/>
    <x v="31"/>
    <x v="1"/>
    <x v="1"/>
    <n v="1687.82"/>
  </r>
  <r>
    <n v="1749"/>
    <x v="179"/>
    <x v="2"/>
    <x v="2"/>
    <n v="2"/>
    <n v="4499.3900000000003"/>
    <n v="8998.7800000000007"/>
    <x v="1"/>
    <n v="8998.7800000000007"/>
    <x v="138"/>
    <x v="0"/>
    <x v="0"/>
    <n v="17.489999999999998"/>
  </r>
  <r>
    <n v="1750"/>
    <x v="747"/>
    <x v="5"/>
    <x v="11"/>
    <n v="2"/>
    <n v="2653.9"/>
    <n v="5307.8"/>
    <x v="10"/>
    <n v="2335.4319999999998"/>
    <x v="1"/>
    <x v="3"/>
    <x v="1"/>
    <n v="2394.02"/>
  </r>
  <r>
    <n v="1751"/>
    <x v="748"/>
    <x v="1"/>
    <x v="1"/>
    <n v="2"/>
    <m/>
    <n v="0"/>
    <x v="1"/>
    <n v="0"/>
    <x v="4"/>
    <x v="5"/>
    <x v="0"/>
    <n v="59.73"/>
  </r>
  <r>
    <n v="1752"/>
    <x v="749"/>
    <x v="0"/>
    <x v="0"/>
    <n v="5"/>
    <n v="2177.1999999999998"/>
    <n v="10886"/>
    <x v="1"/>
    <n v="10886"/>
    <x v="4"/>
    <x v="5"/>
    <x v="1"/>
    <n v="-341.7"/>
  </r>
  <r>
    <n v="1753"/>
    <x v="750"/>
    <x v="1"/>
    <x v="1"/>
    <n v="-2"/>
    <m/>
    <n v="0"/>
    <x v="1"/>
    <n v="0"/>
    <x v="355"/>
    <x v="1"/>
    <x v="0"/>
    <n v="1848.5"/>
  </r>
  <r>
    <n v="1754"/>
    <x v="426"/>
    <x v="3"/>
    <x v="23"/>
    <n v="2"/>
    <m/>
    <n v="0"/>
    <x v="13"/>
    <n v="0"/>
    <x v="356"/>
    <x v="0"/>
    <x v="0"/>
    <n v="1945.55"/>
  </r>
  <r>
    <n v="1755"/>
    <x v="751"/>
    <x v="2"/>
    <x v="10"/>
    <n v="2"/>
    <m/>
    <n v="0"/>
    <x v="56"/>
    <n v="0"/>
    <x v="4"/>
    <x v="4"/>
    <x v="1"/>
    <n v="-255.22"/>
  </r>
  <r>
    <n v="1756"/>
    <x v="752"/>
    <x v="2"/>
    <x v="2"/>
    <n v="5"/>
    <m/>
    <n v="0"/>
    <x v="1"/>
    <n v="0"/>
    <x v="48"/>
    <x v="2"/>
    <x v="0"/>
    <n v="1627.12"/>
  </r>
  <r>
    <n v="1757"/>
    <x v="753"/>
    <x v="0"/>
    <x v="0"/>
    <n v="2"/>
    <n v="3405.13"/>
    <n v="6810.26"/>
    <x v="53"/>
    <n v="612.92339999999979"/>
    <x v="4"/>
    <x v="3"/>
    <x v="0"/>
    <n v="1804.47"/>
  </r>
  <r>
    <n v="1758"/>
    <x v="754"/>
    <x v="2"/>
    <x v="10"/>
    <n v="2"/>
    <n v="1307.6400000000001"/>
    <n v="2615.2800000000002"/>
    <x v="21"/>
    <n v="2144.5296000000003"/>
    <x v="357"/>
    <x v="2"/>
    <x v="1"/>
    <n v="-122.33"/>
  </r>
  <r>
    <n v="1759"/>
    <x v="755"/>
    <x v="4"/>
    <x v="4"/>
    <n v="0"/>
    <m/>
    <n v="0"/>
    <x v="1"/>
    <n v="0"/>
    <x v="332"/>
    <x v="1"/>
    <x v="0"/>
    <n v="-278.64999999999998"/>
  </r>
  <r>
    <n v="1760"/>
    <x v="756"/>
    <x v="3"/>
    <x v="21"/>
    <n v="3"/>
    <n v="4326.6000000000004"/>
    <n v="12979.800000000001"/>
    <x v="1"/>
    <n v="12979.800000000001"/>
    <x v="291"/>
    <x v="1"/>
    <x v="1"/>
    <n v="1495.82"/>
  </r>
  <r>
    <n v="1761"/>
    <x v="757"/>
    <x v="1"/>
    <x v="22"/>
    <n v="3"/>
    <m/>
    <n v="0"/>
    <x v="62"/>
    <n v="0"/>
    <x v="167"/>
    <x v="2"/>
    <x v="1"/>
    <n v="2989.57"/>
  </r>
  <r>
    <n v="1762"/>
    <x v="758"/>
    <x v="1"/>
    <x v="1"/>
    <n v="2"/>
    <n v="1364.9"/>
    <n v="2729.8"/>
    <x v="91"/>
    <n v="2265.7339999999999"/>
    <x v="101"/>
    <x v="0"/>
    <x v="0"/>
    <n v="1591.99"/>
  </r>
  <r>
    <n v="1763"/>
    <x v="759"/>
    <x v="2"/>
    <x v="13"/>
    <n v="2"/>
    <n v="1874.56"/>
    <n v="3749.12"/>
    <x v="1"/>
    <n v="3749.12"/>
    <x v="4"/>
    <x v="5"/>
    <x v="0"/>
    <n v="1906.32"/>
  </r>
  <r>
    <n v="1029"/>
    <x v="760"/>
    <x v="1"/>
    <x v="15"/>
    <n v="3"/>
    <n v="4343.12"/>
    <n v="13029.36"/>
    <x v="1"/>
    <n v="13029.36"/>
    <x v="255"/>
    <x v="4"/>
    <x v="0"/>
    <n v="2997.11"/>
  </r>
  <r>
    <n v="1765"/>
    <x v="761"/>
    <x v="0"/>
    <x v="9"/>
    <n v="6"/>
    <n v="1016.5"/>
    <n v="6099"/>
    <x v="1"/>
    <n v="6099"/>
    <x v="358"/>
    <x v="2"/>
    <x v="0"/>
    <n v="-420.11"/>
  </r>
  <r>
    <n v="1766"/>
    <x v="762"/>
    <x v="1"/>
    <x v="18"/>
    <n v="0"/>
    <n v="3589.19"/>
    <n v="0"/>
    <x v="1"/>
    <n v="0"/>
    <x v="49"/>
    <x v="2"/>
    <x v="0"/>
    <n v="1880.22"/>
  </r>
  <r>
    <n v="1767"/>
    <x v="763"/>
    <x v="5"/>
    <x v="11"/>
    <n v="2"/>
    <n v="2151.92"/>
    <n v="4303.84"/>
    <x v="1"/>
    <n v="4303.84"/>
    <x v="334"/>
    <x v="2"/>
    <x v="1"/>
    <n v="2383.83"/>
  </r>
  <r>
    <n v="1768"/>
    <x v="764"/>
    <x v="2"/>
    <x v="13"/>
    <n v="5"/>
    <n v="3548.22"/>
    <n v="17741.099999999999"/>
    <x v="1"/>
    <n v="17741.099999999999"/>
    <x v="359"/>
    <x v="2"/>
    <x v="1"/>
    <n v="2960.22"/>
  </r>
  <r>
    <n v="1769"/>
    <x v="765"/>
    <x v="1"/>
    <x v="22"/>
    <n v="2"/>
    <m/>
    <n v="0"/>
    <x v="111"/>
    <n v="0"/>
    <x v="185"/>
    <x v="0"/>
    <x v="0"/>
    <n v="989.57"/>
  </r>
  <r>
    <n v="1770"/>
    <x v="766"/>
    <x v="5"/>
    <x v="11"/>
    <n v="0"/>
    <m/>
    <n v="0"/>
    <x v="1"/>
    <n v="0"/>
    <x v="360"/>
    <x v="5"/>
    <x v="0"/>
    <n v="2366.9699999999998"/>
  </r>
  <r>
    <n v="1771"/>
    <x v="767"/>
    <x v="2"/>
    <x v="13"/>
    <n v="-1"/>
    <n v="730.48"/>
    <n v="-730.48"/>
    <x v="1"/>
    <n v="-730.48"/>
    <x v="52"/>
    <x v="4"/>
    <x v="0"/>
    <n v="-162.02000000000001"/>
  </r>
  <r>
    <n v="1772"/>
    <x v="768"/>
    <x v="0"/>
    <x v="5"/>
    <n v="2"/>
    <m/>
    <n v="0"/>
    <x v="113"/>
    <n v="0"/>
    <x v="205"/>
    <x v="1"/>
    <x v="0"/>
    <n v="545.03"/>
  </r>
  <r>
    <n v="1773"/>
    <x v="769"/>
    <x v="3"/>
    <x v="21"/>
    <n v="2"/>
    <n v="444.82"/>
    <n v="889.64"/>
    <x v="115"/>
    <n v="435.92359999999996"/>
    <x v="4"/>
    <x v="4"/>
    <x v="0"/>
    <n v="1838.59"/>
  </r>
  <r>
    <n v="1774"/>
    <x v="770"/>
    <x v="3"/>
    <x v="7"/>
    <n v="3"/>
    <n v="4137.43"/>
    <n v="12412.29"/>
    <x v="1"/>
    <n v="12412.29"/>
    <x v="281"/>
    <x v="1"/>
    <x v="0"/>
    <n v="895.53"/>
  </r>
  <r>
    <n v="1775"/>
    <x v="771"/>
    <x v="4"/>
    <x v="16"/>
    <n v="2"/>
    <m/>
    <n v="0"/>
    <x v="100"/>
    <n v="0"/>
    <x v="4"/>
    <x v="1"/>
    <x v="0"/>
    <n v="2275.5500000000002"/>
  </r>
  <r>
    <n v="1776"/>
    <x v="772"/>
    <x v="2"/>
    <x v="17"/>
    <n v="4"/>
    <n v="4684.9799999999996"/>
    <n v="18739.919999999998"/>
    <x v="1"/>
    <n v="18739.919999999998"/>
    <x v="4"/>
    <x v="5"/>
    <x v="0"/>
    <n v="-360.88"/>
  </r>
  <r>
    <n v="1777"/>
    <x v="773"/>
    <x v="5"/>
    <x v="12"/>
    <n v="2"/>
    <m/>
    <n v="0"/>
    <x v="1"/>
    <n v="0"/>
    <x v="90"/>
    <x v="0"/>
    <x v="1"/>
    <n v="1292.0899999999999"/>
  </r>
  <r>
    <n v="1778"/>
    <x v="774"/>
    <x v="4"/>
    <x v="4"/>
    <n v="5"/>
    <n v="2716.57"/>
    <n v="13582.85"/>
    <x v="1"/>
    <n v="13582.85"/>
    <x v="108"/>
    <x v="2"/>
    <x v="0"/>
    <n v="2059.98"/>
  </r>
  <r>
    <n v="1779"/>
    <x v="42"/>
    <x v="0"/>
    <x v="5"/>
    <n v="2"/>
    <m/>
    <n v="0"/>
    <x v="1"/>
    <n v="0"/>
    <x v="237"/>
    <x v="4"/>
    <x v="0"/>
    <n v="1861.39"/>
  </r>
  <r>
    <n v="1780"/>
    <x v="775"/>
    <x v="1"/>
    <x v="22"/>
    <n v="2"/>
    <m/>
    <n v="0"/>
    <x v="1"/>
    <n v="0"/>
    <x v="116"/>
    <x v="0"/>
    <x v="1"/>
    <n v="2756.02"/>
  </r>
  <r>
    <n v="1781"/>
    <x v="776"/>
    <x v="5"/>
    <x v="6"/>
    <n v="2"/>
    <m/>
    <n v="0"/>
    <x v="1"/>
    <n v="0"/>
    <x v="59"/>
    <x v="2"/>
    <x v="0"/>
    <n v="213.46"/>
  </r>
  <r>
    <n v="1782"/>
    <x v="777"/>
    <x v="1"/>
    <x v="18"/>
    <n v="6"/>
    <m/>
    <n v="0"/>
    <x v="1"/>
    <n v="0"/>
    <x v="361"/>
    <x v="2"/>
    <x v="1"/>
    <n v="1802.32"/>
  </r>
  <r>
    <n v="1783"/>
    <x v="778"/>
    <x v="1"/>
    <x v="18"/>
    <n v="2"/>
    <m/>
    <n v="0"/>
    <x v="47"/>
    <n v="0"/>
    <x v="362"/>
    <x v="4"/>
    <x v="0"/>
    <n v="34.35"/>
  </r>
  <r>
    <n v="1784"/>
    <x v="779"/>
    <x v="4"/>
    <x v="4"/>
    <n v="4"/>
    <n v="2068.0500000000002"/>
    <n v="8272.2000000000007"/>
    <x v="1"/>
    <n v="8272.2000000000007"/>
    <x v="363"/>
    <x v="2"/>
    <x v="0"/>
    <n v="-379.91"/>
  </r>
  <r>
    <n v="1785"/>
    <x v="780"/>
    <x v="4"/>
    <x v="8"/>
    <n v="3"/>
    <n v="4103"/>
    <n v="12309"/>
    <x v="1"/>
    <n v="12309"/>
    <x v="8"/>
    <x v="4"/>
    <x v="0"/>
    <n v="567.89"/>
  </r>
  <r>
    <n v="1786"/>
    <x v="781"/>
    <x v="2"/>
    <x v="10"/>
    <n v="2"/>
    <m/>
    <n v="0"/>
    <x v="44"/>
    <n v="0"/>
    <x v="138"/>
    <x v="5"/>
    <x v="0"/>
    <n v="1462.24"/>
  </r>
  <r>
    <n v="1787"/>
    <x v="782"/>
    <x v="3"/>
    <x v="23"/>
    <n v="6"/>
    <m/>
    <n v="0"/>
    <x v="1"/>
    <n v="0"/>
    <x v="364"/>
    <x v="0"/>
    <x v="0"/>
    <n v="1294"/>
  </r>
  <r>
    <n v="1014"/>
    <x v="783"/>
    <x v="0"/>
    <x v="0"/>
    <n v="5"/>
    <n v="2951.4"/>
    <n v="14757"/>
    <x v="1"/>
    <n v="14757"/>
    <x v="22"/>
    <x v="0"/>
    <x v="0"/>
    <n v="2811.87"/>
  </r>
  <r>
    <n v="1789"/>
    <x v="784"/>
    <x v="1"/>
    <x v="15"/>
    <n v="2"/>
    <n v="1433.92"/>
    <n v="2867.84"/>
    <x v="112"/>
    <n v="2552.3776000000003"/>
    <x v="201"/>
    <x v="4"/>
    <x v="0"/>
    <n v="315.07"/>
  </r>
  <r>
    <n v="1790"/>
    <x v="785"/>
    <x v="1"/>
    <x v="15"/>
    <n v="1"/>
    <n v="3268.42"/>
    <n v="3268.42"/>
    <x v="1"/>
    <n v="3268.42"/>
    <x v="365"/>
    <x v="0"/>
    <x v="0"/>
    <n v="259.67"/>
  </r>
  <r>
    <n v="1791"/>
    <x v="786"/>
    <x v="5"/>
    <x v="6"/>
    <n v="2"/>
    <n v="2123.69"/>
    <n v="4247.38"/>
    <x v="70"/>
    <n v="1316.6878000000002"/>
    <x v="268"/>
    <x v="3"/>
    <x v="0"/>
    <n v="2894.66"/>
  </r>
  <r>
    <n v="1792"/>
    <x v="787"/>
    <x v="0"/>
    <x v="5"/>
    <n v="2"/>
    <m/>
    <n v="0"/>
    <x v="116"/>
    <n v="0"/>
    <x v="366"/>
    <x v="2"/>
    <x v="1"/>
    <n v="-116.82"/>
  </r>
  <r>
    <n v="1793"/>
    <x v="788"/>
    <x v="5"/>
    <x v="11"/>
    <n v="5"/>
    <n v="1887.84"/>
    <n v="9439.1999999999989"/>
    <x v="1"/>
    <n v="9439.1999999999989"/>
    <x v="169"/>
    <x v="1"/>
    <x v="0"/>
    <n v="1275.03"/>
  </r>
  <r>
    <n v="1794"/>
    <x v="789"/>
    <x v="1"/>
    <x v="18"/>
    <n v="2"/>
    <m/>
    <n v="0"/>
    <x v="1"/>
    <n v="0"/>
    <x v="212"/>
    <x v="3"/>
    <x v="1"/>
    <n v="2115.2600000000002"/>
  </r>
  <r>
    <n v="1795"/>
    <x v="790"/>
    <x v="3"/>
    <x v="23"/>
    <n v="2"/>
    <m/>
    <n v="0"/>
    <x v="1"/>
    <n v="0"/>
    <x v="187"/>
    <x v="4"/>
    <x v="0"/>
    <n v="301.5"/>
  </r>
  <r>
    <n v="1796"/>
    <x v="791"/>
    <x v="5"/>
    <x v="11"/>
    <n v="-1"/>
    <m/>
    <n v="0"/>
    <x v="8"/>
    <n v="0"/>
    <x v="4"/>
    <x v="5"/>
    <x v="0"/>
    <n v="-851"/>
  </r>
  <r>
    <n v="1797"/>
    <x v="792"/>
    <x v="5"/>
    <x v="6"/>
    <n v="2"/>
    <n v="4305.0200000000004"/>
    <n v="8610.0400000000009"/>
    <x v="1"/>
    <n v="8610.0400000000009"/>
    <x v="291"/>
    <x v="1"/>
    <x v="0"/>
    <n v="2296.37"/>
  </r>
  <r>
    <n v="1798"/>
    <x v="793"/>
    <x v="2"/>
    <x v="17"/>
    <n v="2"/>
    <n v="2490.16"/>
    <n v="4980.32"/>
    <x v="1"/>
    <n v="4980.32"/>
    <x v="38"/>
    <x v="2"/>
    <x v="0"/>
    <n v="905.43"/>
  </r>
  <r>
    <n v="1799"/>
    <x v="794"/>
    <x v="2"/>
    <x v="17"/>
    <n v="2"/>
    <n v="1101.5"/>
    <n v="2203"/>
    <x v="24"/>
    <n v="418.56999999999988"/>
    <x v="4"/>
    <x v="2"/>
    <x v="0"/>
    <n v="-967.63"/>
  </r>
  <r>
    <n v="1800"/>
    <x v="795"/>
    <x v="1"/>
    <x v="1"/>
    <n v="6"/>
    <m/>
    <n v="0"/>
    <x v="47"/>
    <n v="0"/>
    <x v="94"/>
    <x v="2"/>
    <x v="1"/>
    <n v="855.26"/>
  </r>
  <r>
    <n v="1801"/>
    <x v="796"/>
    <x v="2"/>
    <x v="10"/>
    <n v="-2"/>
    <m/>
    <n v="0"/>
    <x v="1"/>
    <n v="0"/>
    <x v="87"/>
    <x v="3"/>
    <x v="0"/>
    <n v="1463.67"/>
  </r>
  <r>
    <n v="1802"/>
    <x v="797"/>
    <x v="2"/>
    <x v="13"/>
    <n v="-1"/>
    <m/>
    <n v="0"/>
    <x v="1"/>
    <n v="0"/>
    <x v="257"/>
    <x v="0"/>
    <x v="0"/>
    <n v="-618.71"/>
  </r>
  <r>
    <n v="1803"/>
    <x v="798"/>
    <x v="3"/>
    <x v="7"/>
    <n v="2"/>
    <m/>
    <n v="0"/>
    <x v="1"/>
    <n v="0"/>
    <x v="4"/>
    <x v="2"/>
    <x v="0"/>
    <n v="409.58"/>
  </r>
  <r>
    <n v="1804"/>
    <x v="799"/>
    <x v="5"/>
    <x v="11"/>
    <n v="2"/>
    <m/>
    <n v="0"/>
    <x v="1"/>
    <n v="0"/>
    <x v="74"/>
    <x v="2"/>
    <x v="0"/>
    <n v="1896.92"/>
  </r>
  <r>
    <n v="1036"/>
    <x v="800"/>
    <x v="3"/>
    <x v="7"/>
    <n v="1"/>
    <n v="1534.98"/>
    <n v="1534.98"/>
    <x v="1"/>
    <n v="1534.98"/>
    <x v="362"/>
    <x v="3"/>
    <x v="1"/>
    <n v="2042.17"/>
  </r>
  <r>
    <n v="1806"/>
    <x v="801"/>
    <x v="5"/>
    <x v="11"/>
    <n v="1"/>
    <m/>
    <n v="0"/>
    <x v="1"/>
    <n v="0"/>
    <x v="323"/>
    <x v="5"/>
    <x v="0"/>
    <n v="1003.57"/>
  </r>
  <r>
    <n v="1807"/>
    <x v="802"/>
    <x v="0"/>
    <x v="5"/>
    <n v="4"/>
    <n v="2308.12"/>
    <n v="9232.48"/>
    <x v="1"/>
    <n v="9232.48"/>
    <x v="367"/>
    <x v="3"/>
    <x v="0"/>
    <n v="362.88"/>
  </r>
  <r>
    <n v="1808"/>
    <x v="422"/>
    <x v="4"/>
    <x v="8"/>
    <n v="2"/>
    <n v="4582.21"/>
    <n v="9164.42"/>
    <x v="5"/>
    <n v="2749.3260000000005"/>
    <x v="4"/>
    <x v="3"/>
    <x v="1"/>
    <n v="-67.84"/>
  </r>
  <r>
    <n v="1809"/>
    <x v="803"/>
    <x v="5"/>
    <x v="12"/>
    <n v="2"/>
    <n v="3799.39"/>
    <n v="7598.78"/>
    <x v="56"/>
    <n v="1823.7071999999998"/>
    <x v="91"/>
    <x v="3"/>
    <x v="0"/>
    <n v="-599.61"/>
  </r>
  <r>
    <n v="1810"/>
    <x v="804"/>
    <x v="3"/>
    <x v="7"/>
    <n v="2"/>
    <m/>
    <n v="0"/>
    <x v="84"/>
    <n v="0"/>
    <x v="238"/>
    <x v="2"/>
    <x v="1"/>
    <n v="-148.03"/>
  </r>
  <r>
    <n v="1811"/>
    <x v="805"/>
    <x v="2"/>
    <x v="17"/>
    <n v="2"/>
    <m/>
    <n v="0"/>
    <x v="38"/>
    <n v="0"/>
    <x v="368"/>
    <x v="3"/>
    <x v="0"/>
    <n v="1662.7"/>
  </r>
  <r>
    <n v="1812"/>
    <x v="806"/>
    <x v="1"/>
    <x v="18"/>
    <n v="2"/>
    <m/>
    <n v="0"/>
    <x v="1"/>
    <n v="0"/>
    <x v="369"/>
    <x v="0"/>
    <x v="1"/>
    <n v="-36.380000000000003"/>
  </r>
  <r>
    <n v="1813"/>
    <x v="807"/>
    <x v="1"/>
    <x v="22"/>
    <n v="0"/>
    <m/>
    <n v="0"/>
    <x v="1"/>
    <n v="0"/>
    <x v="23"/>
    <x v="1"/>
    <x v="1"/>
    <n v="1718.02"/>
  </r>
  <r>
    <n v="1814"/>
    <x v="808"/>
    <x v="4"/>
    <x v="8"/>
    <n v="2"/>
    <m/>
    <n v="0"/>
    <x v="1"/>
    <n v="0"/>
    <x v="268"/>
    <x v="0"/>
    <x v="1"/>
    <n v="2724.05"/>
  </r>
  <r>
    <n v="1815"/>
    <x v="809"/>
    <x v="5"/>
    <x v="6"/>
    <n v="2"/>
    <m/>
    <n v="0"/>
    <x v="1"/>
    <n v="0"/>
    <x v="183"/>
    <x v="3"/>
    <x v="0"/>
    <n v="1057.3599999999999"/>
  </r>
  <r>
    <n v="1816"/>
    <x v="810"/>
    <x v="4"/>
    <x v="16"/>
    <n v="1"/>
    <n v="1130.83"/>
    <n v="1130.83"/>
    <x v="40"/>
    <n v="180.93280000000001"/>
    <x v="61"/>
    <x v="4"/>
    <x v="0"/>
    <n v="-804.96"/>
  </r>
  <r>
    <n v="1817"/>
    <x v="811"/>
    <x v="2"/>
    <x v="13"/>
    <n v="2"/>
    <n v="2964.88"/>
    <n v="5929.76"/>
    <x v="25"/>
    <n v="-1660.3328000000001"/>
    <x v="370"/>
    <x v="2"/>
    <x v="0"/>
    <n v="591.28"/>
  </r>
  <r>
    <n v="1818"/>
    <x v="812"/>
    <x v="3"/>
    <x v="3"/>
    <n v="-1"/>
    <n v="3449.33"/>
    <n v="-3449.33"/>
    <x v="36"/>
    <n v="-1966.1181000000001"/>
    <x v="4"/>
    <x v="0"/>
    <x v="0"/>
    <n v="601.45000000000005"/>
  </r>
  <r>
    <n v="1819"/>
    <x v="749"/>
    <x v="3"/>
    <x v="21"/>
    <n v="6"/>
    <n v="1761.18"/>
    <n v="10567.08"/>
    <x v="1"/>
    <n v="10567.08"/>
    <x v="4"/>
    <x v="2"/>
    <x v="1"/>
    <n v="2069.36"/>
  </r>
  <r>
    <n v="1820"/>
    <x v="813"/>
    <x v="4"/>
    <x v="16"/>
    <n v="5"/>
    <n v="1965.04"/>
    <n v="9825.2000000000007"/>
    <x v="1"/>
    <n v="9825.2000000000007"/>
    <x v="223"/>
    <x v="5"/>
    <x v="0"/>
    <n v="20.89"/>
  </r>
  <r>
    <n v="1821"/>
    <x v="814"/>
    <x v="1"/>
    <x v="22"/>
    <n v="2"/>
    <m/>
    <n v="0"/>
    <x v="88"/>
    <n v="0"/>
    <x v="4"/>
    <x v="1"/>
    <x v="0"/>
    <n v="403.42"/>
  </r>
  <r>
    <n v="1822"/>
    <x v="815"/>
    <x v="1"/>
    <x v="15"/>
    <n v="2"/>
    <n v="938.86"/>
    <n v="1877.72"/>
    <x v="67"/>
    <n v="1783.8339999999998"/>
    <x v="244"/>
    <x v="4"/>
    <x v="0"/>
    <n v="-824.79"/>
  </r>
  <r>
    <n v="1823"/>
    <x v="816"/>
    <x v="4"/>
    <x v="8"/>
    <n v="2"/>
    <n v="3887.15"/>
    <n v="7774.3"/>
    <x v="1"/>
    <n v="7774.3"/>
    <x v="84"/>
    <x v="1"/>
    <x v="0"/>
    <n v="2088.25"/>
  </r>
  <r>
    <n v="1824"/>
    <x v="817"/>
    <x v="3"/>
    <x v="21"/>
    <n v="0"/>
    <n v="4146.2700000000004"/>
    <n v="0"/>
    <x v="14"/>
    <n v="0"/>
    <x v="371"/>
    <x v="4"/>
    <x v="1"/>
    <n v="2397.9299999999998"/>
  </r>
  <r>
    <n v="1825"/>
    <x v="818"/>
    <x v="1"/>
    <x v="15"/>
    <n v="6"/>
    <n v="982.65"/>
    <n v="5895.9"/>
    <x v="1"/>
    <n v="5895.9"/>
    <x v="4"/>
    <x v="2"/>
    <x v="1"/>
    <n v="2186.63"/>
  </r>
  <r>
    <n v="1826"/>
    <x v="819"/>
    <x v="4"/>
    <x v="4"/>
    <n v="6"/>
    <m/>
    <n v="0"/>
    <x v="1"/>
    <n v="0"/>
    <x v="372"/>
    <x v="0"/>
    <x v="1"/>
    <n v="413.87"/>
  </r>
  <r>
    <n v="1827"/>
    <x v="820"/>
    <x v="0"/>
    <x v="9"/>
    <n v="2"/>
    <n v="3109.74"/>
    <n v="6219.48"/>
    <x v="1"/>
    <n v="6219.48"/>
    <x v="4"/>
    <x v="2"/>
    <x v="0"/>
    <n v="-828.23"/>
  </r>
  <r>
    <n v="1828"/>
    <x v="821"/>
    <x v="5"/>
    <x v="11"/>
    <n v="2"/>
    <n v="4427.9399999999996"/>
    <n v="8855.8799999999992"/>
    <x v="66"/>
    <n v="6641.91"/>
    <x v="9"/>
    <x v="2"/>
    <x v="0"/>
    <n v="-476.77"/>
  </r>
  <r>
    <n v="1829"/>
    <x v="822"/>
    <x v="2"/>
    <x v="10"/>
    <n v="2"/>
    <m/>
    <n v="0"/>
    <x v="1"/>
    <n v="0"/>
    <x v="373"/>
    <x v="0"/>
    <x v="1"/>
    <n v="1019.58"/>
  </r>
  <r>
    <n v="1830"/>
    <x v="823"/>
    <x v="5"/>
    <x v="6"/>
    <n v="2"/>
    <m/>
    <n v="0"/>
    <x v="1"/>
    <n v="0"/>
    <x v="370"/>
    <x v="5"/>
    <x v="0"/>
    <n v="602.58000000000004"/>
  </r>
  <r>
    <n v="1831"/>
    <x v="824"/>
    <x v="2"/>
    <x v="2"/>
    <n v="2"/>
    <n v="895.34"/>
    <n v="1790.68"/>
    <x v="1"/>
    <n v="1790.68"/>
    <x v="320"/>
    <x v="3"/>
    <x v="1"/>
    <n v="2150.1"/>
  </r>
  <r>
    <n v="1832"/>
    <x v="825"/>
    <x v="2"/>
    <x v="2"/>
    <n v="2"/>
    <m/>
    <n v="0"/>
    <x v="36"/>
    <n v="0"/>
    <x v="203"/>
    <x v="1"/>
    <x v="0"/>
    <n v="708.3"/>
  </r>
  <r>
    <n v="1833"/>
    <x v="97"/>
    <x v="5"/>
    <x v="12"/>
    <n v="3"/>
    <n v="3051.77"/>
    <n v="9155.31"/>
    <x v="7"/>
    <n v="-1739.5088999999994"/>
    <x v="350"/>
    <x v="4"/>
    <x v="1"/>
    <n v="2470.5500000000002"/>
  </r>
  <r>
    <n v="1834"/>
    <x v="826"/>
    <x v="1"/>
    <x v="18"/>
    <n v="0"/>
    <m/>
    <n v="0"/>
    <x v="8"/>
    <n v="0"/>
    <x v="294"/>
    <x v="1"/>
    <x v="0"/>
    <n v="-663.74"/>
  </r>
  <r>
    <n v="1835"/>
    <x v="827"/>
    <x v="0"/>
    <x v="20"/>
    <n v="0"/>
    <m/>
    <n v="0"/>
    <x v="115"/>
    <n v="0"/>
    <x v="119"/>
    <x v="4"/>
    <x v="0"/>
    <n v="1851.02"/>
  </r>
  <r>
    <n v="1836"/>
    <x v="828"/>
    <x v="0"/>
    <x v="9"/>
    <n v="2"/>
    <n v="2105.94"/>
    <n v="4211.88"/>
    <x v="117"/>
    <n v="3537.9791999999998"/>
    <x v="4"/>
    <x v="1"/>
    <x v="1"/>
    <n v="1782.55"/>
  </r>
  <r>
    <n v="1006"/>
    <x v="829"/>
    <x v="1"/>
    <x v="22"/>
    <n v="4"/>
    <m/>
    <n v="0"/>
    <x v="1"/>
    <n v="0"/>
    <x v="69"/>
    <x v="2"/>
    <x v="1"/>
    <n v="1663.32"/>
  </r>
  <r>
    <n v="1838"/>
    <x v="830"/>
    <x v="5"/>
    <x v="19"/>
    <n v="-2"/>
    <m/>
    <n v="0"/>
    <x v="1"/>
    <n v="0"/>
    <x v="374"/>
    <x v="5"/>
    <x v="0"/>
    <n v="1657.14"/>
  </r>
  <r>
    <n v="1839"/>
    <x v="831"/>
    <x v="4"/>
    <x v="14"/>
    <n v="2"/>
    <n v="2067.64"/>
    <n v="4135.28"/>
    <x v="1"/>
    <n v="4135.28"/>
    <x v="4"/>
    <x v="3"/>
    <x v="1"/>
    <n v="-276.17"/>
  </r>
  <r>
    <n v="1840"/>
    <x v="832"/>
    <x v="3"/>
    <x v="21"/>
    <n v="0"/>
    <n v="1462.1"/>
    <n v="0"/>
    <x v="118"/>
    <n v="0"/>
    <x v="343"/>
    <x v="1"/>
    <x v="1"/>
    <n v="59.79"/>
  </r>
  <r>
    <n v="1841"/>
    <x v="833"/>
    <x v="1"/>
    <x v="1"/>
    <n v="2"/>
    <m/>
    <n v="0"/>
    <x v="1"/>
    <n v="0"/>
    <x v="127"/>
    <x v="0"/>
    <x v="0"/>
    <n v="-780.96"/>
  </r>
  <r>
    <n v="1842"/>
    <x v="834"/>
    <x v="1"/>
    <x v="22"/>
    <n v="2"/>
    <m/>
    <n v="0"/>
    <x v="112"/>
    <n v="0"/>
    <x v="236"/>
    <x v="4"/>
    <x v="0"/>
    <n v="2041.06"/>
  </r>
  <r>
    <n v="1843"/>
    <x v="835"/>
    <x v="5"/>
    <x v="6"/>
    <n v="-2"/>
    <m/>
    <n v="0"/>
    <x v="82"/>
    <n v="0"/>
    <x v="205"/>
    <x v="4"/>
    <x v="1"/>
    <n v="406.45"/>
  </r>
  <r>
    <n v="1844"/>
    <x v="836"/>
    <x v="3"/>
    <x v="7"/>
    <n v="2"/>
    <m/>
    <n v="0"/>
    <x v="1"/>
    <n v="0"/>
    <x v="375"/>
    <x v="0"/>
    <x v="0"/>
    <n v="1910.76"/>
  </r>
  <r>
    <n v="1845"/>
    <x v="837"/>
    <x v="4"/>
    <x v="4"/>
    <n v="2"/>
    <m/>
    <n v="0"/>
    <x v="59"/>
    <n v="0"/>
    <x v="122"/>
    <x v="5"/>
    <x v="0"/>
    <n v="1013.64"/>
  </r>
  <r>
    <n v="1846"/>
    <x v="838"/>
    <x v="3"/>
    <x v="7"/>
    <n v="-1"/>
    <n v="694.71"/>
    <n v="-694.71"/>
    <x v="1"/>
    <n v="-694.71"/>
    <x v="369"/>
    <x v="1"/>
    <x v="1"/>
    <n v="2991.27"/>
  </r>
  <r>
    <n v="1847"/>
    <x v="839"/>
    <x v="5"/>
    <x v="19"/>
    <n v="2"/>
    <n v="1334.66"/>
    <n v="2669.32"/>
    <x v="14"/>
    <n v="-774.10280000000012"/>
    <x v="365"/>
    <x v="3"/>
    <x v="0"/>
    <n v="2897.72"/>
  </r>
  <r>
    <n v="1848"/>
    <x v="840"/>
    <x v="4"/>
    <x v="16"/>
    <n v="-1"/>
    <m/>
    <n v="0"/>
    <x v="1"/>
    <n v="0"/>
    <x v="376"/>
    <x v="0"/>
    <x v="0"/>
    <n v="-56.68"/>
  </r>
  <r>
    <n v="1849"/>
    <x v="841"/>
    <x v="4"/>
    <x v="8"/>
    <n v="2"/>
    <n v="927.04"/>
    <n v="1854.08"/>
    <x v="1"/>
    <n v="1854.08"/>
    <x v="4"/>
    <x v="1"/>
    <x v="0"/>
    <n v="880.71"/>
  </r>
  <r>
    <n v="1850"/>
    <x v="842"/>
    <x v="3"/>
    <x v="3"/>
    <n v="2"/>
    <n v="1307.27"/>
    <n v="2614.54"/>
    <x v="81"/>
    <n v="-705.92579999999998"/>
    <x v="377"/>
    <x v="4"/>
    <x v="0"/>
    <n v="1757.18"/>
  </r>
  <r>
    <n v="1851"/>
    <x v="843"/>
    <x v="0"/>
    <x v="0"/>
    <n v="5"/>
    <n v="1505"/>
    <n v="7525"/>
    <x v="1"/>
    <n v="7525"/>
    <x v="288"/>
    <x v="3"/>
    <x v="1"/>
    <n v="-29.76"/>
  </r>
  <r>
    <n v="1852"/>
    <x v="844"/>
    <x v="4"/>
    <x v="16"/>
    <n v="2"/>
    <n v="1985.55"/>
    <n v="3971.1"/>
    <x v="77"/>
    <n v="3454.857"/>
    <x v="378"/>
    <x v="1"/>
    <x v="0"/>
    <n v="1754.79"/>
  </r>
  <r>
    <n v="1853"/>
    <x v="845"/>
    <x v="3"/>
    <x v="21"/>
    <n v="3"/>
    <n v="2862.48"/>
    <n v="8587.44"/>
    <x v="1"/>
    <n v="8587.44"/>
    <x v="379"/>
    <x v="1"/>
    <x v="1"/>
    <n v="2555.84"/>
  </r>
  <r>
    <n v="1854"/>
    <x v="846"/>
    <x v="0"/>
    <x v="5"/>
    <n v="2"/>
    <n v="3822.93"/>
    <n v="7645.86"/>
    <x v="89"/>
    <n v="-535.21020000000044"/>
    <x v="4"/>
    <x v="4"/>
    <x v="1"/>
    <n v="40.200000000000003"/>
  </r>
  <r>
    <n v="1855"/>
    <x v="847"/>
    <x v="4"/>
    <x v="4"/>
    <n v="5"/>
    <n v="3870.85"/>
    <n v="19354.25"/>
    <x v="1"/>
    <n v="19354.25"/>
    <x v="347"/>
    <x v="3"/>
    <x v="0"/>
    <n v="2313.58"/>
  </r>
  <r>
    <n v="1856"/>
    <x v="848"/>
    <x v="5"/>
    <x v="12"/>
    <n v="1"/>
    <n v="2737.23"/>
    <n v="2737.23"/>
    <x v="1"/>
    <n v="2737.23"/>
    <x v="58"/>
    <x v="2"/>
    <x v="1"/>
    <n v="2855.35"/>
  </r>
  <r>
    <n v="1857"/>
    <x v="849"/>
    <x v="3"/>
    <x v="21"/>
    <n v="2"/>
    <m/>
    <n v="0"/>
    <x v="1"/>
    <n v="0"/>
    <x v="380"/>
    <x v="2"/>
    <x v="0"/>
    <n v="-564.27"/>
  </r>
  <r>
    <n v="1858"/>
    <x v="850"/>
    <x v="0"/>
    <x v="20"/>
    <n v="2"/>
    <n v="3647.61"/>
    <n v="7295.22"/>
    <x v="1"/>
    <n v="7295.22"/>
    <x v="28"/>
    <x v="2"/>
    <x v="1"/>
    <n v="1789.65"/>
  </r>
  <r>
    <n v="1859"/>
    <x v="851"/>
    <x v="3"/>
    <x v="7"/>
    <n v="4"/>
    <n v="1442.86"/>
    <n v="5771.44"/>
    <x v="110"/>
    <n v="865.71600000000012"/>
    <x v="381"/>
    <x v="4"/>
    <x v="1"/>
    <n v="1183.93"/>
  </r>
  <r>
    <n v="1860"/>
    <x v="852"/>
    <x v="5"/>
    <x v="11"/>
    <n v="3"/>
    <m/>
    <n v="0"/>
    <x v="23"/>
    <n v="0"/>
    <x v="4"/>
    <x v="3"/>
    <x v="1"/>
    <n v="57.35"/>
  </r>
  <r>
    <n v="1861"/>
    <x v="853"/>
    <x v="1"/>
    <x v="15"/>
    <n v="2"/>
    <m/>
    <n v="0"/>
    <x v="1"/>
    <n v="0"/>
    <x v="261"/>
    <x v="1"/>
    <x v="1"/>
    <n v="-934.61"/>
  </r>
  <r>
    <n v="1862"/>
    <x v="854"/>
    <x v="5"/>
    <x v="6"/>
    <n v="5"/>
    <n v="4739.66"/>
    <n v="23698.3"/>
    <x v="1"/>
    <n v="23698.3"/>
    <x v="4"/>
    <x v="0"/>
    <x v="0"/>
    <n v="-315.41000000000003"/>
  </r>
  <r>
    <n v="1863"/>
    <x v="855"/>
    <x v="2"/>
    <x v="10"/>
    <n v="2"/>
    <n v="3521.17"/>
    <n v="7042.34"/>
    <x v="109"/>
    <n v="1478.8913999999997"/>
    <x v="382"/>
    <x v="1"/>
    <x v="1"/>
    <n v="612.84"/>
  </r>
  <r>
    <n v="1864"/>
    <x v="856"/>
    <x v="3"/>
    <x v="23"/>
    <n v="4"/>
    <n v="1570.06"/>
    <n v="6280.24"/>
    <x v="1"/>
    <n v="6280.24"/>
    <x v="383"/>
    <x v="0"/>
    <x v="0"/>
    <n v="1017.26"/>
  </r>
  <r>
    <n v="1865"/>
    <x v="857"/>
    <x v="1"/>
    <x v="22"/>
    <n v="2"/>
    <n v="2496.81"/>
    <n v="4993.62"/>
    <x v="1"/>
    <n v="4993.62"/>
    <x v="90"/>
    <x v="4"/>
    <x v="0"/>
    <n v="28.7"/>
  </r>
  <r>
    <n v="1866"/>
    <x v="858"/>
    <x v="4"/>
    <x v="16"/>
    <n v="4"/>
    <n v="4471.17"/>
    <n v="17884.68"/>
    <x v="0"/>
    <n v="7153.8720000000003"/>
    <x v="87"/>
    <x v="5"/>
    <x v="0"/>
    <n v="1335.92"/>
  </r>
  <r>
    <n v="1867"/>
    <x v="859"/>
    <x v="5"/>
    <x v="19"/>
    <n v="2"/>
    <n v="1892.54"/>
    <n v="3785.08"/>
    <x v="48"/>
    <n v="3444.4227999999998"/>
    <x v="154"/>
    <x v="1"/>
    <x v="0"/>
    <n v="-702.11"/>
  </r>
  <r>
    <n v="1868"/>
    <x v="860"/>
    <x v="2"/>
    <x v="17"/>
    <n v="2"/>
    <m/>
    <n v="0"/>
    <x v="1"/>
    <n v="0"/>
    <x v="89"/>
    <x v="0"/>
    <x v="1"/>
    <n v="182.74"/>
  </r>
  <r>
    <n v="1869"/>
    <x v="861"/>
    <x v="1"/>
    <x v="18"/>
    <n v="2"/>
    <m/>
    <n v="0"/>
    <x v="1"/>
    <n v="0"/>
    <x v="4"/>
    <x v="1"/>
    <x v="0"/>
    <n v="75.28"/>
  </r>
  <r>
    <n v="1870"/>
    <x v="862"/>
    <x v="2"/>
    <x v="10"/>
    <n v="2"/>
    <n v="1870.68"/>
    <n v="3741.36"/>
    <x v="1"/>
    <n v="3741.36"/>
    <x v="4"/>
    <x v="5"/>
    <x v="0"/>
    <n v="2695.81"/>
  </r>
  <r>
    <n v="1871"/>
    <x v="863"/>
    <x v="5"/>
    <x v="12"/>
    <n v="2"/>
    <m/>
    <n v="0"/>
    <x v="1"/>
    <n v="0"/>
    <x v="85"/>
    <x v="3"/>
    <x v="0"/>
    <n v="-431.93"/>
  </r>
  <r>
    <n v="1872"/>
    <x v="864"/>
    <x v="4"/>
    <x v="16"/>
    <n v="1"/>
    <n v="3381.64"/>
    <n v="3381.64"/>
    <x v="54"/>
    <n v="1758.4528"/>
    <x v="4"/>
    <x v="0"/>
    <x v="0"/>
    <n v="953.93"/>
  </r>
  <r>
    <n v="1873"/>
    <x v="865"/>
    <x v="1"/>
    <x v="15"/>
    <n v="2"/>
    <m/>
    <n v="0"/>
    <x v="1"/>
    <n v="0"/>
    <x v="384"/>
    <x v="0"/>
    <x v="0"/>
    <n v="-632.25"/>
  </r>
  <r>
    <n v="1874"/>
    <x v="866"/>
    <x v="2"/>
    <x v="13"/>
    <n v="5"/>
    <n v="2847.02"/>
    <n v="14235.1"/>
    <x v="1"/>
    <n v="14235.1"/>
    <x v="115"/>
    <x v="1"/>
    <x v="0"/>
    <n v="-573.97"/>
  </r>
  <r>
    <n v="1875"/>
    <x v="867"/>
    <x v="3"/>
    <x v="21"/>
    <n v="2"/>
    <m/>
    <n v="0"/>
    <x v="1"/>
    <n v="0"/>
    <x v="385"/>
    <x v="5"/>
    <x v="0"/>
    <n v="1125.5"/>
  </r>
  <r>
    <n v="1876"/>
    <x v="868"/>
    <x v="2"/>
    <x v="2"/>
    <n v="2"/>
    <m/>
    <n v="0"/>
    <x v="95"/>
    <n v="0"/>
    <x v="225"/>
    <x v="2"/>
    <x v="0"/>
    <n v="986.09"/>
  </r>
  <r>
    <n v="1877"/>
    <x v="869"/>
    <x v="4"/>
    <x v="4"/>
    <n v="-1"/>
    <m/>
    <n v="0"/>
    <x v="1"/>
    <n v="0"/>
    <x v="46"/>
    <x v="5"/>
    <x v="1"/>
    <n v="1149.23"/>
  </r>
  <r>
    <n v="1878"/>
    <x v="870"/>
    <x v="5"/>
    <x v="11"/>
    <n v="4"/>
    <m/>
    <n v="0"/>
    <x v="1"/>
    <n v="0"/>
    <x v="256"/>
    <x v="3"/>
    <x v="0"/>
    <n v="2247.4899999999998"/>
  </r>
  <r>
    <n v="1879"/>
    <x v="871"/>
    <x v="3"/>
    <x v="3"/>
    <n v="0"/>
    <n v="444.11"/>
    <n v="0"/>
    <x v="1"/>
    <n v="0"/>
    <x v="31"/>
    <x v="1"/>
    <x v="0"/>
    <n v="2762.27"/>
  </r>
  <r>
    <n v="1880"/>
    <x v="872"/>
    <x v="3"/>
    <x v="21"/>
    <n v="1"/>
    <n v="772.97"/>
    <n v="772.97"/>
    <x v="55"/>
    <n v="77.296999999999983"/>
    <x v="100"/>
    <x v="5"/>
    <x v="1"/>
    <n v="843.81"/>
  </r>
  <r>
    <n v="1881"/>
    <x v="873"/>
    <x v="2"/>
    <x v="13"/>
    <n v="3"/>
    <n v="1772.6"/>
    <n v="5317.7999999999993"/>
    <x v="1"/>
    <n v="5317.7999999999993"/>
    <x v="46"/>
    <x v="3"/>
    <x v="1"/>
    <n v="993.92"/>
  </r>
  <r>
    <n v="1882"/>
    <x v="874"/>
    <x v="1"/>
    <x v="18"/>
    <n v="2"/>
    <n v="1622.79"/>
    <n v="3245.58"/>
    <x v="1"/>
    <n v="3245.58"/>
    <x v="280"/>
    <x v="0"/>
    <x v="0"/>
    <n v="1020.63"/>
  </r>
  <r>
    <n v="1883"/>
    <x v="875"/>
    <x v="0"/>
    <x v="9"/>
    <n v="-1"/>
    <n v="4350.8599999999997"/>
    <n v="-4350.8599999999997"/>
    <x v="1"/>
    <n v="-4350.8599999999997"/>
    <x v="4"/>
    <x v="5"/>
    <x v="1"/>
    <n v="2845.42"/>
  </r>
  <r>
    <n v="1884"/>
    <x v="876"/>
    <x v="2"/>
    <x v="13"/>
    <n v="6"/>
    <m/>
    <n v="0"/>
    <x v="1"/>
    <n v="0"/>
    <x v="243"/>
    <x v="0"/>
    <x v="0"/>
    <n v="-856.25"/>
  </r>
  <r>
    <n v="1885"/>
    <x v="877"/>
    <x v="4"/>
    <x v="14"/>
    <n v="0"/>
    <m/>
    <n v="0"/>
    <x v="1"/>
    <n v="0"/>
    <x v="295"/>
    <x v="0"/>
    <x v="1"/>
    <n v="-571.28"/>
  </r>
  <r>
    <n v="1886"/>
    <x v="878"/>
    <x v="3"/>
    <x v="7"/>
    <n v="6"/>
    <n v="1229.0999999999999"/>
    <n v="7374.5999999999995"/>
    <x v="1"/>
    <n v="7374.5999999999995"/>
    <x v="4"/>
    <x v="4"/>
    <x v="0"/>
    <n v="1005.96"/>
  </r>
  <r>
    <n v="1887"/>
    <x v="879"/>
    <x v="4"/>
    <x v="14"/>
    <n v="3"/>
    <m/>
    <n v="0"/>
    <x v="1"/>
    <n v="0"/>
    <x v="386"/>
    <x v="1"/>
    <x v="1"/>
    <n v="111.88"/>
  </r>
  <r>
    <n v="1888"/>
    <x v="880"/>
    <x v="2"/>
    <x v="10"/>
    <n v="6"/>
    <m/>
    <n v="0"/>
    <x v="84"/>
    <n v="0"/>
    <x v="4"/>
    <x v="2"/>
    <x v="1"/>
    <n v="-80.61"/>
  </r>
  <r>
    <n v="1889"/>
    <x v="881"/>
    <x v="5"/>
    <x v="11"/>
    <n v="2"/>
    <n v="3948.83"/>
    <n v="7897.66"/>
    <x v="1"/>
    <n v="7897.66"/>
    <x v="278"/>
    <x v="5"/>
    <x v="0"/>
    <n v="1935.77"/>
  </r>
  <r>
    <n v="1890"/>
    <x v="882"/>
    <x v="3"/>
    <x v="3"/>
    <n v="2"/>
    <n v="3772.51"/>
    <n v="7545.02"/>
    <x v="1"/>
    <n v="7545.02"/>
    <x v="4"/>
    <x v="3"/>
    <x v="1"/>
    <n v="792.89"/>
  </r>
  <r>
    <n v="1891"/>
    <x v="883"/>
    <x v="4"/>
    <x v="4"/>
    <n v="2"/>
    <n v="2727.86"/>
    <n v="5455.72"/>
    <x v="1"/>
    <n v="5455.72"/>
    <x v="370"/>
    <x v="1"/>
    <x v="0"/>
    <n v="849.07"/>
  </r>
  <r>
    <n v="1892"/>
    <x v="884"/>
    <x v="0"/>
    <x v="0"/>
    <n v="2"/>
    <m/>
    <n v="0"/>
    <x v="119"/>
    <n v="0"/>
    <x v="4"/>
    <x v="0"/>
    <x v="1"/>
    <n v="330.14"/>
  </r>
  <r>
    <n v="1893"/>
    <x v="885"/>
    <x v="3"/>
    <x v="21"/>
    <n v="2"/>
    <n v="4456.45"/>
    <n v="8912.9"/>
    <x v="1"/>
    <n v="8912.9"/>
    <x v="4"/>
    <x v="0"/>
    <x v="1"/>
    <n v="870.63"/>
  </r>
  <r>
    <n v="1894"/>
    <x v="886"/>
    <x v="1"/>
    <x v="22"/>
    <n v="2"/>
    <n v="2793.89"/>
    <n v="5587.78"/>
    <x v="1"/>
    <n v="5587.78"/>
    <x v="387"/>
    <x v="4"/>
    <x v="1"/>
    <n v="-512.73"/>
  </r>
  <r>
    <n v="1003"/>
    <x v="887"/>
    <x v="0"/>
    <x v="20"/>
    <n v="-2"/>
    <m/>
    <n v="0"/>
    <x v="1"/>
    <n v="0"/>
    <x v="157"/>
    <x v="5"/>
    <x v="1"/>
    <n v="2368.6999999999998"/>
  </r>
  <r>
    <n v="1896"/>
    <x v="888"/>
    <x v="4"/>
    <x v="8"/>
    <n v="5"/>
    <n v="4829.8500000000004"/>
    <n v="24149.25"/>
    <x v="1"/>
    <n v="24149.25"/>
    <x v="4"/>
    <x v="4"/>
    <x v="1"/>
    <n v="2993.71"/>
  </r>
  <r>
    <n v="1897"/>
    <x v="889"/>
    <x v="0"/>
    <x v="9"/>
    <n v="2"/>
    <m/>
    <n v="0"/>
    <x v="94"/>
    <n v="0"/>
    <x v="127"/>
    <x v="4"/>
    <x v="0"/>
    <n v="499.61"/>
  </r>
  <r>
    <n v="1898"/>
    <x v="890"/>
    <x v="4"/>
    <x v="14"/>
    <n v="5"/>
    <n v="776.98"/>
    <n v="3884.9"/>
    <x v="1"/>
    <n v="3884.9"/>
    <x v="388"/>
    <x v="2"/>
    <x v="0"/>
    <n v="2977.35"/>
  </r>
  <r>
    <n v="1899"/>
    <x v="891"/>
    <x v="2"/>
    <x v="10"/>
    <n v="2"/>
    <m/>
    <n v="0"/>
    <x v="1"/>
    <n v="0"/>
    <x v="4"/>
    <x v="0"/>
    <x v="0"/>
    <n v="500.04"/>
  </r>
  <r>
    <n v="1900"/>
    <x v="892"/>
    <x v="4"/>
    <x v="8"/>
    <n v="3"/>
    <m/>
    <n v="0"/>
    <x v="1"/>
    <n v="0"/>
    <x v="309"/>
    <x v="0"/>
    <x v="0"/>
    <n v="959.32"/>
  </r>
  <r>
    <n v="1901"/>
    <x v="893"/>
    <x v="3"/>
    <x v="3"/>
    <n v="4"/>
    <n v="781.91"/>
    <n v="3127.64"/>
    <x v="61"/>
    <n v="-625.52799999999979"/>
    <x v="36"/>
    <x v="5"/>
    <x v="0"/>
    <n v="1002.98"/>
  </r>
  <r>
    <n v="1007"/>
    <x v="894"/>
    <x v="3"/>
    <x v="23"/>
    <n v="0"/>
    <n v="3402.85"/>
    <n v="0"/>
    <x v="60"/>
    <n v="0"/>
    <x v="4"/>
    <x v="5"/>
    <x v="0"/>
    <n v="1333.09"/>
  </r>
  <r>
    <n v="1903"/>
    <x v="895"/>
    <x v="5"/>
    <x v="11"/>
    <n v="-1"/>
    <m/>
    <n v="0"/>
    <x v="52"/>
    <n v="0"/>
    <x v="121"/>
    <x v="2"/>
    <x v="0"/>
    <n v="1264.02"/>
  </r>
  <r>
    <n v="1904"/>
    <x v="896"/>
    <x v="0"/>
    <x v="20"/>
    <n v="-1"/>
    <n v="1339.18"/>
    <n v="-1339.18"/>
    <x v="1"/>
    <n v="-1339.18"/>
    <x v="23"/>
    <x v="3"/>
    <x v="0"/>
    <n v="554.92999999999995"/>
  </r>
  <r>
    <n v="1905"/>
    <x v="897"/>
    <x v="5"/>
    <x v="19"/>
    <n v="2"/>
    <n v="759.78"/>
    <n v="1519.56"/>
    <x v="1"/>
    <n v="1519.56"/>
    <x v="4"/>
    <x v="5"/>
    <x v="1"/>
    <n v="2254.8200000000002"/>
  </r>
  <r>
    <n v="1906"/>
    <x v="898"/>
    <x v="5"/>
    <x v="19"/>
    <n v="-1"/>
    <m/>
    <n v="0"/>
    <x v="1"/>
    <n v="0"/>
    <x v="1"/>
    <x v="3"/>
    <x v="0"/>
    <n v="406.55"/>
  </r>
  <r>
    <n v="1907"/>
    <x v="899"/>
    <x v="1"/>
    <x v="1"/>
    <n v="2"/>
    <m/>
    <n v="0"/>
    <x v="1"/>
    <n v="0"/>
    <x v="211"/>
    <x v="4"/>
    <x v="0"/>
    <n v="305.87"/>
  </r>
  <r>
    <n v="1908"/>
    <x v="900"/>
    <x v="0"/>
    <x v="5"/>
    <n v="2"/>
    <m/>
    <n v="0"/>
    <x v="1"/>
    <n v="0"/>
    <x v="4"/>
    <x v="4"/>
    <x v="0"/>
    <n v="205.56"/>
  </r>
  <r>
    <n v="1909"/>
    <x v="901"/>
    <x v="3"/>
    <x v="7"/>
    <n v="1"/>
    <n v="3114.13"/>
    <n v="3114.13"/>
    <x v="1"/>
    <n v="3114.13"/>
    <x v="389"/>
    <x v="5"/>
    <x v="1"/>
    <n v="2743.54"/>
  </r>
  <r>
    <n v="1910"/>
    <x v="902"/>
    <x v="4"/>
    <x v="8"/>
    <n v="0"/>
    <n v="2155.16"/>
    <n v="0"/>
    <x v="1"/>
    <n v="0"/>
    <x v="59"/>
    <x v="1"/>
    <x v="1"/>
    <n v="425.89"/>
  </r>
  <r>
    <n v="1911"/>
    <x v="903"/>
    <x v="0"/>
    <x v="20"/>
    <n v="6"/>
    <n v="2357.6999999999998"/>
    <n v="14146.199999999999"/>
    <x v="1"/>
    <n v="14146.199999999999"/>
    <x v="370"/>
    <x v="1"/>
    <x v="0"/>
    <n v="1901.07"/>
  </r>
  <r>
    <n v="1912"/>
    <x v="904"/>
    <x v="3"/>
    <x v="3"/>
    <n v="2"/>
    <m/>
    <n v="0"/>
    <x v="1"/>
    <n v="0"/>
    <x v="4"/>
    <x v="5"/>
    <x v="0"/>
    <n v="2721.15"/>
  </r>
  <r>
    <n v="1913"/>
    <x v="905"/>
    <x v="3"/>
    <x v="21"/>
    <n v="5"/>
    <m/>
    <n v="0"/>
    <x v="1"/>
    <n v="0"/>
    <x v="4"/>
    <x v="2"/>
    <x v="0"/>
    <n v="1490.96"/>
  </r>
  <r>
    <n v="1914"/>
    <x v="906"/>
    <x v="0"/>
    <x v="5"/>
    <n v="6"/>
    <n v="3661.49"/>
    <n v="21968.94"/>
    <x v="112"/>
    <n v="19552.356599999999"/>
    <x v="390"/>
    <x v="5"/>
    <x v="0"/>
    <n v="-527.32000000000005"/>
  </r>
  <r>
    <n v="1915"/>
    <x v="907"/>
    <x v="3"/>
    <x v="7"/>
    <n v="2"/>
    <m/>
    <n v="0"/>
    <x v="1"/>
    <n v="0"/>
    <x v="391"/>
    <x v="0"/>
    <x v="1"/>
    <n v="944.36"/>
  </r>
  <r>
    <n v="1916"/>
    <x v="908"/>
    <x v="5"/>
    <x v="11"/>
    <n v="2"/>
    <n v="2117.0700000000002"/>
    <n v="4234.1400000000003"/>
    <x v="77"/>
    <n v="3683.7018000000003"/>
    <x v="350"/>
    <x v="0"/>
    <x v="0"/>
    <n v="2423.2399999999998"/>
  </r>
  <r>
    <n v="1917"/>
    <x v="909"/>
    <x v="2"/>
    <x v="13"/>
    <n v="2"/>
    <m/>
    <n v="0"/>
    <x v="1"/>
    <n v="0"/>
    <x v="130"/>
    <x v="1"/>
    <x v="0"/>
    <n v="1173.48"/>
  </r>
  <r>
    <n v="1918"/>
    <x v="910"/>
    <x v="5"/>
    <x v="19"/>
    <n v="2"/>
    <n v="581.49"/>
    <n v="1162.98"/>
    <x v="1"/>
    <n v="1162.98"/>
    <x v="392"/>
    <x v="1"/>
    <x v="0"/>
    <n v="-714.88"/>
  </r>
  <r>
    <n v="1919"/>
    <x v="911"/>
    <x v="5"/>
    <x v="11"/>
    <n v="2"/>
    <n v="1460.71"/>
    <n v="2921.42"/>
    <x v="1"/>
    <n v="2921.42"/>
    <x v="4"/>
    <x v="1"/>
    <x v="0"/>
    <n v="2917.9"/>
  </r>
  <r>
    <n v="1920"/>
    <x v="912"/>
    <x v="1"/>
    <x v="18"/>
    <n v="2"/>
    <n v="4141.2299999999996"/>
    <n v="8282.4599999999991"/>
    <x v="1"/>
    <n v="8282.4599999999991"/>
    <x v="309"/>
    <x v="2"/>
    <x v="0"/>
    <n v="1455.81"/>
  </r>
  <r>
    <n v="1921"/>
    <x v="913"/>
    <x v="3"/>
    <x v="21"/>
    <n v="2"/>
    <n v="4224.3100000000004"/>
    <n v="8448.6200000000008"/>
    <x v="1"/>
    <n v="8448.6200000000008"/>
    <x v="4"/>
    <x v="4"/>
    <x v="1"/>
    <n v="2660.84"/>
  </r>
  <r>
    <n v="1922"/>
    <x v="914"/>
    <x v="5"/>
    <x v="12"/>
    <n v="2"/>
    <m/>
    <n v="0"/>
    <x v="1"/>
    <n v="0"/>
    <x v="204"/>
    <x v="0"/>
    <x v="0"/>
    <n v="-616.36"/>
  </r>
  <r>
    <n v="1923"/>
    <x v="915"/>
    <x v="1"/>
    <x v="1"/>
    <n v="2"/>
    <n v="3865.62"/>
    <n v="7731.24"/>
    <x v="1"/>
    <n v="7731.24"/>
    <x v="393"/>
    <x v="3"/>
    <x v="0"/>
    <n v="-56.4"/>
  </r>
  <r>
    <n v="1924"/>
    <x v="916"/>
    <x v="0"/>
    <x v="5"/>
    <n v="2"/>
    <n v="2999.49"/>
    <n v="5998.98"/>
    <x v="1"/>
    <n v="5998.98"/>
    <x v="352"/>
    <x v="1"/>
    <x v="0"/>
    <n v="-988.45"/>
  </r>
  <r>
    <n v="1925"/>
    <x v="917"/>
    <x v="3"/>
    <x v="23"/>
    <n v="2"/>
    <n v="1429.24"/>
    <n v="2858.48"/>
    <x v="1"/>
    <n v="2858.48"/>
    <x v="101"/>
    <x v="0"/>
    <x v="0"/>
    <n v="2081.7800000000002"/>
  </r>
  <r>
    <n v="1926"/>
    <x v="918"/>
    <x v="2"/>
    <x v="13"/>
    <n v="-2"/>
    <n v="2533.37"/>
    <n v="-5066.74"/>
    <x v="1"/>
    <n v="-5066.74"/>
    <x v="188"/>
    <x v="3"/>
    <x v="0"/>
    <n v="-490.96"/>
  </r>
  <r>
    <n v="1927"/>
    <x v="919"/>
    <x v="4"/>
    <x v="14"/>
    <n v="5"/>
    <m/>
    <n v="0"/>
    <x v="1"/>
    <n v="0"/>
    <x v="281"/>
    <x v="4"/>
    <x v="1"/>
    <n v="1844.54"/>
  </r>
  <r>
    <n v="1928"/>
    <x v="920"/>
    <x v="5"/>
    <x v="6"/>
    <n v="-2"/>
    <m/>
    <n v="0"/>
    <x v="1"/>
    <n v="0"/>
    <x v="394"/>
    <x v="0"/>
    <x v="1"/>
    <n v="2676.77"/>
  </r>
  <r>
    <n v="1929"/>
    <x v="921"/>
    <x v="3"/>
    <x v="21"/>
    <n v="-2"/>
    <n v="3618.48"/>
    <n v="-7236.96"/>
    <x v="1"/>
    <n v="-7236.96"/>
    <x v="4"/>
    <x v="0"/>
    <x v="1"/>
    <n v="1383.46"/>
  </r>
  <r>
    <n v="1930"/>
    <x v="922"/>
    <x v="0"/>
    <x v="5"/>
    <n v="2"/>
    <n v="3017.82"/>
    <n v="6035.64"/>
    <x v="1"/>
    <n v="6035.64"/>
    <x v="4"/>
    <x v="1"/>
    <x v="1"/>
    <n v="1257.0999999999999"/>
  </r>
  <r>
    <n v="1931"/>
    <x v="923"/>
    <x v="0"/>
    <x v="5"/>
    <n v="-1"/>
    <m/>
    <n v="0"/>
    <x v="1"/>
    <n v="0"/>
    <x v="4"/>
    <x v="5"/>
    <x v="0"/>
    <n v="1820.4"/>
  </r>
  <r>
    <n v="1932"/>
    <x v="924"/>
    <x v="4"/>
    <x v="4"/>
    <n v="2"/>
    <n v="436.31"/>
    <n v="872.62"/>
    <x v="1"/>
    <n v="872.62"/>
    <x v="328"/>
    <x v="5"/>
    <x v="1"/>
    <n v="1632.83"/>
  </r>
  <r>
    <n v="1933"/>
    <x v="925"/>
    <x v="1"/>
    <x v="22"/>
    <n v="2"/>
    <n v="1403.41"/>
    <n v="2806.82"/>
    <x v="1"/>
    <n v="2806.82"/>
    <x v="4"/>
    <x v="5"/>
    <x v="1"/>
    <n v="635.85"/>
  </r>
  <r>
    <n v="1934"/>
    <x v="926"/>
    <x v="0"/>
    <x v="9"/>
    <n v="2"/>
    <n v="3369.03"/>
    <n v="6738.06"/>
    <x v="1"/>
    <n v="6738.06"/>
    <x v="309"/>
    <x v="4"/>
    <x v="0"/>
    <n v="-144.96"/>
  </r>
  <r>
    <n v="1935"/>
    <x v="927"/>
    <x v="1"/>
    <x v="1"/>
    <n v="6"/>
    <m/>
    <n v="0"/>
    <x v="1"/>
    <n v="0"/>
    <x v="332"/>
    <x v="2"/>
    <x v="0"/>
    <n v="2390.71"/>
  </r>
  <r>
    <n v="1936"/>
    <x v="928"/>
    <x v="0"/>
    <x v="20"/>
    <n v="5"/>
    <n v="804.78"/>
    <n v="4023.8999999999996"/>
    <x v="1"/>
    <n v="4023.8999999999996"/>
    <x v="123"/>
    <x v="1"/>
    <x v="0"/>
    <n v="1109.21"/>
  </r>
  <r>
    <n v="1937"/>
    <x v="929"/>
    <x v="3"/>
    <x v="21"/>
    <n v="4"/>
    <n v="643.24"/>
    <n v="2572.96"/>
    <x v="1"/>
    <n v="2572.96"/>
    <x v="270"/>
    <x v="1"/>
    <x v="0"/>
    <n v="1670.97"/>
  </r>
  <r>
    <n v="1938"/>
    <x v="930"/>
    <x v="1"/>
    <x v="1"/>
    <n v="4"/>
    <m/>
    <n v="0"/>
    <x v="94"/>
    <n v="0"/>
    <x v="183"/>
    <x v="4"/>
    <x v="0"/>
    <n v="-528.58000000000004"/>
  </r>
  <r>
    <n v="1939"/>
    <x v="931"/>
    <x v="1"/>
    <x v="22"/>
    <n v="2"/>
    <m/>
    <n v="0"/>
    <x v="38"/>
    <n v="0"/>
    <x v="321"/>
    <x v="3"/>
    <x v="1"/>
    <n v="693.96"/>
  </r>
  <r>
    <n v="1940"/>
    <x v="932"/>
    <x v="5"/>
    <x v="19"/>
    <n v="2"/>
    <n v="3428.02"/>
    <n v="6856.04"/>
    <x v="1"/>
    <n v="6856.04"/>
    <x v="98"/>
    <x v="2"/>
    <x v="1"/>
    <n v="-881.03"/>
  </r>
  <r>
    <n v="1941"/>
    <x v="933"/>
    <x v="2"/>
    <x v="2"/>
    <n v="4"/>
    <m/>
    <n v="0"/>
    <x v="1"/>
    <n v="0"/>
    <x v="107"/>
    <x v="1"/>
    <x v="0"/>
    <n v="-298.48"/>
  </r>
  <r>
    <n v="1942"/>
    <x v="934"/>
    <x v="1"/>
    <x v="1"/>
    <n v="2"/>
    <n v="3710.07"/>
    <n v="7420.14"/>
    <x v="116"/>
    <n v="1261.4238000000003"/>
    <x v="395"/>
    <x v="2"/>
    <x v="0"/>
    <n v="2682.86"/>
  </r>
  <r>
    <n v="1943"/>
    <x v="935"/>
    <x v="2"/>
    <x v="10"/>
    <n v="4"/>
    <n v="3153.49"/>
    <n v="12613.96"/>
    <x v="1"/>
    <n v="12613.96"/>
    <x v="4"/>
    <x v="1"/>
    <x v="0"/>
    <n v="763.19"/>
  </r>
  <r>
    <n v="1944"/>
    <x v="936"/>
    <x v="0"/>
    <x v="5"/>
    <n v="-1"/>
    <n v="3227.22"/>
    <n v="-3227.22"/>
    <x v="1"/>
    <n v="-3227.22"/>
    <x v="4"/>
    <x v="2"/>
    <x v="0"/>
    <n v="597.80999999999995"/>
  </r>
  <r>
    <n v="1945"/>
    <x v="937"/>
    <x v="0"/>
    <x v="20"/>
    <n v="2"/>
    <n v="2803.56"/>
    <n v="5607.12"/>
    <x v="65"/>
    <n v="-280.35600000000022"/>
    <x v="396"/>
    <x v="0"/>
    <x v="0"/>
    <n v="-624.79"/>
  </r>
  <r>
    <n v="1946"/>
    <x v="938"/>
    <x v="0"/>
    <x v="20"/>
    <n v="2"/>
    <n v="2355.36"/>
    <n v="4710.72"/>
    <x v="1"/>
    <n v="4710.72"/>
    <x v="236"/>
    <x v="0"/>
    <x v="1"/>
    <n v="2397.33"/>
  </r>
  <r>
    <n v="1947"/>
    <x v="939"/>
    <x v="0"/>
    <x v="9"/>
    <n v="2"/>
    <m/>
    <n v="0"/>
    <x v="31"/>
    <n v="0"/>
    <x v="73"/>
    <x v="2"/>
    <x v="0"/>
    <n v="1608.36"/>
  </r>
  <r>
    <n v="1948"/>
    <x v="940"/>
    <x v="0"/>
    <x v="0"/>
    <n v="2"/>
    <n v="2755.59"/>
    <n v="5511.18"/>
    <x v="22"/>
    <n v="-330.67080000000033"/>
    <x v="357"/>
    <x v="1"/>
    <x v="0"/>
    <n v="1058.83"/>
  </r>
  <r>
    <n v="1949"/>
    <x v="941"/>
    <x v="2"/>
    <x v="13"/>
    <n v="2"/>
    <n v="4000.18"/>
    <n v="8000.36"/>
    <x v="106"/>
    <n v="880.03959999999984"/>
    <x v="4"/>
    <x v="2"/>
    <x v="0"/>
    <n v="713.58"/>
  </r>
  <r>
    <n v="1950"/>
    <x v="942"/>
    <x v="5"/>
    <x v="11"/>
    <n v="0"/>
    <n v="2270.65"/>
    <n v="0"/>
    <x v="80"/>
    <n v="0"/>
    <x v="397"/>
    <x v="1"/>
    <x v="0"/>
    <n v="2324.34"/>
  </r>
  <r>
    <n v="1951"/>
    <x v="943"/>
    <x v="2"/>
    <x v="2"/>
    <n v="2"/>
    <n v="2390.4299999999998"/>
    <n v="4780.8599999999997"/>
    <x v="90"/>
    <n v="3107.5589999999997"/>
    <x v="95"/>
    <x v="0"/>
    <x v="0"/>
    <n v="-634.86"/>
  </r>
  <r>
    <n v="1952"/>
    <x v="944"/>
    <x v="0"/>
    <x v="20"/>
    <n v="5"/>
    <m/>
    <n v="0"/>
    <x v="1"/>
    <n v="0"/>
    <x v="398"/>
    <x v="5"/>
    <x v="0"/>
    <n v="2835.63"/>
  </r>
  <r>
    <n v="1953"/>
    <x v="945"/>
    <x v="1"/>
    <x v="15"/>
    <n v="2"/>
    <m/>
    <n v="0"/>
    <x v="1"/>
    <n v="0"/>
    <x v="73"/>
    <x v="2"/>
    <x v="1"/>
    <n v="1996.25"/>
  </r>
  <r>
    <n v="1954"/>
    <x v="946"/>
    <x v="0"/>
    <x v="20"/>
    <n v="-2"/>
    <n v="2315.7800000000002"/>
    <n v="-4631.5600000000004"/>
    <x v="1"/>
    <n v="-4631.5600000000004"/>
    <x v="129"/>
    <x v="1"/>
    <x v="0"/>
    <n v="2501.64"/>
  </r>
  <r>
    <n v="1955"/>
    <x v="947"/>
    <x v="2"/>
    <x v="10"/>
    <n v="1"/>
    <n v="2787.46"/>
    <n v="2787.46"/>
    <x v="11"/>
    <n v="222.99679999999989"/>
    <x v="297"/>
    <x v="2"/>
    <x v="1"/>
    <n v="2909.73"/>
  </r>
  <r>
    <n v="1956"/>
    <x v="948"/>
    <x v="1"/>
    <x v="1"/>
    <n v="2"/>
    <m/>
    <n v="0"/>
    <x v="1"/>
    <n v="0"/>
    <x v="63"/>
    <x v="3"/>
    <x v="1"/>
    <n v="-850.76"/>
  </r>
  <r>
    <n v="1957"/>
    <x v="949"/>
    <x v="3"/>
    <x v="21"/>
    <n v="2"/>
    <n v="494.81"/>
    <n v="989.62"/>
    <x v="1"/>
    <n v="989.62"/>
    <x v="399"/>
    <x v="4"/>
    <x v="0"/>
    <n v="-35.32"/>
  </r>
  <r>
    <n v="1958"/>
    <x v="950"/>
    <x v="4"/>
    <x v="4"/>
    <n v="2"/>
    <n v="3068.38"/>
    <n v="6136.76"/>
    <x v="1"/>
    <n v="6136.76"/>
    <x v="337"/>
    <x v="3"/>
    <x v="0"/>
    <n v="2376.6799999999998"/>
  </r>
  <r>
    <n v="1959"/>
    <x v="951"/>
    <x v="1"/>
    <x v="18"/>
    <n v="2"/>
    <n v="3805.09"/>
    <n v="7610.18"/>
    <x v="1"/>
    <n v="7610.18"/>
    <x v="4"/>
    <x v="1"/>
    <x v="0"/>
    <n v="-476"/>
  </r>
  <r>
    <n v="1960"/>
    <x v="952"/>
    <x v="2"/>
    <x v="13"/>
    <n v="2"/>
    <n v="1369.81"/>
    <n v="2739.62"/>
    <x v="93"/>
    <n v="904.0745999999998"/>
    <x v="364"/>
    <x v="5"/>
    <x v="1"/>
    <n v="1179.44"/>
  </r>
  <r>
    <n v="1961"/>
    <x v="953"/>
    <x v="1"/>
    <x v="18"/>
    <n v="2"/>
    <n v="2204.39"/>
    <n v="4408.78"/>
    <x v="1"/>
    <n v="4408.78"/>
    <x v="400"/>
    <x v="5"/>
    <x v="1"/>
    <n v="-546.19000000000005"/>
  </r>
  <r>
    <n v="1962"/>
    <x v="954"/>
    <x v="2"/>
    <x v="10"/>
    <n v="-2"/>
    <m/>
    <n v="0"/>
    <x v="1"/>
    <n v="0"/>
    <x v="401"/>
    <x v="0"/>
    <x v="1"/>
    <n v="1408.3"/>
  </r>
  <r>
    <n v="1963"/>
    <x v="955"/>
    <x v="2"/>
    <x v="17"/>
    <n v="2"/>
    <n v="1935.29"/>
    <n v="3870.58"/>
    <x v="1"/>
    <n v="3870.58"/>
    <x v="169"/>
    <x v="2"/>
    <x v="1"/>
    <n v="-114.47"/>
  </r>
  <r>
    <n v="1964"/>
    <x v="956"/>
    <x v="4"/>
    <x v="8"/>
    <n v="-2"/>
    <m/>
    <n v="0"/>
    <x v="1"/>
    <n v="0"/>
    <x v="4"/>
    <x v="3"/>
    <x v="1"/>
    <n v="2202.2800000000002"/>
  </r>
  <r>
    <n v="1965"/>
    <x v="957"/>
    <x v="5"/>
    <x v="19"/>
    <n v="0"/>
    <m/>
    <n v="0"/>
    <x v="1"/>
    <n v="0"/>
    <x v="402"/>
    <x v="5"/>
    <x v="1"/>
    <n v="2663.36"/>
  </r>
  <r>
    <n v="1966"/>
    <x v="958"/>
    <x v="2"/>
    <x v="2"/>
    <n v="2"/>
    <m/>
    <n v="0"/>
    <x v="1"/>
    <n v="0"/>
    <x v="4"/>
    <x v="5"/>
    <x v="1"/>
    <n v="2887.5"/>
  </r>
  <r>
    <n v="1967"/>
    <x v="959"/>
    <x v="4"/>
    <x v="16"/>
    <n v="2"/>
    <m/>
    <n v="0"/>
    <x v="1"/>
    <n v="0"/>
    <x v="4"/>
    <x v="1"/>
    <x v="1"/>
    <n v="1310.86"/>
  </r>
  <r>
    <n v="1968"/>
    <x v="960"/>
    <x v="1"/>
    <x v="1"/>
    <n v="5"/>
    <m/>
    <n v="0"/>
    <x v="1"/>
    <n v="0"/>
    <x v="97"/>
    <x v="3"/>
    <x v="0"/>
    <n v="-168.76"/>
  </r>
  <r>
    <n v="1969"/>
    <x v="961"/>
    <x v="0"/>
    <x v="0"/>
    <n v="2"/>
    <n v="2153.5700000000002"/>
    <n v="4307.1400000000003"/>
    <x v="1"/>
    <n v="4307.1400000000003"/>
    <x v="364"/>
    <x v="2"/>
    <x v="0"/>
    <n v="1200.02"/>
  </r>
  <r>
    <n v="1970"/>
    <x v="962"/>
    <x v="1"/>
    <x v="18"/>
    <n v="6"/>
    <m/>
    <n v="0"/>
    <x v="1"/>
    <n v="0"/>
    <x v="4"/>
    <x v="5"/>
    <x v="0"/>
    <n v="1016.11"/>
  </r>
  <r>
    <n v="1971"/>
    <x v="963"/>
    <x v="3"/>
    <x v="7"/>
    <n v="0"/>
    <n v="4746.5200000000004"/>
    <n v="0"/>
    <x v="1"/>
    <n v="0"/>
    <x v="62"/>
    <x v="2"/>
    <x v="1"/>
    <n v="1981.22"/>
  </r>
  <r>
    <n v="1972"/>
    <x v="964"/>
    <x v="1"/>
    <x v="15"/>
    <n v="-1"/>
    <m/>
    <n v="0"/>
    <x v="1"/>
    <n v="0"/>
    <x v="169"/>
    <x v="0"/>
    <x v="0"/>
    <n v="-161.86000000000001"/>
  </r>
  <r>
    <n v="1973"/>
    <x v="965"/>
    <x v="3"/>
    <x v="23"/>
    <n v="2"/>
    <m/>
    <n v="0"/>
    <x v="1"/>
    <n v="0"/>
    <x v="292"/>
    <x v="5"/>
    <x v="0"/>
    <n v="838.06"/>
  </r>
  <r>
    <n v="1974"/>
    <x v="966"/>
    <x v="0"/>
    <x v="20"/>
    <n v="2"/>
    <n v="3286.66"/>
    <n v="6573.32"/>
    <x v="1"/>
    <n v="6573.32"/>
    <x v="4"/>
    <x v="1"/>
    <x v="1"/>
    <n v="1019.91"/>
  </r>
  <r>
    <n v="1975"/>
    <x v="967"/>
    <x v="4"/>
    <x v="14"/>
    <n v="2"/>
    <n v="3853.49"/>
    <n v="7706.98"/>
    <x v="1"/>
    <n v="7706.98"/>
    <x v="4"/>
    <x v="2"/>
    <x v="1"/>
    <n v="77.2"/>
  </r>
  <r>
    <n v="1976"/>
    <x v="968"/>
    <x v="0"/>
    <x v="20"/>
    <n v="2"/>
    <n v="4363.08"/>
    <n v="8726.16"/>
    <x v="1"/>
    <n v="8726.16"/>
    <x v="129"/>
    <x v="0"/>
    <x v="0"/>
    <n v="-16.09"/>
  </r>
  <r>
    <n v="1977"/>
    <x v="969"/>
    <x v="4"/>
    <x v="8"/>
    <n v="2"/>
    <n v="4126.29"/>
    <n v="8252.58"/>
    <x v="1"/>
    <n v="8252.58"/>
    <x v="4"/>
    <x v="2"/>
    <x v="0"/>
    <n v="-578.63"/>
  </r>
  <r>
    <n v="1978"/>
    <x v="970"/>
    <x v="4"/>
    <x v="14"/>
    <n v="4"/>
    <m/>
    <n v="0"/>
    <x v="1"/>
    <n v="0"/>
    <x v="403"/>
    <x v="2"/>
    <x v="0"/>
    <n v="-120.11"/>
  </r>
  <r>
    <n v="1979"/>
    <x v="971"/>
    <x v="5"/>
    <x v="19"/>
    <n v="-2"/>
    <n v="4375.7"/>
    <n v="-8751.4"/>
    <x v="53"/>
    <n v="-787.62599999999975"/>
    <x v="272"/>
    <x v="3"/>
    <x v="1"/>
    <n v="250.46"/>
  </r>
  <r>
    <n v="1980"/>
    <x v="972"/>
    <x v="3"/>
    <x v="23"/>
    <n v="1"/>
    <n v="1426.73"/>
    <n v="1426.73"/>
    <x v="1"/>
    <n v="1426.73"/>
    <x v="310"/>
    <x v="5"/>
    <x v="0"/>
    <n v="2451.9899999999998"/>
  </r>
  <r>
    <n v="1981"/>
    <x v="973"/>
    <x v="5"/>
    <x v="11"/>
    <n v="0"/>
    <m/>
    <n v="0"/>
    <x v="1"/>
    <n v="0"/>
    <x v="4"/>
    <x v="0"/>
    <x v="1"/>
    <n v="1171.6500000000001"/>
  </r>
  <r>
    <n v="1982"/>
    <x v="974"/>
    <x v="5"/>
    <x v="12"/>
    <n v="2"/>
    <n v="3701.72"/>
    <n v="7403.44"/>
    <x v="1"/>
    <n v="7403.44"/>
    <x v="4"/>
    <x v="1"/>
    <x v="0"/>
    <n v="1936.33"/>
  </r>
  <r>
    <n v="1983"/>
    <x v="975"/>
    <x v="1"/>
    <x v="15"/>
    <n v="2"/>
    <n v="2348.2600000000002"/>
    <n v="4696.5200000000004"/>
    <x v="1"/>
    <n v="4696.5200000000004"/>
    <x v="404"/>
    <x v="3"/>
    <x v="1"/>
    <n v="358.59"/>
  </r>
  <r>
    <n v="1984"/>
    <x v="976"/>
    <x v="5"/>
    <x v="11"/>
    <n v="2"/>
    <m/>
    <n v="0"/>
    <x v="120"/>
    <n v="0"/>
    <x v="53"/>
    <x v="3"/>
    <x v="1"/>
    <n v="881.47"/>
  </r>
  <r>
    <n v="1985"/>
    <x v="977"/>
    <x v="2"/>
    <x v="17"/>
    <n v="2"/>
    <n v="1668.18"/>
    <n v="3336.36"/>
    <x v="60"/>
    <n v="1234.4531999999999"/>
    <x v="192"/>
    <x v="0"/>
    <x v="0"/>
    <n v="-553.53"/>
  </r>
  <r>
    <n v="1986"/>
    <x v="978"/>
    <x v="5"/>
    <x v="6"/>
    <n v="0"/>
    <m/>
    <n v="0"/>
    <x v="82"/>
    <n v="0"/>
    <x v="48"/>
    <x v="4"/>
    <x v="0"/>
    <n v="2806.51"/>
  </r>
  <r>
    <n v="1987"/>
    <x v="979"/>
    <x v="3"/>
    <x v="3"/>
    <n v="2"/>
    <m/>
    <n v="0"/>
    <x v="121"/>
    <n v="0"/>
    <x v="123"/>
    <x v="4"/>
    <x v="0"/>
    <n v="2732.84"/>
  </r>
  <r>
    <n v="1988"/>
    <x v="980"/>
    <x v="2"/>
    <x v="17"/>
    <n v="2"/>
    <m/>
    <n v="0"/>
    <x v="1"/>
    <n v="0"/>
    <x v="157"/>
    <x v="3"/>
    <x v="1"/>
    <n v="-298.07"/>
  </r>
  <r>
    <n v="1989"/>
    <x v="981"/>
    <x v="4"/>
    <x v="4"/>
    <n v="2"/>
    <m/>
    <n v="0"/>
    <x v="1"/>
    <n v="0"/>
    <x v="160"/>
    <x v="1"/>
    <x v="0"/>
    <n v="2646.08"/>
  </r>
  <r>
    <n v="1990"/>
    <x v="982"/>
    <x v="0"/>
    <x v="5"/>
    <n v="-1"/>
    <n v="1203.45"/>
    <n v="-1203.45"/>
    <x v="1"/>
    <n v="-1203.45"/>
    <x v="266"/>
    <x v="0"/>
    <x v="0"/>
    <n v="1184.3599999999999"/>
  </r>
  <r>
    <n v="1991"/>
    <x v="983"/>
    <x v="1"/>
    <x v="22"/>
    <n v="2"/>
    <n v="2808.46"/>
    <n v="5616.92"/>
    <x v="93"/>
    <n v="1853.5835999999997"/>
    <x v="4"/>
    <x v="2"/>
    <x v="0"/>
    <n v="1592.37"/>
  </r>
  <r>
    <n v="1992"/>
    <x v="984"/>
    <x v="4"/>
    <x v="14"/>
    <n v="2"/>
    <m/>
    <n v="0"/>
    <x v="122"/>
    <n v="0"/>
    <x v="4"/>
    <x v="3"/>
    <x v="1"/>
    <n v="2416.37"/>
  </r>
  <r>
    <n v="1993"/>
    <x v="985"/>
    <x v="2"/>
    <x v="17"/>
    <n v="0"/>
    <m/>
    <n v="0"/>
    <x v="1"/>
    <n v="0"/>
    <x v="405"/>
    <x v="5"/>
    <x v="0"/>
    <n v="937.22"/>
  </r>
  <r>
    <n v="1994"/>
    <x v="986"/>
    <x v="0"/>
    <x v="20"/>
    <n v="-1"/>
    <n v="1010.48"/>
    <n v="-1010.48"/>
    <x v="1"/>
    <n v="-1010.48"/>
    <x v="176"/>
    <x v="4"/>
    <x v="0"/>
    <n v="2321.5300000000002"/>
  </r>
  <r>
    <n v="1995"/>
    <x v="987"/>
    <x v="1"/>
    <x v="22"/>
    <n v="4"/>
    <m/>
    <n v="0"/>
    <x v="1"/>
    <n v="0"/>
    <x v="306"/>
    <x v="0"/>
    <x v="0"/>
    <n v="1815.94"/>
  </r>
  <r>
    <n v="1996"/>
    <x v="988"/>
    <x v="3"/>
    <x v="21"/>
    <n v="2"/>
    <m/>
    <n v="0"/>
    <x v="1"/>
    <n v="0"/>
    <x v="281"/>
    <x v="2"/>
    <x v="0"/>
    <n v="1145.05"/>
  </r>
  <r>
    <n v="1997"/>
    <x v="989"/>
    <x v="1"/>
    <x v="1"/>
    <n v="4"/>
    <m/>
    <n v="0"/>
    <x v="26"/>
    <n v="0"/>
    <x v="236"/>
    <x v="0"/>
    <x v="0"/>
    <n v="141.76"/>
  </r>
  <r>
    <n v="1998"/>
    <x v="990"/>
    <x v="4"/>
    <x v="14"/>
    <n v="5"/>
    <n v="2567.59"/>
    <n v="12837.95"/>
    <x v="1"/>
    <n v="12837.95"/>
    <x v="406"/>
    <x v="0"/>
    <x v="0"/>
    <n v="-702.7"/>
  </r>
  <r>
    <n v="1999"/>
    <x v="991"/>
    <x v="2"/>
    <x v="13"/>
    <n v="2"/>
    <m/>
    <n v="0"/>
    <x v="24"/>
    <n v="0"/>
    <x v="36"/>
    <x v="4"/>
    <x v="0"/>
    <n v="938.71"/>
  </r>
  <r>
    <n v="2000"/>
    <x v="992"/>
    <x v="1"/>
    <x v="22"/>
    <n v="-1"/>
    <n v="1966.21"/>
    <n v="-1966.21"/>
    <x v="1"/>
    <n v="-1966.21"/>
    <x v="320"/>
    <x v="3"/>
    <x v="0"/>
    <n v="2035.1"/>
  </r>
  <r>
    <n v="2001"/>
    <x v="993"/>
    <x v="5"/>
    <x v="12"/>
    <n v="1"/>
    <m/>
    <n v="0"/>
    <x v="1"/>
    <n v="0"/>
    <x v="4"/>
    <x v="2"/>
    <x v="0"/>
    <n v="1592.62"/>
  </r>
  <r>
    <n v="2002"/>
    <x v="994"/>
    <x v="4"/>
    <x v="4"/>
    <n v="2"/>
    <n v="1335.29"/>
    <n v="2670.58"/>
    <x v="1"/>
    <n v="2670.58"/>
    <x v="372"/>
    <x v="1"/>
    <x v="0"/>
    <n v="1372.9"/>
  </r>
  <r>
    <n v="2003"/>
    <x v="995"/>
    <x v="1"/>
    <x v="18"/>
    <n v="2"/>
    <n v="2910.84"/>
    <n v="5821.68"/>
    <x v="1"/>
    <n v="5821.68"/>
    <x v="253"/>
    <x v="1"/>
    <x v="0"/>
    <n v="-304.63"/>
  </r>
  <r>
    <n v="2004"/>
    <x v="996"/>
    <x v="1"/>
    <x v="15"/>
    <n v="-1"/>
    <m/>
    <n v="0"/>
    <x v="1"/>
    <n v="0"/>
    <x v="60"/>
    <x v="2"/>
    <x v="1"/>
    <n v="1452.85"/>
  </r>
  <r>
    <n v="2005"/>
    <x v="997"/>
    <x v="0"/>
    <x v="9"/>
    <n v="2"/>
    <m/>
    <n v="0"/>
    <x v="1"/>
    <n v="0"/>
    <x v="322"/>
    <x v="0"/>
    <x v="0"/>
    <n v="559.6"/>
  </r>
  <r>
    <n v="2006"/>
    <x v="998"/>
    <x v="3"/>
    <x v="23"/>
    <n v="2"/>
    <n v="1283.6199999999999"/>
    <n v="2567.2399999999998"/>
    <x v="1"/>
    <n v="2567.2399999999998"/>
    <x v="4"/>
    <x v="1"/>
    <x v="0"/>
    <n v="541.27"/>
  </r>
  <r>
    <n v="2007"/>
    <x v="999"/>
    <x v="1"/>
    <x v="22"/>
    <n v="3"/>
    <n v="3413.11"/>
    <n v="10239.33"/>
    <x v="55"/>
    <n v="1023.9329999999998"/>
    <x v="4"/>
    <x v="4"/>
    <x v="1"/>
    <n v="-440.8"/>
  </r>
  <r>
    <n v="2008"/>
    <x v="1000"/>
    <x v="5"/>
    <x v="11"/>
    <n v="3"/>
    <n v="1284.3599999999999"/>
    <n v="3853.08"/>
    <x v="1"/>
    <n v="3853.08"/>
    <x v="4"/>
    <x v="1"/>
    <x v="0"/>
    <n v="108.58"/>
  </r>
  <r>
    <n v="2009"/>
    <x v="1001"/>
    <x v="0"/>
    <x v="9"/>
    <n v="2"/>
    <n v="3385.59"/>
    <n v="6771.18"/>
    <x v="27"/>
    <n v="6635.7564000000002"/>
    <x v="320"/>
    <x v="3"/>
    <x v="1"/>
    <n v="-927.71"/>
  </r>
  <r>
    <n v="2010"/>
    <x v="1002"/>
    <x v="4"/>
    <x v="16"/>
    <n v="-1"/>
    <n v="3630.24"/>
    <n v="-3630.24"/>
    <x v="1"/>
    <n v="-3630.24"/>
    <x v="96"/>
    <x v="1"/>
    <x v="0"/>
    <n v="-194.42"/>
  </r>
  <r>
    <n v="2011"/>
    <x v="1003"/>
    <x v="2"/>
    <x v="13"/>
    <n v="1"/>
    <n v="3989.68"/>
    <n v="3989.68"/>
    <x v="1"/>
    <n v="3989.68"/>
    <x v="127"/>
    <x v="2"/>
    <x v="0"/>
    <n v="999.35"/>
  </r>
  <r>
    <n v="2012"/>
    <x v="1004"/>
    <x v="4"/>
    <x v="8"/>
    <n v="2"/>
    <n v="2674.79"/>
    <n v="5349.58"/>
    <x v="121"/>
    <n v="1069.9159999999997"/>
    <x v="136"/>
    <x v="1"/>
    <x v="0"/>
    <n v="537.29999999999995"/>
  </r>
  <r>
    <n v="2013"/>
    <x v="1005"/>
    <x v="2"/>
    <x v="10"/>
    <n v="2"/>
    <m/>
    <n v="0"/>
    <x v="1"/>
    <n v="0"/>
    <x v="342"/>
    <x v="2"/>
    <x v="0"/>
    <n v="644.41999999999996"/>
  </r>
  <r>
    <n v="2014"/>
    <x v="1006"/>
    <x v="1"/>
    <x v="22"/>
    <n v="2"/>
    <m/>
    <n v="0"/>
    <x v="1"/>
    <n v="0"/>
    <x v="4"/>
    <x v="0"/>
    <x v="0"/>
    <n v="763.62"/>
  </r>
  <r>
    <n v="2015"/>
    <x v="1007"/>
    <x v="5"/>
    <x v="6"/>
    <n v="2"/>
    <m/>
    <n v="0"/>
    <x v="1"/>
    <n v="0"/>
    <x v="14"/>
    <x v="0"/>
    <x v="1"/>
    <n v="182.23"/>
  </r>
  <r>
    <n v="2016"/>
    <x v="1008"/>
    <x v="2"/>
    <x v="17"/>
    <n v="-2"/>
    <n v="1435.85"/>
    <n v="-2871.7"/>
    <x v="1"/>
    <n v="-2871.7"/>
    <x v="407"/>
    <x v="4"/>
    <x v="1"/>
    <n v="317.58"/>
  </r>
  <r>
    <n v="2017"/>
    <x v="1009"/>
    <x v="0"/>
    <x v="20"/>
    <n v="2"/>
    <n v="3549.93"/>
    <n v="7099.86"/>
    <x v="1"/>
    <n v="7099.86"/>
    <x v="4"/>
    <x v="1"/>
    <x v="0"/>
    <n v="652.09"/>
  </r>
  <r>
    <n v="2018"/>
    <x v="1010"/>
    <x v="0"/>
    <x v="20"/>
    <n v="5"/>
    <m/>
    <n v="0"/>
    <x v="53"/>
    <n v="0"/>
    <x v="269"/>
    <x v="2"/>
    <x v="0"/>
    <n v="-730.39"/>
  </r>
  <r>
    <n v="2019"/>
    <x v="1011"/>
    <x v="0"/>
    <x v="9"/>
    <n v="2"/>
    <n v="1797.91"/>
    <n v="3595.82"/>
    <x v="1"/>
    <n v="3595.82"/>
    <x v="94"/>
    <x v="1"/>
    <x v="0"/>
    <n v="2132.08"/>
  </r>
  <r>
    <n v="2020"/>
    <x v="1012"/>
    <x v="0"/>
    <x v="9"/>
    <n v="-2"/>
    <n v="3954.73"/>
    <n v="-7909.46"/>
    <x v="118"/>
    <n v="-5536.6219999999994"/>
    <x v="196"/>
    <x v="3"/>
    <x v="0"/>
    <n v="-78.22"/>
  </r>
  <r>
    <n v="2021"/>
    <x v="1013"/>
    <x v="2"/>
    <x v="10"/>
    <n v="2"/>
    <n v="4178.18"/>
    <n v="8356.36"/>
    <x v="81"/>
    <n v="-2256.2172000000005"/>
    <x v="259"/>
    <x v="2"/>
    <x v="0"/>
    <n v="2952.52"/>
  </r>
  <r>
    <n v="2022"/>
    <x v="1014"/>
    <x v="2"/>
    <x v="2"/>
    <n v="2"/>
    <n v="3094.77"/>
    <n v="6189.54"/>
    <x v="1"/>
    <n v="6189.54"/>
    <x v="143"/>
    <x v="5"/>
    <x v="1"/>
    <n v="2340.79"/>
  </r>
  <r>
    <n v="2023"/>
    <x v="1015"/>
    <x v="2"/>
    <x v="17"/>
    <n v="3"/>
    <n v="618.17999999999995"/>
    <n v="1854.54"/>
    <x v="1"/>
    <n v="1854.54"/>
    <x v="4"/>
    <x v="1"/>
    <x v="0"/>
    <n v="404.9"/>
  </r>
  <r>
    <n v="2024"/>
    <x v="1016"/>
    <x v="5"/>
    <x v="6"/>
    <n v="4"/>
    <n v="4220.2"/>
    <n v="16880.8"/>
    <x v="1"/>
    <n v="16880.8"/>
    <x v="408"/>
    <x v="0"/>
    <x v="0"/>
    <n v="2488.92"/>
  </r>
  <r>
    <n v="2025"/>
    <x v="1017"/>
    <x v="3"/>
    <x v="21"/>
    <n v="4"/>
    <m/>
    <n v="0"/>
    <x v="1"/>
    <n v="0"/>
    <x v="307"/>
    <x v="0"/>
    <x v="1"/>
    <n v="1259.95"/>
  </r>
  <r>
    <n v="2026"/>
    <x v="1018"/>
    <x v="2"/>
    <x v="10"/>
    <n v="2"/>
    <m/>
    <n v="0"/>
    <x v="1"/>
    <n v="0"/>
    <x v="232"/>
    <x v="1"/>
    <x v="0"/>
    <n v="83.33"/>
  </r>
  <r>
    <n v="2027"/>
    <x v="1019"/>
    <x v="2"/>
    <x v="13"/>
    <n v="5"/>
    <n v="2734.95"/>
    <n v="13674.75"/>
    <x v="91"/>
    <n v="11350.0425"/>
    <x v="63"/>
    <x v="2"/>
    <x v="0"/>
    <n v="-657.03"/>
  </r>
  <r>
    <n v="2028"/>
    <x v="1020"/>
    <x v="1"/>
    <x v="22"/>
    <n v="2"/>
    <m/>
    <n v="0"/>
    <x v="1"/>
    <n v="0"/>
    <x v="220"/>
    <x v="3"/>
    <x v="1"/>
    <n v="2393.48"/>
  </r>
  <r>
    <n v="2029"/>
    <x v="1021"/>
    <x v="1"/>
    <x v="15"/>
    <n v="6"/>
    <m/>
    <n v="0"/>
    <x v="1"/>
    <n v="0"/>
    <x v="409"/>
    <x v="3"/>
    <x v="1"/>
    <n v="2374.9"/>
  </r>
  <r>
    <n v="2030"/>
    <x v="1022"/>
    <x v="5"/>
    <x v="12"/>
    <n v="1"/>
    <n v="1354.69"/>
    <n v="1354.69"/>
    <x v="1"/>
    <n v="1354.69"/>
    <x v="288"/>
    <x v="4"/>
    <x v="0"/>
    <n v="-710.56"/>
  </r>
  <r>
    <n v="2031"/>
    <x v="1023"/>
    <x v="5"/>
    <x v="11"/>
    <n v="2"/>
    <m/>
    <n v="0"/>
    <x v="1"/>
    <n v="0"/>
    <x v="141"/>
    <x v="0"/>
    <x v="0"/>
    <n v="2655.01"/>
  </r>
  <r>
    <n v="2032"/>
    <x v="1024"/>
    <x v="3"/>
    <x v="7"/>
    <n v="2"/>
    <n v="4910.91"/>
    <n v="9821.82"/>
    <x v="74"/>
    <n v="-1178.618400000001"/>
    <x v="259"/>
    <x v="4"/>
    <x v="1"/>
    <n v="1419.21"/>
  </r>
  <r>
    <n v="2033"/>
    <x v="1025"/>
    <x v="5"/>
    <x v="6"/>
    <n v="6"/>
    <m/>
    <n v="0"/>
    <x v="1"/>
    <n v="0"/>
    <x v="4"/>
    <x v="4"/>
    <x v="1"/>
    <n v="63.41"/>
  </r>
  <r>
    <n v="2034"/>
    <x v="1026"/>
    <x v="3"/>
    <x v="7"/>
    <n v="6"/>
    <n v="3080.12"/>
    <n v="18480.72"/>
    <x v="42"/>
    <n v="13675.732800000002"/>
    <x v="280"/>
    <x v="4"/>
    <x v="0"/>
    <n v="-678.89"/>
  </r>
  <r>
    <n v="2035"/>
    <x v="1027"/>
    <x v="5"/>
    <x v="11"/>
    <n v="0"/>
    <n v="2516.6"/>
    <n v="0"/>
    <x v="1"/>
    <n v="0"/>
    <x v="187"/>
    <x v="1"/>
    <x v="0"/>
    <n v="2860.05"/>
  </r>
  <r>
    <n v="2036"/>
    <x v="1028"/>
    <x v="4"/>
    <x v="16"/>
    <n v="-2"/>
    <m/>
    <n v="0"/>
    <x v="122"/>
    <n v="0"/>
    <x v="4"/>
    <x v="1"/>
    <x v="0"/>
    <n v="106.67"/>
  </r>
  <r>
    <n v="2037"/>
    <x v="1029"/>
    <x v="2"/>
    <x v="17"/>
    <n v="1"/>
    <n v="1120.52"/>
    <n v="1120.52"/>
    <x v="1"/>
    <n v="1120.52"/>
    <x v="41"/>
    <x v="4"/>
    <x v="1"/>
    <n v="-523.32000000000005"/>
  </r>
  <r>
    <n v="2038"/>
    <x v="1030"/>
    <x v="4"/>
    <x v="8"/>
    <n v="2"/>
    <m/>
    <n v="0"/>
    <x v="1"/>
    <n v="0"/>
    <x v="391"/>
    <x v="4"/>
    <x v="0"/>
    <n v="2548.6"/>
  </r>
  <r>
    <n v="2039"/>
    <x v="1031"/>
    <x v="1"/>
    <x v="1"/>
    <n v="2"/>
    <n v="1802.43"/>
    <n v="3604.86"/>
    <x v="1"/>
    <n v="3604.86"/>
    <x v="4"/>
    <x v="4"/>
    <x v="1"/>
    <n v="644.27"/>
  </r>
  <r>
    <n v="2040"/>
    <x v="1032"/>
    <x v="5"/>
    <x v="19"/>
    <n v="2"/>
    <m/>
    <n v="0"/>
    <x v="94"/>
    <n v="0"/>
    <x v="117"/>
    <x v="4"/>
    <x v="0"/>
    <n v="-838.24"/>
  </r>
  <r>
    <n v="2041"/>
    <x v="1033"/>
    <x v="5"/>
    <x v="19"/>
    <n v="2"/>
    <n v="854.8"/>
    <n v="1709.6"/>
    <x v="1"/>
    <n v="1709.6"/>
    <x v="410"/>
    <x v="0"/>
    <x v="0"/>
    <n v="400.41"/>
  </r>
  <r>
    <n v="2042"/>
    <x v="1034"/>
    <x v="4"/>
    <x v="14"/>
    <n v="3"/>
    <m/>
    <n v="0"/>
    <x v="1"/>
    <n v="0"/>
    <x v="4"/>
    <x v="2"/>
    <x v="0"/>
    <n v="80.86"/>
  </r>
  <r>
    <n v="2043"/>
    <x v="1035"/>
    <x v="4"/>
    <x v="4"/>
    <n v="2"/>
    <m/>
    <n v="0"/>
    <x v="123"/>
    <n v="0"/>
    <x v="251"/>
    <x v="3"/>
    <x v="0"/>
    <n v="647.80999999999995"/>
  </r>
  <r>
    <n v="2044"/>
    <x v="1036"/>
    <x v="3"/>
    <x v="3"/>
    <n v="2"/>
    <n v="2912.48"/>
    <n v="5824.96"/>
    <x v="84"/>
    <n v="3553.2255999999998"/>
    <x v="407"/>
    <x v="2"/>
    <x v="0"/>
    <n v="565.53"/>
  </r>
  <r>
    <n v="2045"/>
    <x v="1037"/>
    <x v="1"/>
    <x v="1"/>
    <n v="-1"/>
    <n v="473.68"/>
    <n v="-473.68"/>
    <x v="1"/>
    <n v="-473.68"/>
    <x v="4"/>
    <x v="4"/>
    <x v="0"/>
    <n v="-108.72"/>
  </r>
  <r>
    <n v="2046"/>
    <x v="1038"/>
    <x v="3"/>
    <x v="21"/>
    <n v="6"/>
    <m/>
    <n v="0"/>
    <x v="0"/>
    <n v="0"/>
    <x v="411"/>
    <x v="2"/>
    <x v="0"/>
    <n v="1657.74"/>
  </r>
  <r>
    <n v="2047"/>
    <x v="1039"/>
    <x v="0"/>
    <x v="5"/>
    <n v="2"/>
    <m/>
    <n v="0"/>
    <x v="1"/>
    <n v="0"/>
    <x v="412"/>
    <x v="2"/>
    <x v="0"/>
    <n v="238.33"/>
  </r>
  <r>
    <n v="2048"/>
    <x v="1040"/>
    <x v="2"/>
    <x v="13"/>
    <n v="2"/>
    <n v="1469.13"/>
    <n v="2938.26"/>
    <x v="112"/>
    <n v="2615.0514000000003"/>
    <x v="108"/>
    <x v="1"/>
    <x v="0"/>
    <n v="665.1"/>
  </r>
  <r>
    <n v="2049"/>
    <x v="1041"/>
    <x v="2"/>
    <x v="2"/>
    <n v="-1"/>
    <n v="2462.92"/>
    <n v="-2462.92"/>
    <x v="1"/>
    <n v="-2462.92"/>
    <x v="4"/>
    <x v="0"/>
    <x v="1"/>
    <n v="825.06"/>
  </r>
  <r>
    <n v="2050"/>
    <x v="1042"/>
    <x v="4"/>
    <x v="8"/>
    <n v="1"/>
    <n v="4234.28"/>
    <n v="4234.28"/>
    <x v="75"/>
    <n v="-127.0284000000001"/>
    <x v="413"/>
    <x v="2"/>
    <x v="1"/>
    <n v="2931.9"/>
  </r>
  <r>
    <n v="2051"/>
    <x v="1043"/>
    <x v="3"/>
    <x v="7"/>
    <n v="2"/>
    <n v="1234.27"/>
    <n v="2468.54"/>
    <x v="1"/>
    <n v="2468.54"/>
    <x v="414"/>
    <x v="5"/>
    <x v="1"/>
    <n v="-911.71"/>
  </r>
  <r>
    <n v="2052"/>
    <x v="1044"/>
    <x v="5"/>
    <x v="11"/>
    <n v="3"/>
    <n v="4971.74"/>
    <n v="14915.22"/>
    <x v="1"/>
    <n v="14915.22"/>
    <x v="415"/>
    <x v="3"/>
    <x v="0"/>
    <n v="1386.13"/>
  </r>
  <r>
    <n v="2053"/>
    <x v="1045"/>
    <x v="3"/>
    <x v="3"/>
    <n v="2"/>
    <m/>
    <n v="0"/>
    <x v="1"/>
    <n v="0"/>
    <x v="416"/>
    <x v="5"/>
    <x v="1"/>
    <n v="-940.51"/>
  </r>
  <r>
    <n v="2054"/>
    <x v="1046"/>
    <x v="0"/>
    <x v="5"/>
    <n v="1"/>
    <n v="1254.77"/>
    <n v="1254.77"/>
    <x v="4"/>
    <n v="476.81259999999997"/>
    <x v="4"/>
    <x v="4"/>
    <x v="1"/>
    <n v="2605.15"/>
  </r>
  <r>
    <n v="2055"/>
    <x v="1047"/>
    <x v="0"/>
    <x v="0"/>
    <n v="2"/>
    <n v="677.9"/>
    <n v="1355.8"/>
    <x v="6"/>
    <n v="1152.4299999999998"/>
    <x v="4"/>
    <x v="4"/>
    <x v="0"/>
    <n v="-503.02"/>
  </r>
  <r>
    <n v="2056"/>
    <x v="1048"/>
    <x v="5"/>
    <x v="12"/>
    <n v="0"/>
    <m/>
    <n v="0"/>
    <x v="5"/>
    <n v="0"/>
    <x v="379"/>
    <x v="1"/>
    <x v="1"/>
    <n v="2544.92"/>
  </r>
  <r>
    <n v="2057"/>
    <x v="1049"/>
    <x v="0"/>
    <x v="20"/>
    <n v="-1"/>
    <m/>
    <n v="0"/>
    <x v="1"/>
    <n v="0"/>
    <x v="226"/>
    <x v="2"/>
    <x v="1"/>
    <n v="17.96"/>
  </r>
  <r>
    <n v="2058"/>
    <x v="1050"/>
    <x v="4"/>
    <x v="14"/>
    <n v="6"/>
    <m/>
    <n v="0"/>
    <x v="1"/>
    <n v="0"/>
    <x v="363"/>
    <x v="1"/>
    <x v="1"/>
    <n v="-248.49"/>
  </r>
  <r>
    <n v="2059"/>
    <x v="1051"/>
    <x v="3"/>
    <x v="7"/>
    <n v="3"/>
    <n v="1193.03"/>
    <n v="3579.09"/>
    <x v="1"/>
    <n v="3579.09"/>
    <x v="28"/>
    <x v="2"/>
    <x v="1"/>
    <n v="-876.83"/>
  </r>
  <r>
    <n v="2060"/>
    <x v="1052"/>
    <x v="4"/>
    <x v="8"/>
    <n v="2"/>
    <n v="3725.58"/>
    <n v="7451.16"/>
    <x v="1"/>
    <n v="7451.16"/>
    <x v="34"/>
    <x v="5"/>
    <x v="0"/>
    <n v="2544.5500000000002"/>
  </r>
  <r>
    <n v="2061"/>
    <x v="1053"/>
    <x v="2"/>
    <x v="17"/>
    <n v="2"/>
    <n v="2077.8200000000002"/>
    <n v="4155.6400000000003"/>
    <x v="1"/>
    <n v="4155.6400000000003"/>
    <x v="357"/>
    <x v="5"/>
    <x v="0"/>
    <n v="2769.01"/>
  </r>
  <r>
    <n v="2062"/>
    <x v="1054"/>
    <x v="5"/>
    <x v="6"/>
    <n v="4"/>
    <n v="2975.64"/>
    <n v="11902.56"/>
    <x v="1"/>
    <n v="11902.56"/>
    <x v="337"/>
    <x v="4"/>
    <x v="0"/>
    <n v="-644.20000000000005"/>
  </r>
  <r>
    <n v="2063"/>
    <x v="1055"/>
    <x v="4"/>
    <x v="8"/>
    <n v="5"/>
    <m/>
    <n v="0"/>
    <x v="1"/>
    <n v="0"/>
    <x v="13"/>
    <x v="5"/>
    <x v="0"/>
    <n v="2549.09"/>
  </r>
  <r>
    <n v="2064"/>
    <x v="1056"/>
    <x v="3"/>
    <x v="7"/>
    <n v="2"/>
    <n v="702.86"/>
    <n v="1405.72"/>
    <x v="1"/>
    <n v="1405.72"/>
    <x v="226"/>
    <x v="5"/>
    <x v="0"/>
    <n v="577.70000000000005"/>
  </r>
  <r>
    <n v="2065"/>
    <x v="1057"/>
    <x v="4"/>
    <x v="4"/>
    <n v="4"/>
    <n v="3590.4"/>
    <n v="14361.6"/>
    <x v="1"/>
    <n v="14361.6"/>
    <x v="9"/>
    <x v="3"/>
    <x v="0"/>
    <n v="-86.57"/>
  </r>
  <r>
    <n v="2066"/>
    <x v="1058"/>
    <x v="0"/>
    <x v="9"/>
    <n v="0"/>
    <m/>
    <n v="0"/>
    <x v="1"/>
    <n v="0"/>
    <x v="4"/>
    <x v="2"/>
    <x v="0"/>
    <n v="2532.65"/>
  </r>
  <r>
    <n v="2067"/>
    <x v="506"/>
    <x v="5"/>
    <x v="12"/>
    <n v="2"/>
    <n v="2975.33"/>
    <n v="5950.66"/>
    <x v="1"/>
    <n v="5950.66"/>
    <x v="153"/>
    <x v="4"/>
    <x v="0"/>
    <n v="1035.45"/>
  </r>
  <r>
    <n v="2068"/>
    <x v="1059"/>
    <x v="2"/>
    <x v="13"/>
    <n v="2"/>
    <m/>
    <n v="0"/>
    <x v="111"/>
    <n v="0"/>
    <x v="417"/>
    <x v="0"/>
    <x v="0"/>
    <n v="999.95"/>
  </r>
  <r>
    <n v="2069"/>
    <x v="1060"/>
    <x v="4"/>
    <x v="16"/>
    <n v="2"/>
    <n v="3266.05"/>
    <n v="6532.1"/>
    <x v="1"/>
    <n v="6532.1"/>
    <x v="216"/>
    <x v="2"/>
    <x v="0"/>
    <n v="1188.8900000000001"/>
  </r>
  <r>
    <n v="2070"/>
    <x v="1061"/>
    <x v="3"/>
    <x v="7"/>
    <n v="-1"/>
    <m/>
    <n v="0"/>
    <x v="1"/>
    <n v="0"/>
    <x v="236"/>
    <x v="2"/>
    <x v="1"/>
    <n v="614.38"/>
  </r>
  <r>
    <n v="2071"/>
    <x v="1062"/>
    <x v="2"/>
    <x v="13"/>
    <n v="2"/>
    <m/>
    <n v="0"/>
    <x v="98"/>
    <n v="0"/>
    <x v="75"/>
    <x v="2"/>
    <x v="0"/>
    <n v="1522.69"/>
  </r>
  <r>
    <n v="2072"/>
    <x v="1063"/>
    <x v="5"/>
    <x v="6"/>
    <n v="2"/>
    <m/>
    <n v="0"/>
    <x v="1"/>
    <n v="0"/>
    <x v="78"/>
    <x v="4"/>
    <x v="0"/>
    <n v="-670.22"/>
  </r>
  <r>
    <n v="2073"/>
    <x v="1064"/>
    <x v="2"/>
    <x v="13"/>
    <n v="3"/>
    <n v="1596.02"/>
    <n v="4788.0599999999995"/>
    <x v="1"/>
    <n v="4788.0599999999995"/>
    <x v="4"/>
    <x v="1"/>
    <x v="0"/>
    <n v="-217.87"/>
  </r>
  <r>
    <n v="2074"/>
    <x v="1065"/>
    <x v="3"/>
    <x v="23"/>
    <n v="4"/>
    <m/>
    <n v="0"/>
    <x v="1"/>
    <n v="0"/>
    <x v="363"/>
    <x v="3"/>
    <x v="0"/>
    <n v="2628.09"/>
  </r>
  <r>
    <n v="2075"/>
    <x v="1066"/>
    <x v="1"/>
    <x v="1"/>
    <n v="0"/>
    <m/>
    <n v="0"/>
    <x v="1"/>
    <n v="0"/>
    <x v="4"/>
    <x v="3"/>
    <x v="1"/>
    <n v="1501.9"/>
  </r>
  <r>
    <n v="2076"/>
    <x v="1067"/>
    <x v="2"/>
    <x v="10"/>
    <n v="2"/>
    <n v="1151.07"/>
    <n v="2302.14"/>
    <x v="1"/>
    <n v="2302.14"/>
    <x v="418"/>
    <x v="3"/>
    <x v="1"/>
    <n v="854.02"/>
  </r>
  <r>
    <n v="2077"/>
    <x v="1068"/>
    <x v="4"/>
    <x v="8"/>
    <n v="2"/>
    <m/>
    <n v="0"/>
    <x v="1"/>
    <n v="0"/>
    <x v="4"/>
    <x v="5"/>
    <x v="0"/>
    <n v="1082.3599999999999"/>
  </r>
  <r>
    <n v="2078"/>
    <x v="1069"/>
    <x v="4"/>
    <x v="14"/>
    <n v="2"/>
    <n v="1760.85"/>
    <n v="3521.7"/>
    <x v="1"/>
    <n v="3521.7"/>
    <x v="305"/>
    <x v="5"/>
    <x v="0"/>
    <n v="-542.71"/>
  </r>
  <r>
    <n v="2079"/>
    <x v="1070"/>
    <x v="3"/>
    <x v="3"/>
    <n v="2"/>
    <n v="2778.14"/>
    <n v="5556.28"/>
    <x v="124"/>
    <n v="-1166.8187999999998"/>
    <x v="4"/>
    <x v="1"/>
    <x v="1"/>
    <n v="516.66"/>
  </r>
  <r>
    <n v="2080"/>
    <x v="1071"/>
    <x v="3"/>
    <x v="21"/>
    <n v="3"/>
    <n v="4672.3500000000004"/>
    <n v="14017.050000000001"/>
    <x v="1"/>
    <n v="14017.050000000001"/>
    <x v="4"/>
    <x v="0"/>
    <x v="1"/>
    <n v="991.5"/>
  </r>
  <r>
    <n v="2081"/>
    <x v="1072"/>
    <x v="4"/>
    <x v="4"/>
    <n v="2"/>
    <n v="2809.88"/>
    <n v="5619.76"/>
    <x v="1"/>
    <n v="5619.76"/>
    <x v="334"/>
    <x v="1"/>
    <x v="1"/>
    <n v="1063.07"/>
  </r>
  <r>
    <n v="2082"/>
    <x v="1073"/>
    <x v="1"/>
    <x v="22"/>
    <n v="5"/>
    <m/>
    <n v="0"/>
    <x v="23"/>
    <n v="0"/>
    <x v="419"/>
    <x v="2"/>
    <x v="0"/>
    <n v="-208.43"/>
  </r>
  <r>
    <n v="2083"/>
    <x v="1074"/>
    <x v="2"/>
    <x v="13"/>
    <n v="2"/>
    <n v="2105.7399999999998"/>
    <n v="4211.4799999999996"/>
    <x v="94"/>
    <n v="2779.5767999999994"/>
    <x v="59"/>
    <x v="0"/>
    <x v="0"/>
    <n v="-907.84"/>
  </r>
  <r>
    <n v="2084"/>
    <x v="1075"/>
    <x v="1"/>
    <x v="1"/>
    <n v="6"/>
    <n v="4068.82"/>
    <n v="24412.920000000002"/>
    <x v="1"/>
    <n v="24412.920000000002"/>
    <x v="307"/>
    <x v="1"/>
    <x v="1"/>
    <n v="719.55"/>
  </r>
  <r>
    <n v="2085"/>
    <x v="1076"/>
    <x v="1"/>
    <x v="18"/>
    <n v="2"/>
    <m/>
    <n v="0"/>
    <x v="1"/>
    <n v="0"/>
    <x v="420"/>
    <x v="4"/>
    <x v="0"/>
    <n v="212.87"/>
  </r>
  <r>
    <n v="1015"/>
    <x v="1077"/>
    <x v="4"/>
    <x v="14"/>
    <n v="2"/>
    <m/>
    <n v="0"/>
    <x v="1"/>
    <n v="0"/>
    <x v="4"/>
    <x v="5"/>
    <x v="0"/>
    <n v="2811.88"/>
  </r>
  <r>
    <n v="2087"/>
    <x v="1078"/>
    <x v="5"/>
    <x v="12"/>
    <n v="2"/>
    <n v="2610.84"/>
    <n v="5221.68"/>
    <x v="1"/>
    <n v="5221.68"/>
    <x v="416"/>
    <x v="3"/>
    <x v="0"/>
    <n v="-904.51"/>
  </r>
  <r>
    <n v="2088"/>
    <x v="1079"/>
    <x v="2"/>
    <x v="10"/>
    <n v="2"/>
    <m/>
    <n v="0"/>
    <x v="1"/>
    <n v="0"/>
    <x v="395"/>
    <x v="2"/>
    <x v="0"/>
    <n v="1353.01"/>
  </r>
  <r>
    <n v="2089"/>
    <x v="1080"/>
    <x v="3"/>
    <x v="23"/>
    <n v="2"/>
    <n v="1571.58"/>
    <n v="3143.16"/>
    <x v="64"/>
    <n v="-534.33719999999971"/>
    <x v="421"/>
    <x v="4"/>
    <x v="1"/>
    <n v="1195.3399999999999"/>
  </r>
  <r>
    <n v="2090"/>
    <x v="1081"/>
    <x v="3"/>
    <x v="23"/>
    <n v="2"/>
    <n v="940.71"/>
    <n v="1881.42"/>
    <x v="1"/>
    <n v="1881.42"/>
    <x v="422"/>
    <x v="0"/>
    <x v="0"/>
    <n v="1317.26"/>
  </r>
  <r>
    <n v="2091"/>
    <x v="1082"/>
    <x v="5"/>
    <x v="6"/>
    <n v="2"/>
    <n v="1323.61"/>
    <n v="2647.22"/>
    <x v="1"/>
    <n v="2647.22"/>
    <x v="276"/>
    <x v="0"/>
    <x v="0"/>
    <n v="-63.42"/>
  </r>
  <r>
    <n v="2092"/>
    <x v="1083"/>
    <x v="2"/>
    <x v="17"/>
    <n v="2"/>
    <n v="4459.2"/>
    <n v="8918.4"/>
    <x v="1"/>
    <n v="8918.4"/>
    <x v="124"/>
    <x v="0"/>
    <x v="0"/>
    <n v="1008.2"/>
  </r>
  <r>
    <n v="2093"/>
    <x v="1084"/>
    <x v="4"/>
    <x v="14"/>
    <n v="2"/>
    <n v="3163.95"/>
    <n v="6327.9"/>
    <x v="1"/>
    <n v="6327.9"/>
    <x v="423"/>
    <x v="2"/>
    <x v="0"/>
    <n v="1267.01"/>
  </r>
  <r>
    <n v="2094"/>
    <x v="1085"/>
    <x v="5"/>
    <x v="19"/>
    <n v="5"/>
    <m/>
    <n v="0"/>
    <x v="1"/>
    <n v="0"/>
    <x v="4"/>
    <x v="2"/>
    <x v="0"/>
    <n v="-769.25"/>
  </r>
  <r>
    <n v="2095"/>
    <x v="1086"/>
    <x v="4"/>
    <x v="14"/>
    <n v="2"/>
    <n v="3809.95"/>
    <n v="7619.9"/>
    <x v="14"/>
    <n v="-2209.7710000000002"/>
    <x v="424"/>
    <x v="3"/>
    <x v="1"/>
    <n v="1252.0999999999999"/>
  </r>
  <r>
    <n v="2096"/>
    <x v="1087"/>
    <x v="0"/>
    <x v="20"/>
    <n v="2"/>
    <n v="3906.15"/>
    <n v="7812.3"/>
    <x v="7"/>
    <n v="-1484.3369999999995"/>
    <x v="4"/>
    <x v="3"/>
    <x v="1"/>
    <n v="2500.02"/>
  </r>
  <r>
    <n v="2097"/>
    <x v="1088"/>
    <x v="4"/>
    <x v="14"/>
    <n v="3"/>
    <m/>
    <n v="0"/>
    <x v="46"/>
    <n v="0"/>
    <x v="404"/>
    <x v="2"/>
    <x v="0"/>
    <n v="2870.13"/>
  </r>
  <r>
    <n v="2098"/>
    <x v="1089"/>
    <x v="1"/>
    <x v="15"/>
    <n v="2"/>
    <n v="431.18"/>
    <n v="862.36"/>
    <x v="1"/>
    <n v="862.36"/>
    <x v="257"/>
    <x v="5"/>
    <x v="0"/>
    <n v="-183.75"/>
  </r>
  <r>
    <n v="2099"/>
    <x v="1090"/>
    <x v="4"/>
    <x v="4"/>
    <n v="2"/>
    <n v="1806.81"/>
    <n v="3613.62"/>
    <x v="9"/>
    <n v="-361.36200000000031"/>
    <x v="34"/>
    <x v="1"/>
    <x v="0"/>
    <n v="591.13"/>
  </r>
  <r>
    <n v="2100"/>
    <x v="1091"/>
    <x v="2"/>
    <x v="13"/>
    <n v="-1"/>
    <n v="1528.94"/>
    <n v="-1528.94"/>
    <x v="93"/>
    <n v="-504.55019999999996"/>
    <x v="369"/>
    <x v="0"/>
    <x v="1"/>
    <n v="2294.33"/>
  </r>
  <r>
    <n v="2101"/>
    <x v="1092"/>
    <x v="0"/>
    <x v="5"/>
    <n v="2"/>
    <n v="1020.85"/>
    <n v="2041.7"/>
    <x v="1"/>
    <n v="2041.7"/>
    <x v="146"/>
    <x v="1"/>
    <x v="1"/>
    <n v="-881.4"/>
  </r>
  <r>
    <n v="2102"/>
    <x v="1093"/>
    <x v="5"/>
    <x v="11"/>
    <n v="2"/>
    <n v="2581.29"/>
    <n v="5162.58"/>
    <x v="1"/>
    <n v="5162.58"/>
    <x v="199"/>
    <x v="4"/>
    <x v="1"/>
    <n v="2300.14"/>
  </r>
  <r>
    <n v="2103"/>
    <x v="1094"/>
    <x v="0"/>
    <x v="0"/>
    <n v="3"/>
    <m/>
    <n v="0"/>
    <x v="10"/>
    <n v="0"/>
    <x v="4"/>
    <x v="1"/>
    <x v="0"/>
    <n v="-244.29"/>
  </r>
  <r>
    <n v="2104"/>
    <x v="1095"/>
    <x v="4"/>
    <x v="16"/>
    <n v="2"/>
    <n v="2211.06"/>
    <n v="4422.12"/>
    <x v="42"/>
    <n v="3272.3687999999997"/>
    <x v="163"/>
    <x v="4"/>
    <x v="0"/>
    <n v="2143.54"/>
  </r>
  <r>
    <n v="2105"/>
    <x v="1096"/>
    <x v="2"/>
    <x v="13"/>
    <n v="-1"/>
    <n v="3643.63"/>
    <n v="-3643.63"/>
    <x v="17"/>
    <n v="-2951.3403000000003"/>
    <x v="425"/>
    <x v="2"/>
    <x v="0"/>
    <n v="375.4"/>
  </r>
  <r>
    <n v="2106"/>
    <x v="1097"/>
    <x v="5"/>
    <x v="12"/>
    <n v="4"/>
    <n v="4312.21"/>
    <n v="17248.84"/>
    <x v="1"/>
    <n v="17248.84"/>
    <x v="426"/>
    <x v="0"/>
    <x v="0"/>
    <n v="552.97"/>
  </r>
  <r>
    <n v="2107"/>
    <x v="1098"/>
    <x v="5"/>
    <x v="12"/>
    <n v="2"/>
    <n v="2686.05"/>
    <n v="5372.1"/>
    <x v="1"/>
    <n v="5372.1"/>
    <x v="63"/>
    <x v="4"/>
    <x v="0"/>
    <n v="2643.46"/>
  </r>
  <r>
    <n v="2108"/>
    <x v="1099"/>
    <x v="0"/>
    <x v="9"/>
    <n v="0"/>
    <n v="2538.3000000000002"/>
    <n v="0"/>
    <x v="1"/>
    <n v="0"/>
    <x v="270"/>
    <x v="2"/>
    <x v="1"/>
    <n v="-820.5"/>
  </r>
  <r>
    <n v="2109"/>
    <x v="1100"/>
    <x v="0"/>
    <x v="5"/>
    <n v="2"/>
    <n v="1901.86"/>
    <n v="3803.72"/>
    <x v="1"/>
    <n v="3803.72"/>
    <x v="4"/>
    <x v="5"/>
    <x v="0"/>
    <n v="-906.34"/>
  </r>
  <r>
    <n v="2110"/>
    <x v="1101"/>
    <x v="4"/>
    <x v="14"/>
    <n v="2"/>
    <m/>
    <n v="0"/>
    <x v="124"/>
    <n v="0"/>
    <x v="4"/>
    <x v="2"/>
    <x v="0"/>
    <n v="2891.52"/>
  </r>
  <r>
    <n v="2111"/>
    <x v="1102"/>
    <x v="2"/>
    <x v="17"/>
    <n v="2"/>
    <n v="1934.02"/>
    <n v="3868.04"/>
    <x v="1"/>
    <n v="3868.04"/>
    <x v="427"/>
    <x v="0"/>
    <x v="1"/>
    <n v="897.11"/>
  </r>
  <r>
    <n v="2112"/>
    <x v="1103"/>
    <x v="0"/>
    <x v="20"/>
    <n v="0"/>
    <n v="3248.14"/>
    <n v="0"/>
    <x v="21"/>
    <n v="0"/>
    <x v="4"/>
    <x v="5"/>
    <x v="1"/>
    <n v="1536.06"/>
  </r>
  <r>
    <n v="2113"/>
    <x v="1104"/>
    <x v="5"/>
    <x v="6"/>
    <n v="2"/>
    <m/>
    <n v="0"/>
    <x v="1"/>
    <n v="0"/>
    <x v="4"/>
    <x v="0"/>
    <x v="1"/>
    <n v="2500.56"/>
  </r>
  <r>
    <n v="2114"/>
    <x v="1105"/>
    <x v="5"/>
    <x v="11"/>
    <n v="2"/>
    <m/>
    <n v="0"/>
    <x v="1"/>
    <n v="0"/>
    <x v="92"/>
    <x v="2"/>
    <x v="0"/>
    <n v="1393.12"/>
  </r>
  <r>
    <n v="2115"/>
    <x v="1106"/>
    <x v="0"/>
    <x v="9"/>
    <n v="2"/>
    <m/>
    <n v="0"/>
    <x v="1"/>
    <n v="0"/>
    <x v="59"/>
    <x v="1"/>
    <x v="0"/>
    <n v="2100.4"/>
  </r>
  <r>
    <n v="2116"/>
    <x v="1107"/>
    <x v="3"/>
    <x v="23"/>
    <n v="2"/>
    <m/>
    <n v="0"/>
    <x v="1"/>
    <n v="0"/>
    <x v="428"/>
    <x v="1"/>
    <x v="1"/>
    <n v="87.1"/>
  </r>
  <r>
    <n v="2117"/>
    <x v="1108"/>
    <x v="5"/>
    <x v="11"/>
    <n v="2"/>
    <n v="4767.37"/>
    <n v="9534.74"/>
    <x v="1"/>
    <n v="9534.74"/>
    <x v="429"/>
    <x v="0"/>
    <x v="1"/>
    <n v="2319.14"/>
  </r>
  <r>
    <n v="2118"/>
    <x v="527"/>
    <x v="5"/>
    <x v="12"/>
    <n v="3"/>
    <n v="3952.46"/>
    <n v="11857.380000000001"/>
    <x v="83"/>
    <n v="2134.3284000000008"/>
    <x v="412"/>
    <x v="3"/>
    <x v="0"/>
    <n v="836.99"/>
  </r>
  <r>
    <n v="2119"/>
    <x v="1109"/>
    <x v="2"/>
    <x v="2"/>
    <n v="2"/>
    <n v="537.77"/>
    <n v="1075.54"/>
    <x v="67"/>
    <n v="1021.7629999999999"/>
    <x v="364"/>
    <x v="3"/>
    <x v="0"/>
    <n v="2205.16"/>
  </r>
  <r>
    <n v="2120"/>
    <x v="1110"/>
    <x v="3"/>
    <x v="21"/>
    <n v="2"/>
    <n v="3321.05"/>
    <n v="6642.1"/>
    <x v="65"/>
    <n v="-332.1050000000003"/>
    <x v="382"/>
    <x v="4"/>
    <x v="0"/>
    <n v="-196.89"/>
  </r>
  <r>
    <n v="2121"/>
    <x v="1111"/>
    <x v="0"/>
    <x v="5"/>
    <n v="2"/>
    <n v="1209.8"/>
    <n v="2419.6"/>
    <x v="1"/>
    <n v="2419.6"/>
    <x v="430"/>
    <x v="3"/>
    <x v="0"/>
    <n v="959.68"/>
  </r>
  <r>
    <n v="2122"/>
    <x v="1112"/>
    <x v="0"/>
    <x v="9"/>
    <n v="0"/>
    <m/>
    <n v="0"/>
    <x v="91"/>
    <n v="0"/>
    <x v="4"/>
    <x v="0"/>
    <x v="0"/>
    <n v="1823.39"/>
  </r>
  <r>
    <n v="2123"/>
    <x v="1113"/>
    <x v="1"/>
    <x v="15"/>
    <n v="2"/>
    <m/>
    <n v="0"/>
    <x v="65"/>
    <n v="0"/>
    <x v="257"/>
    <x v="0"/>
    <x v="0"/>
    <n v="36.15"/>
  </r>
  <r>
    <n v="2124"/>
    <x v="1114"/>
    <x v="4"/>
    <x v="16"/>
    <n v="2"/>
    <n v="3881.17"/>
    <n v="7762.34"/>
    <x v="1"/>
    <n v="7762.34"/>
    <x v="184"/>
    <x v="2"/>
    <x v="1"/>
    <n v="339.88"/>
  </r>
  <r>
    <n v="2125"/>
    <x v="1115"/>
    <x v="0"/>
    <x v="0"/>
    <n v="2"/>
    <m/>
    <n v="0"/>
    <x v="47"/>
    <n v="0"/>
    <x v="253"/>
    <x v="4"/>
    <x v="1"/>
    <n v="301.27999999999997"/>
  </r>
  <r>
    <n v="2126"/>
    <x v="1116"/>
    <x v="3"/>
    <x v="7"/>
    <n v="2"/>
    <n v="820.88"/>
    <n v="1641.76"/>
    <x v="86"/>
    <n v="1625.3424"/>
    <x v="4"/>
    <x v="1"/>
    <x v="0"/>
    <n v="597.78"/>
  </r>
  <r>
    <n v="2127"/>
    <x v="1117"/>
    <x v="3"/>
    <x v="7"/>
    <n v="6"/>
    <m/>
    <n v="0"/>
    <x v="8"/>
    <n v="0"/>
    <x v="4"/>
    <x v="0"/>
    <x v="1"/>
    <n v="2427.9499999999998"/>
  </r>
  <r>
    <n v="2128"/>
    <x v="1118"/>
    <x v="3"/>
    <x v="21"/>
    <n v="2"/>
    <m/>
    <n v="0"/>
    <x v="52"/>
    <n v="0"/>
    <x v="335"/>
    <x v="3"/>
    <x v="0"/>
    <n v="-237.66"/>
  </r>
  <r>
    <n v="1003"/>
    <x v="1119"/>
    <x v="1"/>
    <x v="1"/>
    <n v="2"/>
    <n v="1685.85"/>
    <n v="3371.7"/>
    <x v="1"/>
    <n v="3371.7"/>
    <x v="4"/>
    <x v="4"/>
    <x v="0"/>
    <n v="-298.61"/>
  </r>
  <r>
    <n v="2130"/>
    <x v="1120"/>
    <x v="1"/>
    <x v="15"/>
    <n v="2"/>
    <m/>
    <n v="0"/>
    <x v="125"/>
    <n v="0"/>
    <x v="180"/>
    <x v="5"/>
    <x v="0"/>
    <n v="1132.58"/>
  </r>
  <r>
    <n v="2131"/>
    <x v="1121"/>
    <x v="2"/>
    <x v="13"/>
    <n v="1"/>
    <m/>
    <n v="0"/>
    <x v="1"/>
    <n v="0"/>
    <x v="70"/>
    <x v="5"/>
    <x v="0"/>
    <n v="1004.43"/>
  </r>
  <r>
    <n v="2132"/>
    <x v="1122"/>
    <x v="0"/>
    <x v="0"/>
    <n v="4"/>
    <m/>
    <n v="0"/>
    <x v="1"/>
    <n v="0"/>
    <x v="300"/>
    <x v="2"/>
    <x v="1"/>
    <n v="680.91"/>
  </r>
  <r>
    <n v="2133"/>
    <x v="1123"/>
    <x v="4"/>
    <x v="14"/>
    <n v="5"/>
    <m/>
    <n v="0"/>
    <x v="1"/>
    <n v="0"/>
    <x v="4"/>
    <x v="5"/>
    <x v="1"/>
    <n v="1700.16"/>
  </r>
  <r>
    <n v="2134"/>
    <x v="1124"/>
    <x v="3"/>
    <x v="7"/>
    <n v="2"/>
    <m/>
    <n v="0"/>
    <x v="69"/>
    <n v="0"/>
    <x v="67"/>
    <x v="3"/>
    <x v="0"/>
    <n v="-986.66"/>
  </r>
  <r>
    <n v="2135"/>
    <x v="1125"/>
    <x v="5"/>
    <x v="6"/>
    <n v="2"/>
    <n v="857.22"/>
    <n v="1714.44"/>
    <x v="1"/>
    <n v="1714.44"/>
    <x v="431"/>
    <x v="0"/>
    <x v="1"/>
    <n v="-806.63"/>
  </r>
  <r>
    <n v="2136"/>
    <x v="1126"/>
    <x v="4"/>
    <x v="16"/>
    <n v="2"/>
    <m/>
    <n v="0"/>
    <x v="1"/>
    <n v="0"/>
    <x v="141"/>
    <x v="4"/>
    <x v="0"/>
    <n v="1627.8"/>
  </r>
  <r>
    <n v="2137"/>
    <x v="1127"/>
    <x v="4"/>
    <x v="14"/>
    <n v="2"/>
    <m/>
    <n v="0"/>
    <x v="100"/>
    <n v="0"/>
    <x v="140"/>
    <x v="5"/>
    <x v="0"/>
    <n v="1626.26"/>
  </r>
  <r>
    <n v="2138"/>
    <x v="1128"/>
    <x v="2"/>
    <x v="17"/>
    <n v="-2"/>
    <n v="2426.77"/>
    <n v="-4853.54"/>
    <x v="1"/>
    <n v="-4853.54"/>
    <x v="4"/>
    <x v="0"/>
    <x v="1"/>
    <n v="1446.08"/>
  </r>
  <r>
    <n v="1028"/>
    <x v="1129"/>
    <x v="3"/>
    <x v="3"/>
    <n v="2"/>
    <n v="4142.54"/>
    <n v="8285.08"/>
    <x v="1"/>
    <n v="8285.08"/>
    <x v="357"/>
    <x v="1"/>
    <x v="1"/>
    <n v="2453.9899999999998"/>
  </r>
  <r>
    <n v="2140"/>
    <x v="1130"/>
    <x v="2"/>
    <x v="2"/>
    <n v="2"/>
    <n v="2191.65"/>
    <n v="4383.3"/>
    <x v="1"/>
    <n v="4383.3"/>
    <x v="93"/>
    <x v="2"/>
    <x v="0"/>
    <n v="2424.2399999999998"/>
  </r>
  <r>
    <n v="2141"/>
    <x v="1131"/>
    <x v="1"/>
    <x v="22"/>
    <n v="2"/>
    <n v="1762.28"/>
    <n v="3524.56"/>
    <x v="1"/>
    <n v="3524.56"/>
    <x v="111"/>
    <x v="0"/>
    <x v="1"/>
    <n v="2590.56"/>
  </r>
  <r>
    <n v="2142"/>
    <x v="1132"/>
    <x v="5"/>
    <x v="12"/>
    <n v="0"/>
    <m/>
    <n v="0"/>
    <x v="1"/>
    <n v="0"/>
    <x v="432"/>
    <x v="3"/>
    <x v="0"/>
    <n v="-780.6"/>
  </r>
  <r>
    <n v="2143"/>
    <x v="1133"/>
    <x v="5"/>
    <x v="12"/>
    <n v="3"/>
    <n v="662.52"/>
    <n v="1987.56"/>
    <x v="78"/>
    <n v="79.502400000000065"/>
    <x v="94"/>
    <x v="3"/>
    <x v="1"/>
    <n v="2079.0700000000002"/>
  </r>
  <r>
    <n v="2144"/>
    <x v="1134"/>
    <x v="1"/>
    <x v="15"/>
    <n v="-1"/>
    <n v="906.82"/>
    <n v="-906.82"/>
    <x v="11"/>
    <n v="-72.545599999999965"/>
    <x v="63"/>
    <x v="1"/>
    <x v="0"/>
    <n v="2348.39"/>
  </r>
  <r>
    <n v="2145"/>
    <x v="1135"/>
    <x v="4"/>
    <x v="8"/>
    <n v="2"/>
    <n v="3981.39"/>
    <n v="7962.78"/>
    <x v="1"/>
    <n v="7962.78"/>
    <x v="27"/>
    <x v="5"/>
    <x v="0"/>
    <n v="1764.19"/>
  </r>
  <r>
    <n v="2146"/>
    <x v="1136"/>
    <x v="3"/>
    <x v="21"/>
    <n v="2"/>
    <m/>
    <n v="0"/>
    <x v="88"/>
    <n v="0"/>
    <x v="133"/>
    <x v="2"/>
    <x v="1"/>
    <n v="2062.9699999999998"/>
  </r>
  <r>
    <n v="2147"/>
    <x v="1137"/>
    <x v="5"/>
    <x v="19"/>
    <n v="2"/>
    <m/>
    <n v="0"/>
    <x v="2"/>
    <n v="0"/>
    <x v="433"/>
    <x v="1"/>
    <x v="0"/>
    <n v="2299.86"/>
  </r>
  <r>
    <n v="2148"/>
    <x v="1138"/>
    <x v="4"/>
    <x v="8"/>
    <n v="2"/>
    <m/>
    <n v="0"/>
    <x v="1"/>
    <n v="0"/>
    <x v="4"/>
    <x v="4"/>
    <x v="0"/>
    <n v="-771.3"/>
  </r>
  <r>
    <n v="2149"/>
    <x v="1139"/>
    <x v="1"/>
    <x v="22"/>
    <n v="2"/>
    <n v="2865.62"/>
    <n v="5731.24"/>
    <x v="121"/>
    <n v="1146.2479999999996"/>
    <x v="364"/>
    <x v="1"/>
    <x v="1"/>
    <n v="-660.8"/>
  </r>
  <r>
    <n v="1033"/>
    <x v="1140"/>
    <x v="4"/>
    <x v="4"/>
    <n v="2"/>
    <m/>
    <n v="0"/>
    <x v="1"/>
    <n v="0"/>
    <x v="286"/>
    <x v="0"/>
    <x v="0"/>
    <n v="-299.77999999999997"/>
  </r>
  <r>
    <n v="2151"/>
    <x v="1141"/>
    <x v="5"/>
    <x v="11"/>
    <n v="2"/>
    <n v="927.64"/>
    <n v="1855.28"/>
    <x v="1"/>
    <n v="1855.28"/>
    <x v="119"/>
    <x v="5"/>
    <x v="0"/>
    <n v="-742.69"/>
  </r>
  <r>
    <n v="2152"/>
    <x v="1142"/>
    <x v="2"/>
    <x v="2"/>
    <n v="0"/>
    <m/>
    <n v="0"/>
    <x v="1"/>
    <n v="0"/>
    <x v="4"/>
    <x v="1"/>
    <x v="1"/>
    <n v="-865.58"/>
  </r>
  <r>
    <n v="2153"/>
    <x v="639"/>
    <x v="1"/>
    <x v="22"/>
    <n v="0"/>
    <n v="3131.57"/>
    <n v="0"/>
    <x v="1"/>
    <n v="0"/>
    <x v="155"/>
    <x v="1"/>
    <x v="0"/>
    <n v="517.22"/>
  </r>
  <r>
    <n v="2154"/>
    <x v="1143"/>
    <x v="3"/>
    <x v="3"/>
    <n v="2"/>
    <m/>
    <n v="0"/>
    <x v="1"/>
    <n v="0"/>
    <x v="365"/>
    <x v="5"/>
    <x v="1"/>
    <n v="2141.81"/>
  </r>
  <r>
    <n v="2155"/>
    <x v="1144"/>
    <x v="4"/>
    <x v="16"/>
    <n v="-2"/>
    <m/>
    <n v="0"/>
    <x v="1"/>
    <n v="0"/>
    <x v="347"/>
    <x v="3"/>
    <x v="0"/>
    <n v="-972.74"/>
  </r>
  <r>
    <n v="2156"/>
    <x v="1145"/>
    <x v="2"/>
    <x v="13"/>
    <n v="2"/>
    <m/>
    <n v="0"/>
    <x v="1"/>
    <n v="0"/>
    <x v="4"/>
    <x v="1"/>
    <x v="0"/>
    <n v="1648.67"/>
  </r>
  <r>
    <n v="2157"/>
    <x v="1146"/>
    <x v="2"/>
    <x v="10"/>
    <n v="2"/>
    <n v="2830.24"/>
    <n v="5660.48"/>
    <x v="101"/>
    <n v="169.81440000000015"/>
    <x v="4"/>
    <x v="2"/>
    <x v="1"/>
    <n v="2612.9699999999998"/>
  </r>
  <r>
    <n v="2158"/>
    <x v="1147"/>
    <x v="2"/>
    <x v="10"/>
    <n v="2"/>
    <n v="3270.68"/>
    <n v="6541.36"/>
    <x v="1"/>
    <n v="6541.36"/>
    <x v="4"/>
    <x v="2"/>
    <x v="0"/>
    <n v="-437.06"/>
  </r>
  <r>
    <n v="2159"/>
    <x v="1148"/>
    <x v="5"/>
    <x v="6"/>
    <n v="2"/>
    <m/>
    <n v="0"/>
    <x v="1"/>
    <n v="0"/>
    <x v="149"/>
    <x v="2"/>
    <x v="1"/>
    <n v="-420.95"/>
  </r>
  <r>
    <n v="2160"/>
    <x v="1149"/>
    <x v="2"/>
    <x v="17"/>
    <n v="2"/>
    <n v="2119.66"/>
    <n v="4239.32"/>
    <x v="1"/>
    <n v="4239.32"/>
    <x v="158"/>
    <x v="5"/>
    <x v="0"/>
    <n v="-203.89"/>
  </r>
  <r>
    <n v="2161"/>
    <x v="1150"/>
    <x v="3"/>
    <x v="21"/>
    <n v="2"/>
    <n v="4376.41"/>
    <n v="8752.82"/>
    <x v="1"/>
    <n v="8752.82"/>
    <x v="425"/>
    <x v="2"/>
    <x v="0"/>
    <n v="1713.03"/>
  </r>
  <r>
    <n v="2162"/>
    <x v="1151"/>
    <x v="3"/>
    <x v="21"/>
    <n v="1"/>
    <m/>
    <n v="0"/>
    <x v="58"/>
    <n v="0"/>
    <x v="141"/>
    <x v="1"/>
    <x v="0"/>
    <n v="54.58"/>
  </r>
  <r>
    <n v="2163"/>
    <x v="1152"/>
    <x v="5"/>
    <x v="11"/>
    <n v="2"/>
    <m/>
    <n v="0"/>
    <x v="1"/>
    <n v="0"/>
    <x v="322"/>
    <x v="2"/>
    <x v="0"/>
    <n v="1205.3800000000001"/>
  </r>
  <r>
    <n v="2164"/>
    <x v="1153"/>
    <x v="1"/>
    <x v="1"/>
    <n v="2"/>
    <n v="1498.8"/>
    <n v="2997.6"/>
    <x v="1"/>
    <n v="2997.6"/>
    <x v="298"/>
    <x v="0"/>
    <x v="1"/>
    <n v="-548.47"/>
  </r>
  <r>
    <n v="2165"/>
    <x v="1154"/>
    <x v="2"/>
    <x v="13"/>
    <n v="2"/>
    <m/>
    <n v="0"/>
    <x v="1"/>
    <n v="0"/>
    <x v="208"/>
    <x v="5"/>
    <x v="1"/>
    <n v="-609.52"/>
  </r>
  <r>
    <n v="2166"/>
    <x v="1155"/>
    <x v="1"/>
    <x v="22"/>
    <n v="2"/>
    <m/>
    <n v="0"/>
    <x v="16"/>
    <n v="0"/>
    <x v="4"/>
    <x v="2"/>
    <x v="0"/>
    <n v="-845.69"/>
  </r>
  <r>
    <n v="2167"/>
    <x v="1156"/>
    <x v="5"/>
    <x v="6"/>
    <n v="2"/>
    <m/>
    <n v="0"/>
    <x v="74"/>
    <n v="0"/>
    <x v="4"/>
    <x v="2"/>
    <x v="0"/>
    <n v="-258.89"/>
  </r>
  <r>
    <n v="2168"/>
    <x v="1157"/>
    <x v="3"/>
    <x v="23"/>
    <n v="-1"/>
    <n v="4446.09"/>
    <n v="-4446.09"/>
    <x v="41"/>
    <n v="-2356.4277000000002"/>
    <x v="4"/>
    <x v="1"/>
    <x v="1"/>
    <n v="784.1"/>
  </r>
  <r>
    <n v="2169"/>
    <x v="1158"/>
    <x v="0"/>
    <x v="9"/>
    <n v="2"/>
    <m/>
    <n v="0"/>
    <x v="1"/>
    <n v="0"/>
    <x v="13"/>
    <x v="1"/>
    <x v="0"/>
    <n v="1870.24"/>
  </r>
  <r>
    <n v="2170"/>
    <x v="1159"/>
    <x v="3"/>
    <x v="3"/>
    <n v="2"/>
    <n v="826.11"/>
    <n v="1652.22"/>
    <x v="38"/>
    <n v="16.522200000000016"/>
    <x v="4"/>
    <x v="0"/>
    <x v="1"/>
    <n v="2666.62"/>
  </r>
  <r>
    <n v="2171"/>
    <x v="1160"/>
    <x v="4"/>
    <x v="14"/>
    <n v="2"/>
    <n v="630.28"/>
    <n v="1260.56"/>
    <x v="1"/>
    <n v="1260.56"/>
    <x v="243"/>
    <x v="0"/>
    <x v="1"/>
    <n v="2988.11"/>
  </r>
  <r>
    <n v="2172"/>
    <x v="1161"/>
    <x v="4"/>
    <x v="14"/>
    <n v="-1"/>
    <m/>
    <n v="0"/>
    <x v="16"/>
    <n v="0"/>
    <x v="4"/>
    <x v="0"/>
    <x v="0"/>
    <n v="2497.36"/>
  </r>
  <r>
    <n v="2173"/>
    <x v="1162"/>
    <x v="2"/>
    <x v="2"/>
    <n v="2"/>
    <n v="2679.07"/>
    <n v="5358.14"/>
    <x v="1"/>
    <n v="5358.14"/>
    <x v="4"/>
    <x v="2"/>
    <x v="0"/>
    <n v="2156.1"/>
  </r>
  <r>
    <n v="2174"/>
    <x v="1163"/>
    <x v="3"/>
    <x v="3"/>
    <n v="0"/>
    <n v="810.62"/>
    <n v="0"/>
    <x v="1"/>
    <n v="0"/>
    <x v="42"/>
    <x v="3"/>
    <x v="0"/>
    <n v="-69.8"/>
  </r>
  <r>
    <n v="2175"/>
    <x v="1164"/>
    <x v="2"/>
    <x v="2"/>
    <n v="2"/>
    <m/>
    <n v="0"/>
    <x v="1"/>
    <n v="0"/>
    <x v="434"/>
    <x v="4"/>
    <x v="0"/>
    <n v="1022.04"/>
  </r>
  <r>
    <n v="2176"/>
    <x v="1165"/>
    <x v="1"/>
    <x v="1"/>
    <n v="6"/>
    <n v="4954.67"/>
    <n v="29728.02"/>
    <x v="1"/>
    <n v="29728.02"/>
    <x v="44"/>
    <x v="4"/>
    <x v="0"/>
    <n v="2176.54"/>
  </r>
  <r>
    <n v="2177"/>
    <x v="1166"/>
    <x v="2"/>
    <x v="17"/>
    <n v="3"/>
    <m/>
    <n v="0"/>
    <x v="1"/>
    <n v="0"/>
    <x v="48"/>
    <x v="1"/>
    <x v="1"/>
    <n v="-723.01"/>
  </r>
  <r>
    <n v="2178"/>
    <x v="1167"/>
    <x v="2"/>
    <x v="10"/>
    <n v="0"/>
    <m/>
    <n v="0"/>
    <x v="106"/>
    <n v="0"/>
    <x v="4"/>
    <x v="3"/>
    <x v="0"/>
    <n v="2438.98"/>
  </r>
  <r>
    <n v="2179"/>
    <x v="1168"/>
    <x v="3"/>
    <x v="3"/>
    <n v="2"/>
    <n v="466.37"/>
    <n v="932.74"/>
    <x v="1"/>
    <n v="932.74"/>
    <x v="4"/>
    <x v="4"/>
    <x v="0"/>
    <n v="2807.92"/>
  </r>
  <r>
    <n v="2180"/>
    <x v="1169"/>
    <x v="2"/>
    <x v="2"/>
    <n v="6"/>
    <m/>
    <n v="0"/>
    <x v="22"/>
    <n v="0"/>
    <x v="175"/>
    <x v="0"/>
    <x v="0"/>
    <n v="28.77"/>
  </r>
  <r>
    <n v="2181"/>
    <x v="1170"/>
    <x v="4"/>
    <x v="16"/>
    <n v="0"/>
    <m/>
    <n v="0"/>
    <x v="1"/>
    <n v="0"/>
    <x v="217"/>
    <x v="2"/>
    <x v="1"/>
    <n v="-24.93"/>
  </r>
  <r>
    <n v="2182"/>
    <x v="1171"/>
    <x v="3"/>
    <x v="23"/>
    <n v="2"/>
    <m/>
    <n v="0"/>
    <x v="26"/>
    <n v="0"/>
    <x v="280"/>
    <x v="4"/>
    <x v="1"/>
    <n v="2192.44"/>
  </r>
  <r>
    <n v="2183"/>
    <x v="1172"/>
    <x v="0"/>
    <x v="5"/>
    <n v="-2"/>
    <n v="1332.39"/>
    <n v="-2664.78"/>
    <x v="43"/>
    <n v="239.83020000000022"/>
    <x v="128"/>
    <x v="3"/>
    <x v="0"/>
    <n v="707.79"/>
  </r>
  <r>
    <n v="2184"/>
    <x v="1173"/>
    <x v="2"/>
    <x v="10"/>
    <n v="2"/>
    <n v="1001.57"/>
    <n v="2003.14"/>
    <x v="1"/>
    <n v="2003.14"/>
    <x v="35"/>
    <x v="4"/>
    <x v="0"/>
    <n v="2285.61"/>
  </r>
  <r>
    <n v="2185"/>
    <x v="1174"/>
    <x v="1"/>
    <x v="18"/>
    <n v="2"/>
    <m/>
    <n v="0"/>
    <x v="50"/>
    <n v="0"/>
    <x v="4"/>
    <x v="5"/>
    <x v="0"/>
    <n v="-810.97"/>
  </r>
  <r>
    <n v="2186"/>
    <x v="1175"/>
    <x v="3"/>
    <x v="3"/>
    <n v="2"/>
    <n v="2036.71"/>
    <n v="4073.42"/>
    <x v="1"/>
    <n v="4073.42"/>
    <x v="4"/>
    <x v="0"/>
    <x v="1"/>
    <n v="1586.84"/>
  </r>
  <r>
    <n v="2187"/>
    <x v="1176"/>
    <x v="3"/>
    <x v="21"/>
    <n v="2"/>
    <n v="2709.1"/>
    <n v="5418.2"/>
    <x v="83"/>
    <n v="975.27600000000018"/>
    <x v="435"/>
    <x v="0"/>
    <x v="0"/>
    <n v="1386.25"/>
  </r>
  <r>
    <n v="2188"/>
    <x v="1177"/>
    <x v="4"/>
    <x v="8"/>
    <n v="2"/>
    <n v="3027.66"/>
    <n v="6055.32"/>
    <x v="124"/>
    <n v="-1271.6171999999997"/>
    <x v="246"/>
    <x v="1"/>
    <x v="1"/>
    <n v="1971.23"/>
  </r>
  <r>
    <n v="2189"/>
    <x v="1178"/>
    <x v="1"/>
    <x v="18"/>
    <n v="2"/>
    <n v="968.53"/>
    <n v="1937.06"/>
    <x v="118"/>
    <n v="1355.9419999999998"/>
    <x v="33"/>
    <x v="0"/>
    <x v="0"/>
    <n v="-39.14"/>
  </r>
  <r>
    <n v="2190"/>
    <x v="1179"/>
    <x v="0"/>
    <x v="5"/>
    <n v="3"/>
    <n v="3887.5"/>
    <n v="11662.5"/>
    <x v="1"/>
    <n v="11662.5"/>
    <x v="211"/>
    <x v="0"/>
    <x v="0"/>
    <n v="1787.25"/>
  </r>
  <r>
    <n v="2191"/>
    <x v="1180"/>
    <x v="1"/>
    <x v="22"/>
    <n v="2"/>
    <n v="2267.7199999999998"/>
    <n v="4535.4399999999996"/>
    <x v="1"/>
    <n v="4535.4399999999996"/>
    <x v="2"/>
    <x v="2"/>
    <x v="0"/>
    <n v="-459.62"/>
  </r>
  <r>
    <n v="2192"/>
    <x v="879"/>
    <x v="3"/>
    <x v="3"/>
    <n v="2"/>
    <n v="4218.96"/>
    <n v="8437.92"/>
    <x v="86"/>
    <n v="8353.5408000000007"/>
    <x v="436"/>
    <x v="5"/>
    <x v="1"/>
    <n v="1483.9"/>
  </r>
  <r>
    <n v="2193"/>
    <x v="1181"/>
    <x v="1"/>
    <x v="22"/>
    <n v="2"/>
    <n v="2712.09"/>
    <n v="5424.18"/>
    <x v="1"/>
    <n v="5424.18"/>
    <x v="9"/>
    <x v="4"/>
    <x v="0"/>
    <n v="2585.79"/>
  </r>
  <r>
    <n v="2194"/>
    <x v="1182"/>
    <x v="1"/>
    <x v="22"/>
    <n v="2"/>
    <n v="3862.58"/>
    <n v="7725.16"/>
    <x v="1"/>
    <n v="7725.16"/>
    <x v="97"/>
    <x v="1"/>
    <x v="1"/>
    <n v="794.8"/>
  </r>
  <r>
    <n v="2195"/>
    <x v="1183"/>
    <x v="2"/>
    <x v="17"/>
    <n v="4"/>
    <n v="3491.26"/>
    <n v="13965.04"/>
    <x v="1"/>
    <n v="13965.04"/>
    <x v="4"/>
    <x v="4"/>
    <x v="0"/>
    <n v="-165.48"/>
  </r>
  <r>
    <n v="2196"/>
    <x v="1184"/>
    <x v="5"/>
    <x v="6"/>
    <n v="2"/>
    <n v="3655.37"/>
    <n v="7310.74"/>
    <x v="1"/>
    <n v="7310.74"/>
    <x v="397"/>
    <x v="4"/>
    <x v="0"/>
    <n v="-844.23"/>
  </r>
  <r>
    <n v="2197"/>
    <x v="1185"/>
    <x v="5"/>
    <x v="19"/>
    <n v="2"/>
    <m/>
    <n v="0"/>
    <x v="1"/>
    <n v="0"/>
    <x v="158"/>
    <x v="1"/>
    <x v="0"/>
    <n v="24.78"/>
  </r>
  <r>
    <n v="1004"/>
    <x v="1186"/>
    <x v="2"/>
    <x v="2"/>
    <n v="2"/>
    <m/>
    <n v="0"/>
    <x v="46"/>
    <n v="0"/>
    <x v="351"/>
    <x v="5"/>
    <x v="0"/>
    <n v="968.3"/>
  </r>
  <r>
    <n v="2199"/>
    <x v="1187"/>
    <x v="4"/>
    <x v="4"/>
    <n v="6"/>
    <m/>
    <n v="0"/>
    <x v="1"/>
    <n v="0"/>
    <x v="437"/>
    <x v="4"/>
    <x v="1"/>
    <n v="595.51"/>
  </r>
  <r>
    <n v="2200"/>
    <x v="1188"/>
    <x v="4"/>
    <x v="8"/>
    <n v="-1"/>
    <n v="1346.11"/>
    <n v="-1346.11"/>
    <x v="122"/>
    <n v="-376.91079999999999"/>
    <x v="4"/>
    <x v="2"/>
    <x v="0"/>
    <n v="-763.62"/>
  </r>
  <r>
    <n v="2201"/>
    <x v="1189"/>
    <x v="5"/>
    <x v="12"/>
    <n v="-1"/>
    <m/>
    <n v="0"/>
    <x v="1"/>
    <n v="0"/>
    <x v="4"/>
    <x v="3"/>
    <x v="1"/>
    <n v="1897.16"/>
  </r>
  <r>
    <n v="2202"/>
    <x v="1190"/>
    <x v="0"/>
    <x v="9"/>
    <n v="2"/>
    <m/>
    <n v="0"/>
    <x v="11"/>
    <n v="0"/>
    <x v="438"/>
    <x v="1"/>
    <x v="0"/>
    <n v="2505.39"/>
  </r>
  <r>
    <n v="2203"/>
    <x v="1191"/>
    <x v="5"/>
    <x v="11"/>
    <n v="2"/>
    <n v="1611.02"/>
    <n v="3222.04"/>
    <x v="1"/>
    <n v="3222.04"/>
    <x v="179"/>
    <x v="5"/>
    <x v="0"/>
    <n v="2610.41"/>
  </r>
  <r>
    <n v="2204"/>
    <x v="1192"/>
    <x v="2"/>
    <x v="10"/>
    <n v="2"/>
    <m/>
    <n v="0"/>
    <x v="1"/>
    <n v="0"/>
    <x v="4"/>
    <x v="3"/>
    <x v="0"/>
    <n v="-875.95"/>
  </r>
  <r>
    <n v="2205"/>
    <x v="1193"/>
    <x v="4"/>
    <x v="16"/>
    <n v="-2"/>
    <m/>
    <n v="0"/>
    <x v="50"/>
    <n v="0"/>
    <x v="439"/>
    <x v="4"/>
    <x v="0"/>
    <n v="-512.13"/>
  </r>
  <r>
    <n v="2206"/>
    <x v="748"/>
    <x v="3"/>
    <x v="21"/>
    <n v="2"/>
    <n v="2349.3000000000002"/>
    <n v="4698.6000000000004"/>
    <x v="21"/>
    <n v="3852.8520000000008"/>
    <x v="202"/>
    <x v="0"/>
    <x v="0"/>
    <n v="2503.67"/>
  </r>
  <r>
    <n v="2207"/>
    <x v="1194"/>
    <x v="3"/>
    <x v="21"/>
    <n v="3"/>
    <n v="2146.0700000000002"/>
    <n v="6438.2100000000009"/>
    <x v="1"/>
    <n v="6438.2100000000009"/>
    <x v="4"/>
    <x v="5"/>
    <x v="0"/>
    <n v="199.99"/>
  </r>
  <r>
    <n v="2208"/>
    <x v="1195"/>
    <x v="3"/>
    <x v="7"/>
    <n v="2"/>
    <m/>
    <n v="0"/>
    <x v="1"/>
    <n v="0"/>
    <x v="241"/>
    <x v="5"/>
    <x v="0"/>
    <n v="2347.0500000000002"/>
  </r>
  <r>
    <n v="2209"/>
    <x v="1196"/>
    <x v="4"/>
    <x v="4"/>
    <n v="-2"/>
    <m/>
    <n v="0"/>
    <x v="104"/>
    <n v="0"/>
    <x v="4"/>
    <x v="5"/>
    <x v="1"/>
    <n v="2492.83"/>
  </r>
  <r>
    <n v="2210"/>
    <x v="1197"/>
    <x v="1"/>
    <x v="15"/>
    <n v="2"/>
    <n v="4368.12"/>
    <n v="8736.24"/>
    <x v="1"/>
    <n v="8736.24"/>
    <x v="74"/>
    <x v="0"/>
    <x v="0"/>
    <n v="2434.6"/>
  </r>
  <r>
    <n v="2211"/>
    <x v="1198"/>
    <x v="1"/>
    <x v="18"/>
    <n v="2"/>
    <m/>
    <n v="0"/>
    <x v="16"/>
    <n v="0"/>
    <x v="440"/>
    <x v="2"/>
    <x v="1"/>
    <n v="902.93"/>
  </r>
  <r>
    <n v="1031"/>
    <x v="1199"/>
    <x v="4"/>
    <x v="8"/>
    <n v="2"/>
    <m/>
    <n v="0"/>
    <x v="39"/>
    <n v="0"/>
    <x v="4"/>
    <x v="0"/>
    <x v="0"/>
    <n v="652.37"/>
  </r>
  <r>
    <n v="2213"/>
    <x v="1200"/>
    <x v="0"/>
    <x v="5"/>
    <n v="2"/>
    <n v="2543.9299999999998"/>
    <n v="5087.8599999999997"/>
    <x v="1"/>
    <n v="5087.8599999999997"/>
    <x v="110"/>
    <x v="1"/>
    <x v="0"/>
    <n v="2177.8200000000002"/>
  </r>
  <r>
    <n v="2214"/>
    <x v="1201"/>
    <x v="5"/>
    <x v="6"/>
    <n v="-1"/>
    <n v="4854.03"/>
    <n v="-4854.03"/>
    <x v="1"/>
    <n v="-4854.03"/>
    <x v="253"/>
    <x v="1"/>
    <x v="0"/>
    <n v="864.66"/>
  </r>
  <r>
    <n v="2215"/>
    <x v="1202"/>
    <x v="1"/>
    <x v="22"/>
    <n v="-2"/>
    <n v="442.41"/>
    <n v="-884.82"/>
    <x v="1"/>
    <n v="-884.82"/>
    <x v="4"/>
    <x v="0"/>
    <x v="0"/>
    <n v="1628.57"/>
  </r>
  <r>
    <n v="2216"/>
    <x v="1203"/>
    <x v="1"/>
    <x v="18"/>
    <n v="3"/>
    <m/>
    <n v="0"/>
    <x v="67"/>
    <n v="0"/>
    <x v="270"/>
    <x v="5"/>
    <x v="0"/>
    <n v="-823.2"/>
  </r>
  <r>
    <n v="2217"/>
    <x v="1204"/>
    <x v="0"/>
    <x v="20"/>
    <n v="2"/>
    <n v="1540.5"/>
    <n v="3081"/>
    <x v="1"/>
    <n v="3081"/>
    <x v="149"/>
    <x v="2"/>
    <x v="1"/>
    <n v="1385.44"/>
  </r>
  <r>
    <n v="2218"/>
    <x v="1205"/>
    <x v="0"/>
    <x v="20"/>
    <n v="2"/>
    <m/>
    <n v="0"/>
    <x v="1"/>
    <n v="0"/>
    <x v="94"/>
    <x v="4"/>
    <x v="1"/>
    <n v="2077.4899999999998"/>
  </r>
  <r>
    <n v="2219"/>
    <x v="1206"/>
    <x v="4"/>
    <x v="16"/>
    <n v="4"/>
    <n v="2403.9499999999998"/>
    <n v="9615.7999999999993"/>
    <x v="1"/>
    <n v="9615.7999999999993"/>
    <x v="85"/>
    <x v="2"/>
    <x v="0"/>
    <n v="858.23"/>
  </r>
  <r>
    <n v="2220"/>
    <x v="1207"/>
    <x v="3"/>
    <x v="3"/>
    <n v="-1"/>
    <n v="2170.71"/>
    <n v="-2170.71"/>
    <x v="39"/>
    <n v="-911.69820000000016"/>
    <x v="180"/>
    <x v="3"/>
    <x v="0"/>
    <n v="1689.68"/>
  </r>
  <r>
    <n v="2221"/>
    <x v="415"/>
    <x v="4"/>
    <x v="4"/>
    <n v="2"/>
    <n v="1762.23"/>
    <n v="3524.46"/>
    <x v="1"/>
    <n v="3524.46"/>
    <x v="273"/>
    <x v="3"/>
    <x v="0"/>
    <n v="-736.69"/>
  </r>
  <r>
    <n v="2222"/>
    <x v="1208"/>
    <x v="5"/>
    <x v="12"/>
    <n v="2"/>
    <n v="2161.8000000000002"/>
    <n v="4323.6000000000004"/>
    <x v="1"/>
    <n v="4323.6000000000004"/>
    <x v="4"/>
    <x v="1"/>
    <x v="1"/>
    <n v="1722.2"/>
  </r>
  <r>
    <n v="2223"/>
    <x v="1209"/>
    <x v="0"/>
    <x v="9"/>
    <n v="-1"/>
    <n v="3445.9"/>
    <n v="-3445.9"/>
    <x v="24"/>
    <n v="-654.72099999999989"/>
    <x v="332"/>
    <x v="2"/>
    <x v="1"/>
    <n v="2374.1799999999998"/>
  </r>
  <r>
    <n v="2224"/>
    <x v="1210"/>
    <x v="2"/>
    <x v="13"/>
    <n v="2"/>
    <m/>
    <n v="0"/>
    <x v="1"/>
    <n v="0"/>
    <x v="106"/>
    <x v="1"/>
    <x v="1"/>
    <n v="691.31"/>
  </r>
  <r>
    <n v="2225"/>
    <x v="1211"/>
    <x v="3"/>
    <x v="23"/>
    <n v="2"/>
    <m/>
    <n v="0"/>
    <x v="1"/>
    <n v="0"/>
    <x v="4"/>
    <x v="4"/>
    <x v="1"/>
    <n v="2362.63"/>
  </r>
  <r>
    <n v="2226"/>
    <x v="1212"/>
    <x v="4"/>
    <x v="16"/>
    <n v="2"/>
    <n v="4484.13"/>
    <n v="8968.26"/>
    <x v="109"/>
    <n v="1883.3345999999997"/>
    <x v="4"/>
    <x v="4"/>
    <x v="1"/>
    <n v="821.13"/>
  </r>
  <r>
    <n v="2227"/>
    <x v="1213"/>
    <x v="5"/>
    <x v="12"/>
    <n v="2"/>
    <m/>
    <n v="0"/>
    <x v="1"/>
    <n v="0"/>
    <x v="35"/>
    <x v="5"/>
    <x v="1"/>
    <n v="2766.36"/>
  </r>
  <r>
    <n v="2228"/>
    <x v="1214"/>
    <x v="3"/>
    <x v="7"/>
    <n v="2"/>
    <m/>
    <n v="0"/>
    <x v="47"/>
    <n v="0"/>
    <x v="64"/>
    <x v="4"/>
    <x v="0"/>
    <n v="-980.89"/>
  </r>
  <r>
    <n v="2229"/>
    <x v="1215"/>
    <x v="1"/>
    <x v="1"/>
    <n v="1"/>
    <m/>
    <n v="0"/>
    <x v="1"/>
    <n v="0"/>
    <x v="132"/>
    <x v="2"/>
    <x v="0"/>
    <n v="623.39"/>
  </r>
  <r>
    <n v="2230"/>
    <x v="1216"/>
    <x v="5"/>
    <x v="12"/>
    <n v="3"/>
    <n v="4524.6400000000003"/>
    <n v="13573.920000000002"/>
    <x v="43"/>
    <n v="-1221.6528000000012"/>
    <x v="183"/>
    <x v="5"/>
    <x v="0"/>
    <n v="1906"/>
  </r>
  <r>
    <n v="2231"/>
    <x v="1217"/>
    <x v="2"/>
    <x v="2"/>
    <n v="2"/>
    <m/>
    <n v="0"/>
    <x v="1"/>
    <n v="0"/>
    <x v="358"/>
    <x v="1"/>
    <x v="0"/>
    <n v="1342.52"/>
  </r>
  <r>
    <n v="2232"/>
    <x v="1218"/>
    <x v="5"/>
    <x v="6"/>
    <n v="2"/>
    <m/>
    <n v="0"/>
    <x v="1"/>
    <n v="0"/>
    <x v="441"/>
    <x v="0"/>
    <x v="1"/>
    <n v="2915.25"/>
  </r>
  <r>
    <n v="2233"/>
    <x v="1219"/>
    <x v="5"/>
    <x v="6"/>
    <n v="1"/>
    <n v="4604.8500000000004"/>
    <n v="4604.8500000000004"/>
    <x v="50"/>
    <n v="3960.1710000000003"/>
    <x v="427"/>
    <x v="4"/>
    <x v="0"/>
    <n v="-627.16999999999996"/>
  </r>
  <r>
    <n v="2234"/>
    <x v="1220"/>
    <x v="3"/>
    <x v="23"/>
    <n v="-2"/>
    <m/>
    <n v="0"/>
    <x v="1"/>
    <n v="0"/>
    <x v="442"/>
    <x v="2"/>
    <x v="0"/>
    <n v="-345.61"/>
  </r>
  <r>
    <n v="2235"/>
    <x v="1221"/>
    <x v="0"/>
    <x v="9"/>
    <n v="2"/>
    <m/>
    <n v="0"/>
    <x v="1"/>
    <n v="0"/>
    <x v="366"/>
    <x v="2"/>
    <x v="0"/>
    <n v="-758.81"/>
  </r>
  <r>
    <n v="2236"/>
    <x v="1222"/>
    <x v="2"/>
    <x v="13"/>
    <n v="2"/>
    <n v="2420.16"/>
    <n v="4840.32"/>
    <x v="1"/>
    <n v="4840.32"/>
    <x v="441"/>
    <x v="0"/>
    <x v="0"/>
    <n v="2707.96"/>
  </r>
  <r>
    <n v="2237"/>
    <x v="1223"/>
    <x v="5"/>
    <x v="6"/>
    <n v="1"/>
    <n v="2496.17"/>
    <n v="2496.17"/>
    <x v="44"/>
    <n v="-274.57870000000025"/>
    <x v="295"/>
    <x v="5"/>
    <x v="0"/>
    <n v="810.82"/>
  </r>
  <r>
    <n v="2238"/>
    <x v="1224"/>
    <x v="4"/>
    <x v="14"/>
    <n v="-1"/>
    <n v="4808.3500000000004"/>
    <n v="-4808.3500000000004"/>
    <x v="1"/>
    <n v="-4808.3500000000004"/>
    <x v="225"/>
    <x v="1"/>
    <x v="0"/>
    <n v="-282.61"/>
  </r>
  <r>
    <n v="2239"/>
    <x v="1225"/>
    <x v="3"/>
    <x v="21"/>
    <n v="2"/>
    <n v="3427.66"/>
    <n v="6855.32"/>
    <x v="1"/>
    <n v="6855.32"/>
    <x v="299"/>
    <x v="2"/>
    <x v="0"/>
    <n v="1441.3"/>
  </r>
  <r>
    <n v="2240"/>
    <x v="1226"/>
    <x v="4"/>
    <x v="8"/>
    <n v="2"/>
    <n v="4205.29"/>
    <n v="8410.58"/>
    <x v="1"/>
    <n v="8410.58"/>
    <x v="336"/>
    <x v="4"/>
    <x v="0"/>
    <n v="2223.0300000000002"/>
  </r>
  <r>
    <n v="2241"/>
    <x v="1227"/>
    <x v="4"/>
    <x v="8"/>
    <n v="2"/>
    <n v="1600.21"/>
    <n v="3200.42"/>
    <x v="1"/>
    <n v="3200.42"/>
    <x v="4"/>
    <x v="5"/>
    <x v="0"/>
    <n v="2933.71"/>
  </r>
  <r>
    <n v="2242"/>
    <x v="1228"/>
    <x v="2"/>
    <x v="2"/>
    <n v="6"/>
    <n v="4450.17"/>
    <n v="26701.02"/>
    <x v="1"/>
    <n v="26701.02"/>
    <x v="374"/>
    <x v="1"/>
    <x v="0"/>
    <n v="-96.55"/>
  </r>
  <r>
    <n v="2243"/>
    <x v="1229"/>
    <x v="3"/>
    <x v="23"/>
    <n v="2"/>
    <m/>
    <n v="0"/>
    <x v="1"/>
    <n v="0"/>
    <x v="198"/>
    <x v="1"/>
    <x v="0"/>
    <n v="773.71"/>
  </r>
  <r>
    <n v="2244"/>
    <x v="1230"/>
    <x v="5"/>
    <x v="11"/>
    <n v="3"/>
    <m/>
    <n v="0"/>
    <x v="4"/>
    <n v="0"/>
    <x v="237"/>
    <x v="3"/>
    <x v="0"/>
    <n v="-835.44"/>
  </r>
  <r>
    <n v="2245"/>
    <x v="1231"/>
    <x v="4"/>
    <x v="16"/>
    <n v="2"/>
    <m/>
    <n v="0"/>
    <x v="81"/>
    <n v="0"/>
    <x v="4"/>
    <x v="3"/>
    <x v="1"/>
    <n v="1929.41"/>
  </r>
  <r>
    <n v="2246"/>
    <x v="1232"/>
    <x v="2"/>
    <x v="13"/>
    <n v="2"/>
    <m/>
    <n v="0"/>
    <x v="120"/>
    <n v="0"/>
    <x v="443"/>
    <x v="5"/>
    <x v="0"/>
    <n v="311.56"/>
  </r>
  <r>
    <n v="2247"/>
    <x v="1233"/>
    <x v="5"/>
    <x v="12"/>
    <n v="2"/>
    <n v="2209.4899999999998"/>
    <n v="4418.9799999999996"/>
    <x v="1"/>
    <n v="4418.9799999999996"/>
    <x v="187"/>
    <x v="4"/>
    <x v="0"/>
    <n v="1944.57"/>
  </r>
  <r>
    <n v="2248"/>
    <x v="1234"/>
    <x v="0"/>
    <x v="9"/>
    <n v="2"/>
    <m/>
    <n v="0"/>
    <x v="1"/>
    <n v="0"/>
    <x v="41"/>
    <x v="4"/>
    <x v="0"/>
    <n v="-306.57"/>
  </r>
  <r>
    <n v="2249"/>
    <x v="1235"/>
    <x v="5"/>
    <x v="11"/>
    <n v="1"/>
    <m/>
    <n v="0"/>
    <x v="1"/>
    <n v="0"/>
    <x v="444"/>
    <x v="2"/>
    <x v="0"/>
    <n v="-132.08000000000001"/>
  </r>
  <r>
    <n v="2250"/>
    <x v="1236"/>
    <x v="1"/>
    <x v="1"/>
    <n v="2"/>
    <m/>
    <n v="0"/>
    <x v="64"/>
    <n v="0"/>
    <x v="4"/>
    <x v="2"/>
    <x v="0"/>
    <n v="2594.9"/>
  </r>
  <r>
    <n v="2251"/>
    <x v="1237"/>
    <x v="5"/>
    <x v="6"/>
    <n v="2"/>
    <n v="1438.68"/>
    <n v="2877.36"/>
    <x v="1"/>
    <n v="2877.36"/>
    <x v="357"/>
    <x v="1"/>
    <x v="0"/>
    <n v="2726.72"/>
  </r>
  <r>
    <n v="2252"/>
    <x v="1238"/>
    <x v="2"/>
    <x v="10"/>
    <n v="6"/>
    <n v="2755.37"/>
    <n v="16532.22"/>
    <x v="1"/>
    <n v="16532.22"/>
    <x v="365"/>
    <x v="0"/>
    <x v="0"/>
    <n v="613.59"/>
  </r>
  <r>
    <n v="2253"/>
    <x v="1239"/>
    <x v="1"/>
    <x v="22"/>
    <n v="0"/>
    <m/>
    <n v="0"/>
    <x v="1"/>
    <n v="0"/>
    <x v="39"/>
    <x v="3"/>
    <x v="1"/>
    <n v="716.99"/>
  </r>
  <r>
    <n v="2254"/>
    <x v="1240"/>
    <x v="4"/>
    <x v="14"/>
    <n v="2"/>
    <n v="4998.91"/>
    <n v="9997.82"/>
    <x v="1"/>
    <n v="9997.82"/>
    <x v="4"/>
    <x v="2"/>
    <x v="1"/>
    <n v="-396.07"/>
  </r>
  <r>
    <n v="2255"/>
    <x v="1241"/>
    <x v="3"/>
    <x v="3"/>
    <n v="-2"/>
    <n v="4478.08"/>
    <n v="-8956.16"/>
    <x v="1"/>
    <n v="-8956.16"/>
    <x v="80"/>
    <x v="5"/>
    <x v="0"/>
    <n v="2090.38"/>
  </r>
  <r>
    <n v="2256"/>
    <x v="1242"/>
    <x v="5"/>
    <x v="6"/>
    <n v="2"/>
    <n v="535.27"/>
    <n v="1070.54"/>
    <x v="1"/>
    <n v="1070.54"/>
    <x v="160"/>
    <x v="1"/>
    <x v="1"/>
    <n v="1787.52"/>
  </r>
  <r>
    <n v="2257"/>
    <x v="1243"/>
    <x v="5"/>
    <x v="19"/>
    <n v="2"/>
    <m/>
    <n v="0"/>
    <x v="1"/>
    <n v="0"/>
    <x v="208"/>
    <x v="2"/>
    <x v="0"/>
    <n v="980.52"/>
  </r>
  <r>
    <n v="2258"/>
    <x v="1244"/>
    <x v="2"/>
    <x v="17"/>
    <n v="2"/>
    <m/>
    <n v="0"/>
    <x v="1"/>
    <n v="0"/>
    <x v="180"/>
    <x v="3"/>
    <x v="0"/>
    <n v="1444.24"/>
  </r>
  <r>
    <n v="2259"/>
    <x v="1245"/>
    <x v="2"/>
    <x v="10"/>
    <n v="1"/>
    <n v="2854.4"/>
    <n v="2854.4"/>
    <x v="1"/>
    <n v="2854.4"/>
    <x v="188"/>
    <x v="3"/>
    <x v="0"/>
    <n v="542.9"/>
  </r>
  <r>
    <n v="2260"/>
    <x v="1246"/>
    <x v="0"/>
    <x v="20"/>
    <n v="-1"/>
    <m/>
    <n v="0"/>
    <x v="1"/>
    <n v="0"/>
    <x v="4"/>
    <x v="4"/>
    <x v="1"/>
    <n v="2697.38"/>
  </r>
  <r>
    <n v="1039"/>
    <x v="1247"/>
    <x v="4"/>
    <x v="4"/>
    <n v="2"/>
    <n v="633.23"/>
    <n v="1266.46"/>
    <x v="1"/>
    <n v="1266.46"/>
    <x v="230"/>
    <x v="2"/>
    <x v="0"/>
    <n v="232.2"/>
  </r>
  <r>
    <n v="2262"/>
    <x v="1248"/>
    <x v="5"/>
    <x v="11"/>
    <n v="2"/>
    <n v="2957.48"/>
    <n v="5914.96"/>
    <x v="1"/>
    <n v="5914.96"/>
    <x v="445"/>
    <x v="4"/>
    <x v="1"/>
    <n v="2744.25"/>
  </r>
  <r>
    <n v="2263"/>
    <x v="1249"/>
    <x v="2"/>
    <x v="17"/>
    <n v="2"/>
    <n v="4252.05"/>
    <n v="8504.1"/>
    <x v="1"/>
    <n v="8504.1"/>
    <x v="4"/>
    <x v="2"/>
    <x v="0"/>
    <n v="-396.3"/>
  </r>
  <r>
    <n v="2264"/>
    <x v="1250"/>
    <x v="0"/>
    <x v="9"/>
    <n v="2"/>
    <n v="3541.13"/>
    <n v="7082.26"/>
    <x v="19"/>
    <n v="-2124.6780000000003"/>
    <x v="4"/>
    <x v="4"/>
    <x v="1"/>
    <n v="1711.99"/>
  </r>
  <r>
    <n v="2265"/>
    <x v="1251"/>
    <x v="4"/>
    <x v="16"/>
    <n v="2"/>
    <m/>
    <n v="0"/>
    <x v="126"/>
    <n v="0"/>
    <x v="422"/>
    <x v="3"/>
    <x v="0"/>
    <n v="399.62"/>
  </r>
  <r>
    <n v="1036"/>
    <x v="1252"/>
    <x v="2"/>
    <x v="17"/>
    <n v="6"/>
    <n v="4437.4399999999996"/>
    <n v="26624.639999999999"/>
    <x v="1"/>
    <n v="26624.639999999999"/>
    <x v="230"/>
    <x v="5"/>
    <x v="0"/>
    <n v="493.76"/>
  </r>
  <r>
    <n v="2267"/>
    <x v="1253"/>
    <x v="5"/>
    <x v="6"/>
    <n v="2"/>
    <m/>
    <n v="0"/>
    <x v="1"/>
    <n v="0"/>
    <x v="4"/>
    <x v="3"/>
    <x v="0"/>
    <n v="1989.07"/>
  </r>
  <r>
    <n v="2268"/>
    <x v="1254"/>
    <x v="2"/>
    <x v="2"/>
    <n v="2"/>
    <n v="4300.05"/>
    <n v="8600.1"/>
    <x v="1"/>
    <n v="8600.1"/>
    <x v="446"/>
    <x v="3"/>
    <x v="1"/>
    <n v="-589.26"/>
  </r>
  <r>
    <n v="2269"/>
    <x v="1255"/>
    <x v="2"/>
    <x v="17"/>
    <n v="2"/>
    <m/>
    <n v="0"/>
    <x v="1"/>
    <n v="0"/>
    <x v="75"/>
    <x v="4"/>
    <x v="0"/>
    <n v="742.42"/>
  </r>
  <r>
    <n v="2270"/>
    <x v="1256"/>
    <x v="5"/>
    <x v="11"/>
    <n v="1"/>
    <n v="2710.56"/>
    <n v="2710.56"/>
    <x v="1"/>
    <n v="2710.56"/>
    <x v="256"/>
    <x v="0"/>
    <x v="0"/>
    <n v="2414.4699999999998"/>
  </r>
  <r>
    <n v="2271"/>
    <x v="1257"/>
    <x v="3"/>
    <x v="7"/>
    <n v="2"/>
    <m/>
    <n v="0"/>
    <x v="125"/>
    <n v="0"/>
    <x v="4"/>
    <x v="3"/>
    <x v="0"/>
    <n v="999.24"/>
  </r>
  <r>
    <n v="2272"/>
    <x v="1258"/>
    <x v="1"/>
    <x v="22"/>
    <n v="4"/>
    <n v="2540.1"/>
    <n v="10160.4"/>
    <x v="70"/>
    <n v="3149.7240000000006"/>
    <x v="129"/>
    <x v="2"/>
    <x v="0"/>
    <n v="733.06"/>
  </r>
  <r>
    <n v="2273"/>
    <x v="1259"/>
    <x v="0"/>
    <x v="20"/>
    <n v="6"/>
    <n v="3064.21"/>
    <n v="18385.260000000002"/>
    <x v="1"/>
    <n v="18385.260000000002"/>
    <x v="447"/>
    <x v="0"/>
    <x v="0"/>
    <n v="1569.81"/>
  </r>
  <r>
    <n v="2274"/>
    <x v="1260"/>
    <x v="5"/>
    <x v="12"/>
    <n v="2"/>
    <n v="4456.6499999999996"/>
    <n v="8913.2999999999993"/>
    <x v="1"/>
    <n v="8913.2999999999993"/>
    <x v="424"/>
    <x v="0"/>
    <x v="0"/>
    <n v="9.1"/>
  </r>
  <r>
    <n v="2275"/>
    <x v="1261"/>
    <x v="3"/>
    <x v="7"/>
    <n v="2"/>
    <n v="3899.04"/>
    <n v="7798.08"/>
    <x v="1"/>
    <n v="7798.08"/>
    <x v="448"/>
    <x v="1"/>
    <x v="0"/>
    <n v="2522.67"/>
  </r>
  <r>
    <n v="2276"/>
    <x v="1262"/>
    <x v="1"/>
    <x v="22"/>
    <n v="3"/>
    <m/>
    <n v="0"/>
    <x v="1"/>
    <n v="0"/>
    <x v="449"/>
    <x v="3"/>
    <x v="0"/>
    <n v="2089.34"/>
  </r>
  <r>
    <n v="2277"/>
    <x v="1263"/>
    <x v="0"/>
    <x v="5"/>
    <n v="3"/>
    <m/>
    <n v="0"/>
    <x v="1"/>
    <n v="0"/>
    <x v="341"/>
    <x v="2"/>
    <x v="0"/>
    <n v="2814.36"/>
  </r>
  <r>
    <n v="2278"/>
    <x v="1264"/>
    <x v="5"/>
    <x v="6"/>
    <n v="2"/>
    <m/>
    <n v="0"/>
    <x v="104"/>
    <n v="0"/>
    <x v="205"/>
    <x v="2"/>
    <x v="1"/>
    <n v="787.23"/>
  </r>
  <r>
    <n v="2279"/>
    <x v="1265"/>
    <x v="3"/>
    <x v="3"/>
    <n v="6"/>
    <n v="3294.21"/>
    <n v="19765.260000000002"/>
    <x v="106"/>
    <n v="2174.1786000000002"/>
    <x v="424"/>
    <x v="5"/>
    <x v="0"/>
    <n v="1874.46"/>
  </r>
  <r>
    <n v="2280"/>
    <x v="1266"/>
    <x v="4"/>
    <x v="4"/>
    <n v="2"/>
    <m/>
    <n v="0"/>
    <x v="23"/>
    <n v="0"/>
    <x v="243"/>
    <x v="1"/>
    <x v="0"/>
    <n v="-230.98"/>
  </r>
  <r>
    <n v="2281"/>
    <x v="1267"/>
    <x v="5"/>
    <x v="6"/>
    <n v="-1"/>
    <m/>
    <n v="0"/>
    <x v="1"/>
    <n v="0"/>
    <x v="4"/>
    <x v="5"/>
    <x v="0"/>
    <n v="-308.93"/>
  </r>
  <r>
    <n v="2282"/>
    <x v="1268"/>
    <x v="1"/>
    <x v="1"/>
    <n v="2"/>
    <n v="491.36"/>
    <n v="982.72"/>
    <x v="32"/>
    <n v="569.97760000000005"/>
    <x v="283"/>
    <x v="0"/>
    <x v="0"/>
    <n v="1231.3699999999999"/>
  </r>
  <r>
    <n v="2283"/>
    <x v="1269"/>
    <x v="1"/>
    <x v="18"/>
    <n v="6"/>
    <m/>
    <n v="0"/>
    <x v="8"/>
    <n v="0"/>
    <x v="69"/>
    <x v="3"/>
    <x v="0"/>
    <n v="2079.0100000000002"/>
  </r>
  <r>
    <n v="2284"/>
    <x v="1270"/>
    <x v="3"/>
    <x v="23"/>
    <n v="2"/>
    <n v="3736.2"/>
    <n v="7472.4"/>
    <x v="1"/>
    <n v="7472.4"/>
    <x v="138"/>
    <x v="0"/>
    <x v="0"/>
    <n v="-440.98"/>
  </r>
  <r>
    <n v="2285"/>
    <x v="1271"/>
    <x v="2"/>
    <x v="2"/>
    <n v="2"/>
    <n v="2287.67"/>
    <n v="4575.34"/>
    <x v="10"/>
    <n v="2013.1495999999997"/>
    <x v="450"/>
    <x v="4"/>
    <x v="1"/>
    <n v="-827.66"/>
  </r>
  <r>
    <n v="2286"/>
    <x v="1272"/>
    <x v="1"/>
    <x v="18"/>
    <n v="1"/>
    <m/>
    <n v="0"/>
    <x v="1"/>
    <n v="0"/>
    <x v="87"/>
    <x v="5"/>
    <x v="0"/>
    <n v="-810.33"/>
  </r>
  <r>
    <n v="2287"/>
    <x v="1273"/>
    <x v="2"/>
    <x v="2"/>
    <n v="4"/>
    <m/>
    <n v="0"/>
    <x v="1"/>
    <n v="0"/>
    <x v="4"/>
    <x v="3"/>
    <x v="1"/>
    <n v="715.96"/>
  </r>
  <r>
    <n v="2288"/>
    <x v="1274"/>
    <x v="5"/>
    <x v="12"/>
    <n v="4"/>
    <m/>
    <n v="0"/>
    <x v="1"/>
    <n v="0"/>
    <x v="4"/>
    <x v="3"/>
    <x v="0"/>
    <n v="1167.1600000000001"/>
  </r>
  <r>
    <n v="2289"/>
    <x v="1275"/>
    <x v="5"/>
    <x v="6"/>
    <n v="0"/>
    <n v="3407.2"/>
    <n v="0"/>
    <x v="1"/>
    <n v="0"/>
    <x v="4"/>
    <x v="1"/>
    <x v="0"/>
    <n v="2344.16"/>
  </r>
  <r>
    <n v="2290"/>
    <x v="1276"/>
    <x v="5"/>
    <x v="6"/>
    <n v="4"/>
    <n v="1405.39"/>
    <n v="5621.56"/>
    <x v="1"/>
    <n v="5621.56"/>
    <x v="451"/>
    <x v="3"/>
    <x v="0"/>
    <n v="712.37"/>
  </r>
  <r>
    <n v="2291"/>
    <x v="1277"/>
    <x v="5"/>
    <x v="19"/>
    <n v="4"/>
    <n v="3217.82"/>
    <n v="12871.28"/>
    <x v="1"/>
    <n v="12871.28"/>
    <x v="4"/>
    <x v="3"/>
    <x v="1"/>
    <n v="2909.8"/>
  </r>
  <r>
    <n v="2292"/>
    <x v="1278"/>
    <x v="5"/>
    <x v="19"/>
    <n v="2"/>
    <n v="3974.58"/>
    <n v="7949.16"/>
    <x v="1"/>
    <n v="7949.16"/>
    <x v="236"/>
    <x v="4"/>
    <x v="0"/>
    <n v="-0.12"/>
  </r>
  <r>
    <n v="2293"/>
    <x v="1279"/>
    <x v="2"/>
    <x v="2"/>
    <n v="2"/>
    <n v="3241.57"/>
    <n v="6483.14"/>
    <x v="1"/>
    <n v="6483.14"/>
    <x v="216"/>
    <x v="1"/>
    <x v="0"/>
    <n v="2518.36"/>
  </r>
  <r>
    <n v="2294"/>
    <x v="1280"/>
    <x v="5"/>
    <x v="11"/>
    <n v="-1"/>
    <m/>
    <n v="0"/>
    <x v="117"/>
    <n v="0"/>
    <x v="452"/>
    <x v="0"/>
    <x v="0"/>
    <n v="1019.45"/>
  </r>
  <r>
    <n v="2295"/>
    <x v="1281"/>
    <x v="2"/>
    <x v="10"/>
    <n v="2"/>
    <n v="3189.35"/>
    <n v="6378.7"/>
    <x v="1"/>
    <n v="6378.7"/>
    <x v="108"/>
    <x v="3"/>
    <x v="0"/>
    <n v="-683.11"/>
  </r>
  <r>
    <n v="1014"/>
    <x v="1282"/>
    <x v="4"/>
    <x v="16"/>
    <n v="6"/>
    <m/>
    <n v="0"/>
    <x v="69"/>
    <n v="0"/>
    <x v="321"/>
    <x v="5"/>
    <x v="0"/>
    <n v="-958.22"/>
  </r>
  <r>
    <n v="2297"/>
    <x v="1283"/>
    <x v="5"/>
    <x v="19"/>
    <n v="2"/>
    <m/>
    <n v="0"/>
    <x v="69"/>
    <n v="0"/>
    <x v="107"/>
    <x v="0"/>
    <x v="0"/>
    <n v="2879.59"/>
  </r>
  <r>
    <n v="2298"/>
    <x v="1284"/>
    <x v="4"/>
    <x v="16"/>
    <n v="2"/>
    <m/>
    <n v="0"/>
    <x v="1"/>
    <n v="0"/>
    <x v="232"/>
    <x v="1"/>
    <x v="0"/>
    <n v="-778.84"/>
  </r>
  <r>
    <n v="2299"/>
    <x v="1285"/>
    <x v="4"/>
    <x v="16"/>
    <n v="-2"/>
    <m/>
    <n v="0"/>
    <x v="81"/>
    <n v="0"/>
    <x v="87"/>
    <x v="2"/>
    <x v="0"/>
    <n v="2892.16"/>
  </r>
  <r>
    <n v="2300"/>
    <x v="1286"/>
    <x v="3"/>
    <x v="7"/>
    <n v="2"/>
    <m/>
    <n v="0"/>
    <x v="1"/>
    <n v="0"/>
    <x v="4"/>
    <x v="4"/>
    <x v="0"/>
    <n v="-59.16"/>
  </r>
  <r>
    <n v="2301"/>
    <x v="1287"/>
    <x v="5"/>
    <x v="11"/>
    <n v="2"/>
    <n v="3335.27"/>
    <n v="6670.54"/>
    <x v="20"/>
    <n v="-867.17019999999934"/>
    <x v="185"/>
    <x v="2"/>
    <x v="0"/>
    <n v="1415.8"/>
  </r>
  <r>
    <n v="2302"/>
    <x v="1288"/>
    <x v="5"/>
    <x v="19"/>
    <n v="1"/>
    <m/>
    <n v="0"/>
    <x v="1"/>
    <n v="0"/>
    <x v="4"/>
    <x v="1"/>
    <x v="0"/>
    <n v="1520.6"/>
  </r>
  <r>
    <n v="2303"/>
    <x v="1289"/>
    <x v="2"/>
    <x v="10"/>
    <n v="6"/>
    <n v="2201.87"/>
    <n v="13211.22"/>
    <x v="1"/>
    <n v="13211.22"/>
    <x v="4"/>
    <x v="4"/>
    <x v="0"/>
    <n v="1919.35"/>
  </r>
  <r>
    <n v="2304"/>
    <x v="1290"/>
    <x v="3"/>
    <x v="23"/>
    <n v="2"/>
    <m/>
    <n v="0"/>
    <x v="118"/>
    <n v="0"/>
    <x v="367"/>
    <x v="5"/>
    <x v="0"/>
    <n v="2013.34"/>
  </r>
  <r>
    <n v="2305"/>
    <x v="1291"/>
    <x v="1"/>
    <x v="15"/>
    <n v="2"/>
    <n v="3476.06"/>
    <n v="6952.12"/>
    <x v="1"/>
    <n v="6952.12"/>
    <x v="4"/>
    <x v="3"/>
    <x v="0"/>
    <n v="1379.32"/>
  </r>
  <r>
    <n v="2306"/>
    <x v="1292"/>
    <x v="2"/>
    <x v="17"/>
    <n v="-2"/>
    <m/>
    <n v="0"/>
    <x v="23"/>
    <n v="0"/>
    <x v="453"/>
    <x v="1"/>
    <x v="0"/>
    <n v="2166.71"/>
  </r>
  <r>
    <n v="2307"/>
    <x v="1293"/>
    <x v="2"/>
    <x v="17"/>
    <n v="2"/>
    <m/>
    <n v="0"/>
    <x v="1"/>
    <n v="0"/>
    <x v="454"/>
    <x v="5"/>
    <x v="0"/>
    <n v="1998.57"/>
  </r>
  <r>
    <n v="2308"/>
    <x v="1294"/>
    <x v="5"/>
    <x v="11"/>
    <n v="2"/>
    <n v="3978.48"/>
    <n v="7956.96"/>
    <x v="1"/>
    <n v="7956.96"/>
    <x v="93"/>
    <x v="0"/>
    <x v="0"/>
    <n v="929.92"/>
  </r>
  <r>
    <n v="2309"/>
    <x v="1295"/>
    <x v="0"/>
    <x v="5"/>
    <n v="1"/>
    <m/>
    <n v="0"/>
    <x v="1"/>
    <n v="0"/>
    <x v="4"/>
    <x v="0"/>
    <x v="1"/>
    <n v="-464.01"/>
  </r>
  <r>
    <n v="1003"/>
    <x v="1296"/>
    <x v="0"/>
    <x v="9"/>
    <n v="-1"/>
    <n v="4426.82"/>
    <n v="-4426.82"/>
    <x v="1"/>
    <n v="-4426.82"/>
    <x v="304"/>
    <x v="4"/>
    <x v="0"/>
    <n v="2095.4499999999998"/>
  </r>
  <r>
    <n v="1034"/>
    <x v="1297"/>
    <x v="1"/>
    <x v="22"/>
    <n v="2"/>
    <n v="3062.79"/>
    <n v="6125.58"/>
    <x v="1"/>
    <n v="6125.58"/>
    <x v="282"/>
    <x v="4"/>
    <x v="0"/>
    <n v="1135.53"/>
  </r>
  <r>
    <n v="2312"/>
    <x v="1298"/>
    <x v="0"/>
    <x v="9"/>
    <n v="2"/>
    <n v="2688.08"/>
    <n v="5376.16"/>
    <x v="1"/>
    <n v="5376.16"/>
    <x v="370"/>
    <x v="5"/>
    <x v="1"/>
    <n v="1913.21"/>
  </r>
  <r>
    <n v="2313"/>
    <x v="1299"/>
    <x v="5"/>
    <x v="6"/>
    <n v="2"/>
    <n v="2440.38"/>
    <n v="4880.76"/>
    <x v="1"/>
    <n v="4880.76"/>
    <x v="455"/>
    <x v="3"/>
    <x v="1"/>
    <n v="-899.53"/>
  </r>
  <r>
    <n v="2314"/>
    <x v="1300"/>
    <x v="3"/>
    <x v="21"/>
    <n v="2"/>
    <m/>
    <n v="0"/>
    <x v="1"/>
    <n v="0"/>
    <x v="73"/>
    <x v="5"/>
    <x v="1"/>
    <n v="949.17"/>
  </r>
  <r>
    <n v="2315"/>
    <x v="1301"/>
    <x v="5"/>
    <x v="6"/>
    <n v="1"/>
    <m/>
    <n v="0"/>
    <x v="1"/>
    <n v="0"/>
    <x v="59"/>
    <x v="5"/>
    <x v="1"/>
    <n v="261.63"/>
  </r>
  <r>
    <n v="2316"/>
    <x v="1302"/>
    <x v="0"/>
    <x v="20"/>
    <n v="4"/>
    <n v="1529.48"/>
    <n v="6117.92"/>
    <x v="1"/>
    <n v="6117.92"/>
    <x v="456"/>
    <x v="2"/>
    <x v="0"/>
    <n v="1325.56"/>
  </r>
  <r>
    <n v="2317"/>
    <x v="1303"/>
    <x v="2"/>
    <x v="17"/>
    <n v="2"/>
    <n v="1005.41"/>
    <n v="2010.82"/>
    <x v="1"/>
    <n v="2010.82"/>
    <x v="198"/>
    <x v="0"/>
    <x v="0"/>
    <n v="566.17999999999995"/>
  </r>
  <r>
    <n v="2318"/>
    <x v="1304"/>
    <x v="4"/>
    <x v="4"/>
    <n v="2"/>
    <m/>
    <n v="0"/>
    <x v="1"/>
    <n v="0"/>
    <x v="457"/>
    <x v="4"/>
    <x v="0"/>
    <n v="1145.48"/>
  </r>
  <r>
    <n v="2319"/>
    <x v="1305"/>
    <x v="5"/>
    <x v="12"/>
    <n v="2"/>
    <n v="881.41"/>
    <n v="1762.82"/>
    <x v="127"/>
    <n v="-387.82039999999995"/>
    <x v="4"/>
    <x v="5"/>
    <x v="0"/>
    <n v="1541.77"/>
  </r>
  <r>
    <n v="2320"/>
    <x v="1306"/>
    <x v="0"/>
    <x v="9"/>
    <n v="2"/>
    <m/>
    <n v="0"/>
    <x v="81"/>
    <n v="0"/>
    <x v="362"/>
    <x v="4"/>
    <x v="0"/>
    <n v="1960.76"/>
  </r>
  <r>
    <n v="2321"/>
    <x v="1307"/>
    <x v="2"/>
    <x v="10"/>
    <n v="2"/>
    <m/>
    <n v="0"/>
    <x v="1"/>
    <n v="0"/>
    <x v="177"/>
    <x v="5"/>
    <x v="1"/>
    <n v="1864.22"/>
  </r>
  <r>
    <n v="2322"/>
    <x v="1308"/>
    <x v="4"/>
    <x v="4"/>
    <n v="2"/>
    <m/>
    <n v="0"/>
    <x v="98"/>
    <n v="0"/>
    <x v="4"/>
    <x v="5"/>
    <x v="0"/>
    <n v="195.27"/>
  </r>
  <r>
    <n v="2323"/>
    <x v="1309"/>
    <x v="0"/>
    <x v="9"/>
    <n v="2"/>
    <m/>
    <n v="0"/>
    <x v="1"/>
    <n v="0"/>
    <x v="175"/>
    <x v="5"/>
    <x v="0"/>
    <n v="2903.66"/>
  </r>
  <r>
    <n v="1025"/>
    <x v="1310"/>
    <x v="4"/>
    <x v="8"/>
    <n v="2"/>
    <m/>
    <n v="0"/>
    <x v="1"/>
    <n v="0"/>
    <x v="4"/>
    <x v="0"/>
    <x v="1"/>
    <n v="-973.7"/>
  </r>
  <r>
    <n v="2325"/>
    <x v="1311"/>
    <x v="5"/>
    <x v="19"/>
    <n v="1"/>
    <m/>
    <n v="0"/>
    <x v="7"/>
    <n v="0"/>
    <x v="4"/>
    <x v="3"/>
    <x v="1"/>
    <n v="1634.79"/>
  </r>
  <r>
    <n v="2326"/>
    <x v="1312"/>
    <x v="2"/>
    <x v="10"/>
    <n v="2"/>
    <n v="1718.14"/>
    <n v="3436.28"/>
    <x v="1"/>
    <n v="3436.28"/>
    <x v="422"/>
    <x v="1"/>
    <x v="1"/>
    <n v="1309.05"/>
  </r>
  <r>
    <n v="2327"/>
    <x v="1313"/>
    <x v="2"/>
    <x v="13"/>
    <n v="-2"/>
    <m/>
    <n v="0"/>
    <x v="56"/>
    <n v="0"/>
    <x v="311"/>
    <x v="5"/>
    <x v="0"/>
    <n v="-357.33"/>
  </r>
  <r>
    <n v="2328"/>
    <x v="1314"/>
    <x v="0"/>
    <x v="5"/>
    <n v="2"/>
    <m/>
    <n v="0"/>
    <x v="1"/>
    <n v="0"/>
    <x v="4"/>
    <x v="2"/>
    <x v="0"/>
    <n v="1385.5"/>
  </r>
  <r>
    <n v="1024"/>
    <x v="1315"/>
    <x v="0"/>
    <x v="9"/>
    <n v="2"/>
    <n v="1580.59"/>
    <n v="3161.18"/>
    <x v="52"/>
    <n v="2908.2856000000002"/>
    <x v="80"/>
    <x v="0"/>
    <x v="1"/>
    <n v="1786.82"/>
  </r>
  <r>
    <n v="2330"/>
    <x v="1316"/>
    <x v="2"/>
    <x v="17"/>
    <n v="6"/>
    <m/>
    <n v="0"/>
    <x v="26"/>
    <n v="0"/>
    <x v="4"/>
    <x v="5"/>
    <x v="0"/>
    <n v="-44.8"/>
  </r>
  <r>
    <n v="2331"/>
    <x v="1317"/>
    <x v="5"/>
    <x v="6"/>
    <n v="-2"/>
    <n v="2967.49"/>
    <n v="-5934.98"/>
    <x v="1"/>
    <n v="-5934.98"/>
    <x v="276"/>
    <x v="5"/>
    <x v="0"/>
    <n v="1890.42"/>
  </r>
  <r>
    <n v="2332"/>
    <x v="1318"/>
    <x v="1"/>
    <x v="22"/>
    <n v="2"/>
    <n v="4066.97"/>
    <n v="8133.94"/>
    <x v="34"/>
    <n v="3334.9153999999999"/>
    <x v="183"/>
    <x v="2"/>
    <x v="0"/>
    <n v="977.09"/>
  </r>
  <r>
    <n v="2333"/>
    <x v="1319"/>
    <x v="5"/>
    <x v="6"/>
    <n v="2"/>
    <m/>
    <n v="0"/>
    <x v="1"/>
    <n v="0"/>
    <x v="458"/>
    <x v="1"/>
    <x v="0"/>
    <n v="761.35"/>
  </r>
  <r>
    <n v="2334"/>
    <x v="1320"/>
    <x v="0"/>
    <x v="20"/>
    <n v="2"/>
    <n v="2295.4899999999998"/>
    <n v="4590.9799999999996"/>
    <x v="1"/>
    <n v="4590.9799999999996"/>
    <x v="4"/>
    <x v="5"/>
    <x v="0"/>
    <n v="2846.96"/>
  </r>
  <r>
    <n v="2335"/>
    <x v="1321"/>
    <x v="3"/>
    <x v="23"/>
    <n v="1"/>
    <n v="3508.21"/>
    <n v="3508.21"/>
    <x v="4"/>
    <n v="1333.1197999999999"/>
    <x v="459"/>
    <x v="3"/>
    <x v="1"/>
    <n v="-309.14999999999998"/>
  </r>
  <r>
    <n v="2336"/>
    <x v="1322"/>
    <x v="1"/>
    <x v="22"/>
    <n v="4"/>
    <m/>
    <n v="0"/>
    <x v="1"/>
    <n v="0"/>
    <x v="13"/>
    <x v="1"/>
    <x v="0"/>
    <n v="1339.62"/>
  </r>
  <r>
    <n v="2337"/>
    <x v="1323"/>
    <x v="0"/>
    <x v="5"/>
    <n v="0"/>
    <n v="1295.44"/>
    <n v="0"/>
    <x v="1"/>
    <n v="0"/>
    <x v="209"/>
    <x v="1"/>
    <x v="0"/>
    <n v="1552.41"/>
  </r>
  <r>
    <n v="2338"/>
    <x v="1324"/>
    <x v="5"/>
    <x v="12"/>
    <n v="5"/>
    <n v="1378.76"/>
    <n v="6893.8"/>
    <x v="17"/>
    <n v="5583.9780000000001"/>
    <x v="460"/>
    <x v="2"/>
    <x v="1"/>
    <n v="2284.9699999999998"/>
  </r>
  <r>
    <n v="2339"/>
    <x v="1325"/>
    <x v="0"/>
    <x v="20"/>
    <n v="1"/>
    <n v="1289.24"/>
    <n v="1289.24"/>
    <x v="1"/>
    <n v="1289.24"/>
    <x v="135"/>
    <x v="2"/>
    <x v="1"/>
    <n v="555.48"/>
  </r>
  <r>
    <n v="2340"/>
    <x v="1326"/>
    <x v="2"/>
    <x v="13"/>
    <n v="-2"/>
    <m/>
    <n v="0"/>
    <x v="1"/>
    <n v="0"/>
    <x v="4"/>
    <x v="4"/>
    <x v="1"/>
    <n v="345.45"/>
  </r>
  <r>
    <n v="2341"/>
    <x v="1327"/>
    <x v="4"/>
    <x v="14"/>
    <n v="2"/>
    <m/>
    <n v="0"/>
    <x v="34"/>
    <n v="0"/>
    <x v="22"/>
    <x v="1"/>
    <x v="0"/>
    <n v="259.57"/>
  </r>
  <r>
    <n v="2342"/>
    <x v="1328"/>
    <x v="4"/>
    <x v="8"/>
    <n v="2"/>
    <n v="1042.4100000000001"/>
    <n v="2084.8200000000002"/>
    <x v="1"/>
    <n v="2084.8200000000002"/>
    <x v="461"/>
    <x v="1"/>
    <x v="0"/>
    <n v="2778.49"/>
  </r>
  <r>
    <n v="2343"/>
    <x v="1329"/>
    <x v="0"/>
    <x v="0"/>
    <n v="2"/>
    <m/>
    <n v="0"/>
    <x v="1"/>
    <n v="0"/>
    <x v="270"/>
    <x v="1"/>
    <x v="0"/>
    <n v="2829.76"/>
  </r>
  <r>
    <n v="2344"/>
    <x v="1330"/>
    <x v="0"/>
    <x v="0"/>
    <n v="2"/>
    <m/>
    <n v="0"/>
    <x v="43"/>
    <n v="0"/>
    <x v="102"/>
    <x v="4"/>
    <x v="0"/>
    <n v="1854.64"/>
  </r>
  <r>
    <n v="2345"/>
    <x v="1331"/>
    <x v="0"/>
    <x v="0"/>
    <n v="1"/>
    <n v="1095.03"/>
    <n v="1095.03"/>
    <x v="1"/>
    <n v="1095.03"/>
    <x v="462"/>
    <x v="1"/>
    <x v="0"/>
    <n v="1317.75"/>
  </r>
  <r>
    <n v="2346"/>
    <x v="1332"/>
    <x v="0"/>
    <x v="5"/>
    <n v="-2"/>
    <n v="4922.99"/>
    <n v="-9845.98"/>
    <x v="1"/>
    <n v="-9845.98"/>
    <x v="364"/>
    <x v="3"/>
    <x v="1"/>
    <n v="-712.37"/>
  </r>
  <r>
    <n v="2347"/>
    <x v="1333"/>
    <x v="5"/>
    <x v="6"/>
    <n v="2"/>
    <n v="1207.99"/>
    <n v="2415.98"/>
    <x v="1"/>
    <n v="2415.98"/>
    <x v="28"/>
    <x v="3"/>
    <x v="0"/>
    <n v="2195.11"/>
  </r>
  <r>
    <n v="2348"/>
    <x v="1334"/>
    <x v="2"/>
    <x v="17"/>
    <n v="2"/>
    <m/>
    <n v="0"/>
    <x v="1"/>
    <n v="0"/>
    <x v="218"/>
    <x v="5"/>
    <x v="0"/>
    <n v="371.77"/>
  </r>
  <r>
    <n v="2349"/>
    <x v="1335"/>
    <x v="1"/>
    <x v="1"/>
    <n v="2"/>
    <m/>
    <n v="0"/>
    <x v="94"/>
    <n v="0"/>
    <x v="362"/>
    <x v="0"/>
    <x v="1"/>
    <n v="-496.94"/>
  </r>
  <r>
    <n v="2350"/>
    <x v="1336"/>
    <x v="2"/>
    <x v="13"/>
    <n v="-1"/>
    <n v="3148.46"/>
    <n v="-3148.46"/>
    <x v="1"/>
    <n v="-3148.46"/>
    <x v="421"/>
    <x v="3"/>
    <x v="1"/>
    <n v="-165.49"/>
  </r>
  <r>
    <n v="2351"/>
    <x v="1337"/>
    <x v="5"/>
    <x v="6"/>
    <n v="-1"/>
    <n v="1875.17"/>
    <n v="-1875.17"/>
    <x v="1"/>
    <n v="-1875.17"/>
    <x v="4"/>
    <x v="1"/>
    <x v="0"/>
    <n v="1406.99"/>
  </r>
  <r>
    <n v="2352"/>
    <x v="1338"/>
    <x v="5"/>
    <x v="11"/>
    <n v="2"/>
    <m/>
    <n v="0"/>
    <x v="68"/>
    <n v="0"/>
    <x v="4"/>
    <x v="5"/>
    <x v="0"/>
    <n v="590.80999999999995"/>
  </r>
  <r>
    <n v="2353"/>
    <x v="1339"/>
    <x v="2"/>
    <x v="17"/>
    <n v="-1"/>
    <m/>
    <n v="0"/>
    <x v="1"/>
    <n v="0"/>
    <x v="231"/>
    <x v="4"/>
    <x v="0"/>
    <n v="-397.76"/>
  </r>
  <r>
    <n v="2354"/>
    <x v="1340"/>
    <x v="2"/>
    <x v="17"/>
    <n v="2"/>
    <m/>
    <n v="0"/>
    <x v="1"/>
    <n v="0"/>
    <x v="460"/>
    <x v="4"/>
    <x v="1"/>
    <n v="2233.2800000000002"/>
  </r>
  <r>
    <n v="2355"/>
    <x v="1341"/>
    <x v="0"/>
    <x v="20"/>
    <n v="2"/>
    <m/>
    <n v="0"/>
    <x v="50"/>
    <n v="0"/>
    <x v="4"/>
    <x v="4"/>
    <x v="1"/>
    <n v="1303.8900000000001"/>
  </r>
  <r>
    <n v="2356"/>
    <x v="1342"/>
    <x v="3"/>
    <x v="23"/>
    <n v="2"/>
    <n v="3412.15"/>
    <n v="6824.3"/>
    <x v="86"/>
    <n v="6756.0569999999998"/>
    <x v="240"/>
    <x v="4"/>
    <x v="1"/>
    <n v="1862.5"/>
  </r>
  <r>
    <n v="2357"/>
    <x v="1343"/>
    <x v="0"/>
    <x v="20"/>
    <n v="5"/>
    <n v="509.54"/>
    <n v="2547.7000000000003"/>
    <x v="1"/>
    <n v="2547.7000000000003"/>
    <x v="42"/>
    <x v="0"/>
    <x v="0"/>
    <n v="2233.39"/>
  </r>
  <r>
    <n v="2358"/>
    <x v="1344"/>
    <x v="0"/>
    <x v="9"/>
    <n v="-1"/>
    <n v="3099.15"/>
    <n v="-3099.15"/>
    <x v="1"/>
    <n v="-3099.15"/>
    <x v="4"/>
    <x v="2"/>
    <x v="1"/>
    <n v="-860.89"/>
  </r>
  <r>
    <n v="2359"/>
    <x v="1345"/>
    <x v="2"/>
    <x v="2"/>
    <n v="-1"/>
    <m/>
    <n v="0"/>
    <x v="1"/>
    <n v="0"/>
    <x v="337"/>
    <x v="5"/>
    <x v="0"/>
    <n v="2256.67"/>
  </r>
  <r>
    <n v="2360"/>
    <x v="1346"/>
    <x v="3"/>
    <x v="21"/>
    <n v="5"/>
    <m/>
    <n v="0"/>
    <x v="1"/>
    <n v="0"/>
    <x v="375"/>
    <x v="5"/>
    <x v="0"/>
    <n v="829.94"/>
  </r>
  <r>
    <n v="2361"/>
    <x v="1347"/>
    <x v="4"/>
    <x v="4"/>
    <n v="2"/>
    <n v="899.41"/>
    <n v="1798.82"/>
    <x v="1"/>
    <n v="1798.82"/>
    <x v="463"/>
    <x v="0"/>
    <x v="0"/>
    <n v="477.1"/>
  </r>
  <r>
    <n v="2362"/>
    <x v="1348"/>
    <x v="5"/>
    <x v="6"/>
    <n v="0"/>
    <n v="2550.98"/>
    <n v="0"/>
    <x v="1"/>
    <n v="0"/>
    <x v="52"/>
    <x v="0"/>
    <x v="1"/>
    <n v="2161.7800000000002"/>
  </r>
  <r>
    <n v="2363"/>
    <x v="1349"/>
    <x v="0"/>
    <x v="5"/>
    <n v="-1"/>
    <n v="3640.29"/>
    <n v="-3640.29"/>
    <x v="92"/>
    <n v="-509.64060000000006"/>
    <x v="147"/>
    <x v="4"/>
    <x v="0"/>
    <n v="879.32"/>
  </r>
  <r>
    <n v="2364"/>
    <x v="1350"/>
    <x v="3"/>
    <x v="23"/>
    <n v="2"/>
    <n v="857.68"/>
    <n v="1715.36"/>
    <x v="1"/>
    <n v="1715.36"/>
    <x v="143"/>
    <x v="2"/>
    <x v="1"/>
    <n v="1462.91"/>
  </r>
  <r>
    <n v="2365"/>
    <x v="1351"/>
    <x v="5"/>
    <x v="19"/>
    <n v="3"/>
    <m/>
    <n v="0"/>
    <x v="99"/>
    <n v="0"/>
    <x v="381"/>
    <x v="4"/>
    <x v="0"/>
    <n v="1765.39"/>
  </r>
  <r>
    <n v="2366"/>
    <x v="1352"/>
    <x v="2"/>
    <x v="10"/>
    <n v="6"/>
    <n v="429.37"/>
    <n v="2576.2200000000003"/>
    <x v="1"/>
    <n v="2576.2200000000003"/>
    <x v="148"/>
    <x v="2"/>
    <x v="1"/>
    <n v="-21.4"/>
  </r>
  <r>
    <n v="2367"/>
    <x v="1353"/>
    <x v="2"/>
    <x v="10"/>
    <n v="3"/>
    <n v="500.41"/>
    <n v="1501.23"/>
    <x v="1"/>
    <n v="1501.23"/>
    <x v="193"/>
    <x v="2"/>
    <x v="0"/>
    <n v="1732.45"/>
  </r>
  <r>
    <n v="2368"/>
    <x v="1354"/>
    <x v="3"/>
    <x v="3"/>
    <n v="2"/>
    <n v="2971.36"/>
    <n v="5942.72"/>
    <x v="99"/>
    <n v="3030.7872000000002"/>
    <x v="348"/>
    <x v="1"/>
    <x v="0"/>
    <n v="153.4"/>
  </r>
  <r>
    <n v="2369"/>
    <x v="1355"/>
    <x v="4"/>
    <x v="4"/>
    <n v="2"/>
    <n v="935.57"/>
    <n v="1871.14"/>
    <x v="1"/>
    <n v="1871.14"/>
    <x v="464"/>
    <x v="1"/>
    <x v="1"/>
    <n v="-111.36"/>
  </r>
  <r>
    <n v="2370"/>
    <x v="1356"/>
    <x v="5"/>
    <x v="11"/>
    <n v="2"/>
    <m/>
    <n v="0"/>
    <x v="1"/>
    <n v="0"/>
    <x v="465"/>
    <x v="2"/>
    <x v="0"/>
    <n v="2031.95"/>
  </r>
  <r>
    <n v="2371"/>
    <x v="1357"/>
    <x v="2"/>
    <x v="2"/>
    <n v="3"/>
    <n v="4467.25"/>
    <n v="13401.75"/>
    <x v="1"/>
    <n v="13401.75"/>
    <x v="198"/>
    <x v="4"/>
    <x v="0"/>
    <n v="2388.5500000000002"/>
  </r>
  <r>
    <n v="2372"/>
    <x v="1358"/>
    <x v="5"/>
    <x v="12"/>
    <n v="2"/>
    <m/>
    <n v="0"/>
    <x v="1"/>
    <n v="0"/>
    <x v="80"/>
    <x v="0"/>
    <x v="1"/>
    <n v="-452.24"/>
  </r>
  <r>
    <n v="2373"/>
    <x v="1359"/>
    <x v="3"/>
    <x v="23"/>
    <n v="-2"/>
    <n v="2490.44"/>
    <n v="-4980.88"/>
    <x v="1"/>
    <n v="-4980.88"/>
    <x v="4"/>
    <x v="2"/>
    <x v="0"/>
    <n v="11.27"/>
  </r>
  <r>
    <n v="2374"/>
    <x v="1360"/>
    <x v="2"/>
    <x v="2"/>
    <n v="0"/>
    <n v="4867.51"/>
    <n v="0"/>
    <x v="43"/>
    <n v="0"/>
    <x v="134"/>
    <x v="2"/>
    <x v="1"/>
    <n v="1184.6500000000001"/>
  </r>
  <r>
    <n v="2375"/>
    <x v="1361"/>
    <x v="4"/>
    <x v="14"/>
    <n v="2"/>
    <n v="2765.79"/>
    <n v="5531.58"/>
    <x v="1"/>
    <n v="5531.58"/>
    <x v="4"/>
    <x v="3"/>
    <x v="0"/>
    <n v="-31.82"/>
  </r>
  <r>
    <n v="2376"/>
    <x v="1362"/>
    <x v="1"/>
    <x v="15"/>
    <n v="2"/>
    <m/>
    <n v="0"/>
    <x v="1"/>
    <n v="0"/>
    <x v="466"/>
    <x v="5"/>
    <x v="0"/>
    <n v="1900.77"/>
  </r>
  <r>
    <n v="2377"/>
    <x v="1363"/>
    <x v="4"/>
    <x v="14"/>
    <n v="4"/>
    <n v="4458.4799999999996"/>
    <n v="17833.919999999998"/>
    <x v="1"/>
    <n v="17833.919999999998"/>
    <x v="218"/>
    <x v="3"/>
    <x v="1"/>
    <n v="631"/>
  </r>
  <r>
    <n v="2378"/>
    <x v="1364"/>
    <x v="0"/>
    <x v="9"/>
    <n v="0"/>
    <n v="1985.49"/>
    <n v="0"/>
    <x v="1"/>
    <n v="0"/>
    <x v="4"/>
    <x v="1"/>
    <x v="0"/>
    <n v="-198.55"/>
  </r>
  <r>
    <n v="2379"/>
    <x v="1365"/>
    <x v="1"/>
    <x v="18"/>
    <n v="6"/>
    <n v="2188.7399999999998"/>
    <n v="13132.439999999999"/>
    <x v="1"/>
    <n v="13132.439999999999"/>
    <x v="467"/>
    <x v="3"/>
    <x v="0"/>
    <n v="-885.72"/>
  </r>
  <r>
    <n v="2380"/>
    <x v="1366"/>
    <x v="1"/>
    <x v="1"/>
    <n v="2"/>
    <n v="3820.42"/>
    <n v="7640.84"/>
    <x v="75"/>
    <n v="-229.2252000000002"/>
    <x v="112"/>
    <x v="2"/>
    <x v="1"/>
    <n v="-105.92"/>
  </r>
  <r>
    <n v="2381"/>
    <x v="1367"/>
    <x v="2"/>
    <x v="10"/>
    <n v="2"/>
    <m/>
    <n v="0"/>
    <x v="1"/>
    <n v="0"/>
    <x v="213"/>
    <x v="0"/>
    <x v="0"/>
    <n v="103.57"/>
  </r>
  <r>
    <n v="2382"/>
    <x v="1368"/>
    <x v="1"/>
    <x v="15"/>
    <n v="2"/>
    <n v="3440.31"/>
    <n v="6880.62"/>
    <x v="1"/>
    <n v="6880.62"/>
    <x v="407"/>
    <x v="3"/>
    <x v="1"/>
    <n v="921.38"/>
  </r>
  <r>
    <n v="2383"/>
    <x v="1369"/>
    <x v="2"/>
    <x v="17"/>
    <n v="-2"/>
    <m/>
    <n v="0"/>
    <x v="1"/>
    <n v="0"/>
    <x v="344"/>
    <x v="4"/>
    <x v="0"/>
    <n v="990.71"/>
  </r>
  <r>
    <n v="2384"/>
    <x v="1370"/>
    <x v="1"/>
    <x v="18"/>
    <n v="3"/>
    <n v="1625.58"/>
    <n v="4876.74"/>
    <x v="105"/>
    <n v="4389.0659999999998"/>
    <x v="427"/>
    <x v="5"/>
    <x v="0"/>
    <n v="2368.5500000000002"/>
  </r>
  <r>
    <n v="2385"/>
    <x v="1371"/>
    <x v="5"/>
    <x v="12"/>
    <n v="2"/>
    <m/>
    <n v="0"/>
    <x v="82"/>
    <n v="0"/>
    <x v="292"/>
    <x v="0"/>
    <x v="0"/>
    <n v="-914.91"/>
  </r>
  <r>
    <n v="2386"/>
    <x v="1372"/>
    <x v="0"/>
    <x v="9"/>
    <n v="0"/>
    <n v="2253.08"/>
    <n v="0"/>
    <x v="48"/>
    <n v="0"/>
    <x v="4"/>
    <x v="1"/>
    <x v="0"/>
    <n v="490.12"/>
  </r>
  <r>
    <n v="2387"/>
    <x v="1373"/>
    <x v="3"/>
    <x v="23"/>
    <n v="2"/>
    <n v="3246.04"/>
    <n v="6492.08"/>
    <x v="1"/>
    <n v="6492.08"/>
    <x v="36"/>
    <x v="4"/>
    <x v="0"/>
    <n v="-611.03"/>
  </r>
  <r>
    <n v="2388"/>
    <x v="1374"/>
    <x v="4"/>
    <x v="4"/>
    <n v="-2"/>
    <m/>
    <n v="0"/>
    <x v="1"/>
    <n v="0"/>
    <x v="311"/>
    <x v="4"/>
    <x v="1"/>
    <n v="-722.21"/>
  </r>
  <r>
    <n v="2389"/>
    <x v="1375"/>
    <x v="2"/>
    <x v="13"/>
    <n v="5"/>
    <m/>
    <n v="0"/>
    <x v="1"/>
    <n v="0"/>
    <x v="468"/>
    <x v="3"/>
    <x v="1"/>
    <n v="2235.23"/>
  </r>
  <r>
    <n v="2390"/>
    <x v="1376"/>
    <x v="0"/>
    <x v="0"/>
    <n v="2"/>
    <n v="3605.36"/>
    <n v="7210.72"/>
    <x v="100"/>
    <n v="-72.107200000000063"/>
    <x v="210"/>
    <x v="1"/>
    <x v="1"/>
    <n v="-311.29000000000002"/>
  </r>
  <r>
    <n v="2391"/>
    <x v="1377"/>
    <x v="0"/>
    <x v="5"/>
    <n v="2"/>
    <n v="4473.9399999999996"/>
    <n v="8947.8799999999992"/>
    <x v="1"/>
    <n v="8947.8799999999992"/>
    <x v="4"/>
    <x v="3"/>
    <x v="1"/>
    <n v="1003.14"/>
  </r>
  <r>
    <n v="2392"/>
    <x v="1378"/>
    <x v="3"/>
    <x v="7"/>
    <n v="3"/>
    <n v="4550.95"/>
    <n v="13652.849999999999"/>
    <x v="1"/>
    <n v="13652.849999999999"/>
    <x v="422"/>
    <x v="1"/>
    <x v="0"/>
    <n v="-951.64"/>
  </r>
  <r>
    <n v="2393"/>
    <x v="1379"/>
    <x v="1"/>
    <x v="15"/>
    <n v="5"/>
    <n v="753.85"/>
    <n v="3769.25"/>
    <x v="1"/>
    <n v="3769.25"/>
    <x v="469"/>
    <x v="0"/>
    <x v="0"/>
    <n v="251.29"/>
  </r>
  <r>
    <n v="2394"/>
    <x v="1380"/>
    <x v="1"/>
    <x v="1"/>
    <n v="2"/>
    <n v="3384.51"/>
    <n v="6769.02"/>
    <x v="1"/>
    <n v="6769.02"/>
    <x v="200"/>
    <x v="3"/>
    <x v="1"/>
    <n v="2776.41"/>
  </r>
  <r>
    <n v="2395"/>
    <x v="1381"/>
    <x v="3"/>
    <x v="21"/>
    <n v="2"/>
    <m/>
    <n v="0"/>
    <x v="1"/>
    <n v="0"/>
    <x v="26"/>
    <x v="4"/>
    <x v="0"/>
    <n v="1866.74"/>
  </r>
  <r>
    <n v="2396"/>
    <x v="1382"/>
    <x v="0"/>
    <x v="0"/>
    <n v="2"/>
    <m/>
    <n v="0"/>
    <x v="79"/>
    <n v="0"/>
    <x v="410"/>
    <x v="4"/>
    <x v="0"/>
    <n v="1965.45"/>
  </r>
  <r>
    <n v="2397"/>
    <x v="1383"/>
    <x v="1"/>
    <x v="15"/>
    <n v="2"/>
    <n v="1823.51"/>
    <n v="3647.02"/>
    <x v="1"/>
    <n v="3647.02"/>
    <x v="209"/>
    <x v="4"/>
    <x v="0"/>
    <n v="378.92"/>
  </r>
  <r>
    <n v="1002"/>
    <x v="1384"/>
    <x v="0"/>
    <x v="9"/>
    <n v="2"/>
    <n v="2942.95"/>
    <n v="5885.9"/>
    <x v="1"/>
    <n v="5885.9"/>
    <x v="302"/>
    <x v="3"/>
    <x v="1"/>
    <n v="-519.87"/>
  </r>
  <r>
    <n v="2399"/>
    <x v="1385"/>
    <x v="0"/>
    <x v="0"/>
    <n v="-2"/>
    <n v="3643.5"/>
    <n v="-7287"/>
    <x v="1"/>
    <n v="-7287"/>
    <x v="188"/>
    <x v="0"/>
    <x v="1"/>
    <n v="1452.6"/>
  </r>
  <r>
    <n v="2400"/>
    <x v="1386"/>
    <x v="5"/>
    <x v="19"/>
    <n v="2"/>
    <n v="4756.67"/>
    <n v="9513.34"/>
    <x v="128"/>
    <n v="2378.335"/>
    <x v="280"/>
    <x v="5"/>
    <x v="0"/>
    <n v="-442.75"/>
  </r>
  <r>
    <n v="2401"/>
    <x v="1387"/>
    <x v="3"/>
    <x v="3"/>
    <n v="2"/>
    <n v="2159.6799999999998"/>
    <n v="4319.3599999999997"/>
    <x v="1"/>
    <n v="4319.3599999999997"/>
    <x v="107"/>
    <x v="5"/>
    <x v="0"/>
    <n v="1873.8"/>
  </r>
  <r>
    <n v="2402"/>
    <x v="1388"/>
    <x v="4"/>
    <x v="4"/>
    <n v="2"/>
    <n v="744.83"/>
    <n v="1489.66"/>
    <x v="117"/>
    <n v="1251.3144"/>
    <x v="4"/>
    <x v="2"/>
    <x v="0"/>
    <n v="2905.06"/>
  </r>
  <r>
    <n v="2403"/>
    <x v="1389"/>
    <x v="4"/>
    <x v="8"/>
    <n v="0"/>
    <m/>
    <n v="0"/>
    <x v="1"/>
    <n v="0"/>
    <x v="350"/>
    <x v="4"/>
    <x v="1"/>
    <n v="2312.7199999999998"/>
  </r>
  <r>
    <n v="2404"/>
    <x v="1390"/>
    <x v="3"/>
    <x v="23"/>
    <n v="4"/>
    <m/>
    <n v="0"/>
    <x v="1"/>
    <n v="0"/>
    <x v="82"/>
    <x v="0"/>
    <x v="0"/>
    <n v="-673.77"/>
  </r>
  <r>
    <n v="2405"/>
    <x v="1391"/>
    <x v="1"/>
    <x v="18"/>
    <n v="-1"/>
    <n v="1943.21"/>
    <n v="-1943.21"/>
    <x v="1"/>
    <n v="-1943.21"/>
    <x v="4"/>
    <x v="1"/>
    <x v="1"/>
    <n v="1039.8599999999999"/>
  </r>
  <r>
    <n v="2406"/>
    <x v="1392"/>
    <x v="0"/>
    <x v="0"/>
    <n v="2"/>
    <n v="4847.7299999999996"/>
    <n v="9695.4599999999991"/>
    <x v="1"/>
    <n v="9695.4599999999991"/>
    <x v="4"/>
    <x v="1"/>
    <x v="1"/>
    <n v="1741"/>
  </r>
  <r>
    <n v="2407"/>
    <x v="1393"/>
    <x v="0"/>
    <x v="0"/>
    <n v="2"/>
    <m/>
    <n v="0"/>
    <x v="1"/>
    <n v="0"/>
    <x v="251"/>
    <x v="1"/>
    <x v="1"/>
    <n v="2990.98"/>
  </r>
  <r>
    <n v="2408"/>
    <x v="1394"/>
    <x v="5"/>
    <x v="6"/>
    <n v="6"/>
    <n v="2169.73"/>
    <n v="13018.380000000001"/>
    <x v="1"/>
    <n v="13018.380000000001"/>
    <x v="4"/>
    <x v="3"/>
    <x v="0"/>
    <n v="442.92"/>
  </r>
  <r>
    <n v="2409"/>
    <x v="1395"/>
    <x v="5"/>
    <x v="12"/>
    <n v="2"/>
    <n v="1430.06"/>
    <n v="2860.12"/>
    <x v="98"/>
    <n v="57.202400000000047"/>
    <x v="225"/>
    <x v="5"/>
    <x v="0"/>
    <n v="-530.32000000000005"/>
  </r>
  <r>
    <n v="2410"/>
    <x v="1396"/>
    <x v="3"/>
    <x v="23"/>
    <n v="3"/>
    <m/>
    <n v="0"/>
    <x v="1"/>
    <n v="0"/>
    <x v="395"/>
    <x v="5"/>
    <x v="0"/>
    <n v="2913.29"/>
  </r>
  <r>
    <n v="2411"/>
    <x v="1397"/>
    <x v="0"/>
    <x v="9"/>
    <n v="-2"/>
    <m/>
    <n v="0"/>
    <x v="1"/>
    <n v="0"/>
    <x v="79"/>
    <x v="0"/>
    <x v="0"/>
    <n v="458.44"/>
  </r>
  <r>
    <n v="2412"/>
    <x v="1398"/>
    <x v="0"/>
    <x v="9"/>
    <n v="-1"/>
    <m/>
    <n v="0"/>
    <x v="1"/>
    <n v="0"/>
    <x v="470"/>
    <x v="0"/>
    <x v="0"/>
    <n v="1676.75"/>
  </r>
  <r>
    <n v="2413"/>
    <x v="1399"/>
    <x v="2"/>
    <x v="2"/>
    <n v="2"/>
    <n v="4140.8599999999997"/>
    <n v="8281.7199999999993"/>
    <x v="1"/>
    <n v="8281.7199999999993"/>
    <x v="235"/>
    <x v="0"/>
    <x v="1"/>
    <n v="162.16"/>
  </r>
  <r>
    <n v="1037"/>
    <x v="1400"/>
    <x v="3"/>
    <x v="23"/>
    <n v="2"/>
    <n v="3127.73"/>
    <n v="6255.46"/>
    <x v="82"/>
    <n v="5880.1323999999995"/>
    <x v="34"/>
    <x v="1"/>
    <x v="0"/>
    <n v="-793.02"/>
  </r>
  <r>
    <n v="2415"/>
    <x v="1401"/>
    <x v="0"/>
    <x v="20"/>
    <n v="2"/>
    <n v="3395.67"/>
    <n v="6791.34"/>
    <x v="1"/>
    <n v="6791.34"/>
    <x v="4"/>
    <x v="3"/>
    <x v="0"/>
    <n v="1958.51"/>
  </r>
  <r>
    <n v="2416"/>
    <x v="1402"/>
    <x v="5"/>
    <x v="19"/>
    <n v="2"/>
    <m/>
    <n v="0"/>
    <x v="81"/>
    <n v="0"/>
    <x v="471"/>
    <x v="5"/>
    <x v="1"/>
    <n v="1219.82"/>
  </r>
  <r>
    <n v="2417"/>
    <x v="1403"/>
    <x v="1"/>
    <x v="15"/>
    <n v="2"/>
    <n v="4268.68"/>
    <n v="8537.36"/>
    <x v="93"/>
    <n v="2817.3287999999998"/>
    <x v="178"/>
    <x v="0"/>
    <x v="0"/>
    <n v="1818.31"/>
  </r>
  <r>
    <n v="2418"/>
    <x v="1404"/>
    <x v="1"/>
    <x v="18"/>
    <n v="2"/>
    <n v="3435.95"/>
    <n v="6871.9"/>
    <x v="125"/>
    <n v="4398.0159999999996"/>
    <x v="4"/>
    <x v="0"/>
    <x v="0"/>
    <n v="-77.180000000000007"/>
  </r>
  <r>
    <n v="2419"/>
    <x v="1405"/>
    <x v="2"/>
    <x v="13"/>
    <n v="2"/>
    <n v="1832.16"/>
    <n v="3664.32"/>
    <x v="1"/>
    <n v="3664.32"/>
    <x v="309"/>
    <x v="2"/>
    <x v="0"/>
    <n v="2843.62"/>
  </r>
  <r>
    <n v="2420"/>
    <x v="1406"/>
    <x v="1"/>
    <x v="15"/>
    <n v="2"/>
    <n v="3714.46"/>
    <n v="7428.92"/>
    <x v="1"/>
    <n v="7428.92"/>
    <x v="131"/>
    <x v="1"/>
    <x v="0"/>
    <n v="2452.7199999999998"/>
  </r>
  <r>
    <n v="2421"/>
    <x v="1407"/>
    <x v="3"/>
    <x v="23"/>
    <n v="4"/>
    <n v="4411.3900000000003"/>
    <n v="17645.560000000001"/>
    <x v="1"/>
    <n v="17645.560000000001"/>
    <x v="298"/>
    <x v="4"/>
    <x v="0"/>
    <n v="-501.29"/>
  </r>
  <r>
    <n v="2422"/>
    <x v="1408"/>
    <x v="4"/>
    <x v="8"/>
    <n v="2"/>
    <m/>
    <n v="0"/>
    <x v="30"/>
    <n v="0"/>
    <x v="472"/>
    <x v="3"/>
    <x v="0"/>
    <n v="756.56"/>
  </r>
  <r>
    <n v="2423"/>
    <x v="1409"/>
    <x v="2"/>
    <x v="10"/>
    <n v="2"/>
    <m/>
    <n v="0"/>
    <x v="1"/>
    <n v="0"/>
    <x v="399"/>
    <x v="1"/>
    <x v="1"/>
    <n v="2661.66"/>
  </r>
  <r>
    <n v="2424"/>
    <x v="1410"/>
    <x v="2"/>
    <x v="2"/>
    <n v="5"/>
    <n v="2476.15"/>
    <n v="12380.75"/>
    <x v="1"/>
    <n v="12380.75"/>
    <x v="473"/>
    <x v="5"/>
    <x v="0"/>
    <n v="387.88"/>
  </r>
  <r>
    <n v="2425"/>
    <x v="1411"/>
    <x v="5"/>
    <x v="12"/>
    <n v="0"/>
    <n v="2632.44"/>
    <n v="0"/>
    <x v="1"/>
    <n v="0"/>
    <x v="11"/>
    <x v="5"/>
    <x v="0"/>
    <n v="2036.93"/>
  </r>
  <r>
    <n v="2426"/>
    <x v="1412"/>
    <x v="1"/>
    <x v="15"/>
    <n v="2"/>
    <m/>
    <n v="0"/>
    <x v="1"/>
    <n v="0"/>
    <x v="103"/>
    <x v="0"/>
    <x v="1"/>
    <n v="261.68"/>
  </r>
  <r>
    <n v="2427"/>
    <x v="1413"/>
    <x v="4"/>
    <x v="14"/>
    <n v="5"/>
    <n v="1510.89"/>
    <n v="7554.4500000000007"/>
    <x v="1"/>
    <n v="7554.4500000000007"/>
    <x v="27"/>
    <x v="3"/>
    <x v="1"/>
    <n v="2959.19"/>
  </r>
  <r>
    <n v="2428"/>
    <x v="1414"/>
    <x v="2"/>
    <x v="2"/>
    <n v="-2"/>
    <m/>
    <n v="0"/>
    <x v="1"/>
    <n v="0"/>
    <x v="474"/>
    <x v="0"/>
    <x v="1"/>
    <n v="1885.43"/>
  </r>
  <r>
    <n v="2429"/>
    <x v="1415"/>
    <x v="2"/>
    <x v="2"/>
    <n v="-1"/>
    <n v="4193.1000000000004"/>
    <n v="-4193.1000000000004"/>
    <x v="1"/>
    <n v="-4193.1000000000004"/>
    <x v="190"/>
    <x v="4"/>
    <x v="0"/>
    <n v="436.03"/>
  </r>
  <r>
    <n v="2430"/>
    <x v="1416"/>
    <x v="0"/>
    <x v="20"/>
    <n v="2"/>
    <n v="3149.37"/>
    <n v="6298.74"/>
    <x v="1"/>
    <n v="6298.74"/>
    <x v="4"/>
    <x v="5"/>
    <x v="0"/>
    <n v="1094.4000000000001"/>
  </r>
  <r>
    <n v="1006"/>
    <x v="302"/>
    <x v="1"/>
    <x v="22"/>
    <n v="-2"/>
    <n v="714.5"/>
    <n v="-1429"/>
    <x v="122"/>
    <n v="-400.12000000000006"/>
    <x v="448"/>
    <x v="0"/>
    <x v="1"/>
    <n v="-29.59"/>
  </r>
  <r>
    <n v="2432"/>
    <x v="1417"/>
    <x v="1"/>
    <x v="18"/>
    <n v="1"/>
    <m/>
    <n v="0"/>
    <x v="112"/>
    <n v="0"/>
    <x v="4"/>
    <x v="2"/>
    <x v="0"/>
    <n v="2950.78"/>
  </r>
  <r>
    <n v="2433"/>
    <x v="1418"/>
    <x v="4"/>
    <x v="4"/>
    <n v="0"/>
    <n v="2489.1799999999998"/>
    <n v="0"/>
    <x v="1"/>
    <n v="0"/>
    <x v="117"/>
    <x v="1"/>
    <x v="0"/>
    <n v="-22.68"/>
  </r>
  <r>
    <n v="2434"/>
    <x v="1419"/>
    <x v="1"/>
    <x v="22"/>
    <n v="0"/>
    <m/>
    <n v="0"/>
    <x v="1"/>
    <n v="0"/>
    <x v="188"/>
    <x v="4"/>
    <x v="1"/>
    <n v="1953.07"/>
  </r>
  <r>
    <n v="2435"/>
    <x v="1420"/>
    <x v="3"/>
    <x v="3"/>
    <n v="2"/>
    <m/>
    <n v="0"/>
    <x v="1"/>
    <n v="0"/>
    <x v="145"/>
    <x v="2"/>
    <x v="0"/>
    <n v="2711.18"/>
  </r>
  <r>
    <n v="2436"/>
    <x v="1421"/>
    <x v="4"/>
    <x v="8"/>
    <n v="2"/>
    <m/>
    <n v="0"/>
    <x v="1"/>
    <n v="0"/>
    <x v="4"/>
    <x v="4"/>
    <x v="1"/>
    <n v="2492.87"/>
  </r>
  <r>
    <n v="2437"/>
    <x v="1422"/>
    <x v="4"/>
    <x v="4"/>
    <n v="1"/>
    <n v="1906.91"/>
    <n v="1906.91"/>
    <x v="101"/>
    <n v="57.207300000000053"/>
    <x v="4"/>
    <x v="1"/>
    <x v="1"/>
    <n v="440.67"/>
  </r>
  <r>
    <n v="2438"/>
    <x v="1423"/>
    <x v="4"/>
    <x v="16"/>
    <n v="5"/>
    <m/>
    <n v="0"/>
    <x v="1"/>
    <n v="0"/>
    <x v="398"/>
    <x v="4"/>
    <x v="1"/>
    <n v="1037.5"/>
  </r>
  <r>
    <n v="2439"/>
    <x v="1424"/>
    <x v="3"/>
    <x v="23"/>
    <n v="2"/>
    <m/>
    <n v="0"/>
    <x v="102"/>
    <n v="0"/>
    <x v="336"/>
    <x v="0"/>
    <x v="0"/>
    <n v="-789.39"/>
  </r>
  <r>
    <n v="2440"/>
    <x v="1425"/>
    <x v="4"/>
    <x v="14"/>
    <n v="2"/>
    <n v="3846.31"/>
    <n v="7692.62"/>
    <x v="115"/>
    <n v="3769.3838000000001"/>
    <x v="230"/>
    <x v="5"/>
    <x v="0"/>
    <n v="381.13"/>
  </r>
  <r>
    <n v="2441"/>
    <x v="1426"/>
    <x v="5"/>
    <x v="12"/>
    <n v="2"/>
    <m/>
    <n v="0"/>
    <x v="24"/>
    <n v="0"/>
    <x v="4"/>
    <x v="5"/>
    <x v="0"/>
    <n v="1220.9100000000001"/>
  </r>
  <r>
    <n v="2442"/>
    <x v="1427"/>
    <x v="0"/>
    <x v="5"/>
    <n v="2"/>
    <m/>
    <n v="0"/>
    <x v="1"/>
    <n v="0"/>
    <x v="20"/>
    <x v="5"/>
    <x v="0"/>
    <n v="-937.17"/>
  </r>
  <r>
    <n v="2443"/>
    <x v="1428"/>
    <x v="4"/>
    <x v="16"/>
    <n v="1"/>
    <n v="4981.8599999999997"/>
    <n v="4981.8599999999997"/>
    <x v="1"/>
    <n v="4981.8599999999997"/>
    <x v="336"/>
    <x v="5"/>
    <x v="0"/>
    <n v="1410.16"/>
  </r>
  <r>
    <n v="2444"/>
    <x v="1429"/>
    <x v="0"/>
    <x v="5"/>
    <n v="2"/>
    <n v="3470.88"/>
    <n v="6941.76"/>
    <x v="1"/>
    <n v="6941.76"/>
    <x v="4"/>
    <x v="5"/>
    <x v="1"/>
    <n v="638.83000000000004"/>
  </r>
  <r>
    <n v="2445"/>
    <x v="1430"/>
    <x v="3"/>
    <x v="23"/>
    <n v="2"/>
    <n v="2282.02"/>
    <n v="4564.04"/>
    <x v="1"/>
    <n v="4564.04"/>
    <x v="351"/>
    <x v="2"/>
    <x v="0"/>
    <n v="555.12"/>
  </r>
  <r>
    <n v="1009"/>
    <x v="1375"/>
    <x v="0"/>
    <x v="20"/>
    <n v="6"/>
    <m/>
    <n v="0"/>
    <x v="81"/>
    <n v="0"/>
    <x v="277"/>
    <x v="3"/>
    <x v="0"/>
    <n v="2936.21"/>
  </r>
  <r>
    <n v="2447"/>
    <x v="1431"/>
    <x v="5"/>
    <x v="11"/>
    <n v="6"/>
    <n v="1773.3"/>
    <n v="10639.8"/>
    <x v="1"/>
    <n v="10639.8"/>
    <x v="104"/>
    <x v="4"/>
    <x v="0"/>
    <n v="2073.35"/>
  </r>
  <r>
    <n v="2448"/>
    <x v="1432"/>
    <x v="1"/>
    <x v="18"/>
    <n v="3"/>
    <m/>
    <n v="0"/>
    <x v="1"/>
    <n v="0"/>
    <x v="103"/>
    <x v="0"/>
    <x v="0"/>
    <n v="-244.83"/>
  </r>
  <r>
    <n v="2449"/>
    <x v="1433"/>
    <x v="2"/>
    <x v="17"/>
    <n v="2"/>
    <n v="2344.38"/>
    <n v="4688.76"/>
    <x v="1"/>
    <n v="4688.76"/>
    <x v="4"/>
    <x v="2"/>
    <x v="0"/>
    <n v="419.95"/>
  </r>
  <r>
    <n v="2450"/>
    <x v="1434"/>
    <x v="3"/>
    <x v="23"/>
    <n v="2"/>
    <n v="3333.87"/>
    <n v="6667.74"/>
    <x v="1"/>
    <n v="6667.74"/>
    <x v="80"/>
    <x v="1"/>
    <x v="0"/>
    <n v="1673.63"/>
  </r>
  <r>
    <n v="2451"/>
    <x v="1435"/>
    <x v="2"/>
    <x v="17"/>
    <n v="2"/>
    <m/>
    <n v="0"/>
    <x v="1"/>
    <n v="0"/>
    <x v="475"/>
    <x v="1"/>
    <x v="1"/>
    <n v="1177.96"/>
  </r>
  <r>
    <n v="1011"/>
    <x v="1436"/>
    <x v="3"/>
    <x v="7"/>
    <n v="3"/>
    <m/>
    <n v="0"/>
    <x v="1"/>
    <n v="0"/>
    <x v="4"/>
    <x v="2"/>
    <x v="1"/>
    <n v="-360.37"/>
  </r>
  <r>
    <n v="2453"/>
    <x v="1437"/>
    <x v="0"/>
    <x v="0"/>
    <n v="2"/>
    <m/>
    <n v="0"/>
    <x v="122"/>
    <n v="0"/>
    <x v="476"/>
    <x v="4"/>
    <x v="1"/>
    <n v="382.31"/>
  </r>
  <r>
    <n v="2454"/>
    <x v="1438"/>
    <x v="4"/>
    <x v="4"/>
    <n v="3"/>
    <m/>
    <n v="0"/>
    <x v="1"/>
    <n v="0"/>
    <x v="4"/>
    <x v="3"/>
    <x v="0"/>
    <n v="1961.19"/>
  </r>
  <r>
    <n v="2455"/>
    <x v="1439"/>
    <x v="2"/>
    <x v="10"/>
    <n v="2"/>
    <m/>
    <n v="0"/>
    <x v="1"/>
    <n v="0"/>
    <x v="4"/>
    <x v="5"/>
    <x v="0"/>
    <n v="2153.0100000000002"/>
  </r>
  <r>
    <n v="2456"/>
    <x v="1440"/>
    <x v="3"/>
    <x v="23"/>
    <n v="2"/>
    <n v="889.88"/>
    <n v="1779.76"/>
    <x v="1"/>
    <n v="1779.76"/>
    <x v="76"/>
    <x v="1"/>
    <x v="1"/>
    <n v="1607.65"/>
  </r>
  <r>
    <n v="2457"/>
    <x v="1441"/>
    <x v="1"/>
    <x v="22"/>
    <n v="6"/>
    <m/>
    <n v="0"/>
    <x v="120"/>
    <n v="0"/>
    <x v="428"/>
    <x v="0"/>
    <x v="0"/>
    <n v="179.36"/>
  </r>
  <r>
    <n v="2458"/>
    <x v="1442"/>
    <x v="4"/>
    <x v="8"/>
    <n v="2"/>
    <m/>
    <n v="0"/>
    <x v="46"/>
    <n v="0"/>
    <x v="277"/>
    <x v="0"/>
    <x v="1"/>
    <n v="163.69"/>
  </r>
  <r>
    <n v="2459"/>
    <x v="1443"/>
    <x v="3"/>
    <x v="7"/>
    <n v="2"/>
    <m/>
    <n v="0"/>
    <x v="1"/>
    <n v="0"/>
    <x v="4"/>
    <x v="2"/>
    <x v="0"/>
    <n v="2616.96"/>
  </r>
  <r>
    <n v="2460"/>
    <x v="1444"/>
    <x v="3"/>
    <x v="21"/>
    <n v="-2"/>
    <n v="3157.28"/>
    <n v="-6314.56"/>
    <x v="35"/>
    <n v="-5872.5407999999998"/>
    <x v="477"/>
    <x v="4"/>
    <x v="0"/>
    <n v="971.15"/>
  </r>
  <r>
    <n v="2461"/>
    <x v="1445"/>
    <x v="1"/>
    <x v="1"/>
    <n v="1"/>
    <n v="4225.58"/>
    <n v="4225.58"/>
    <x v="1"/>
    <n v="4225.58"/>
    <x v="118"/>
    <x v="4"/>
    <x v="1"/>
    <n v="-793.29"/>
  </r>
  <r>
    <n v="2462"/>
    <x v="1446"/>
    <x v="3"/>
    <x v="3"/>
    <n v="2"/>
    <n v="2123.2199999999998"/>
    <n v="4246.4399999999996"/>
    <x v="1"/>
    <n v="4246.4399999999996"/>
    <x v="102"/>
    <x v="2"/>
    <x v="0"/>
    <n v="2645.36"/>
  </r>
  <r>
    <n v="2463"/>
    <x v="1447"/>
    <x v="3"/>
    <x v="7"/>
    <n v="2"/>
    <n v="405.52"/>
    <n v="811.04"/>
    <x v="1"/>
    <n v="811.04"/>
    <x v="28"/>
    <x v="0"/>
    <x v="0"/>
    <n v="2036.57"/>
  </r>
  <r>
    <n v="2464"/>
    <x v="1448"/>
    <x v="2"/>
    <x v="17"/>
    <n v="-1"/>
    <m/>
    <n v="0"/>
    <x v="95"/>
    <n v="0"/>
    <x v="113"/>
    <x v="4"/>
    <x v="0"/>
    <n v="2742.15"/>
  </r>
  <r>
    <n v="2465"/>
    <x v="1449"/>
    <x v="0"/>
    <x v="9"/>
    <n v="2"/>
    <n v="493.99"/>
    <n v="987.98"/>
    <x v="1"/>
    <n v="987.98"/>
    <x v="131"/>
    <x v="4"/>
    <x v="1"/>
    <n v="-365.9"/>
  </r>
  <r>
    <n v="2466"/>
    <x v="1450"/>
    <x v="5"/>
    <x v="11"/>
    <n v="2"/>
    <n v="2335.61"/>
    <n v="4671.22"/>
    <x v="91"/>
    <n v="3877.1125999999999"/>
    <x v="4"/>
    <x v="1"/>
    <x v="1"/>
    <n v="-36.92"/>
  </r>
  <r>
    <n v="2467"/>
    <x v="1451"/>
    <x v="2"/>
    <x v="2"/>
    <n v="2"/>
    <m/>
    <n v="0"/>
    <x v="1"/>
    <n v="0"/>
    <x v="229"/>
    <x v="2"/>
    <x v="0"/>
    <n v="485.02"/>
  </r>
  <r>
    <n v="2468"/>
    <x v="1452"/>
    <x v="4"/>
    <x v="8"/>
    <n v="2"/>
    <m/>
    <n v="0"/>
    <x v="1"/>
    <n v="0"/>
    <x v="457"/>
    <x v="2"/>
    <x v="0"/>
    <n v="1149.6500000000001"/>
  </r>
  <r>
    <n v="2469"/>
    <x v="1453"/>
    <x v="1"/>
    <x v="15"/>
    <n v="2"/>
    <n v="4132.13"/>
    <n v="8264.26"/>
    <x v="1"/>
    <n v="8264.26"/>
    <x v="238"/>
    <x v="2"/>
    <x v="0"/>
    <n v="828.43"/>
  </r>
  <r>
    <n v="2470"/>
    <x v="1454"/>
    <x v="1"/>
    <x v="1"/>
    <n v="3"/>
    <m/>
    <n v="0"/>
    <x v="123"/>
    <n v="0"/>
    <x v="475"/>
    <x v="5"/>
    <x v="1"/>
    <n v="321.20999999999998"/>
  </r>
  <r>
    <n v="2471"/>
    <x v="1455"/>
    <x v="0"/>
    <x v="0"/>
    <n v="2"/>
    <n v="4457.83"/>
    <n v="8915.66"/>
    <x v="129"/>
    <n v="3031.3243999999995"/>
    <x v="4"/>
    <x v="5"/>
    <x v="1"/>
    <n v="780.39"/>
  </r>
  <r>
    <n v="2472"/>
    <x v="1456"/>
    <x v="0"/>
    <x v="20"/>
    <n v="2"/>
    <n v="4357.9399999999996"/>
    <n v="8715.8799999999992"/>
    <x v="18"/>
    <n v="5839.6395999999986"/>
    <x v="4"/>
    <x v="0"/>
    <x v="1"/>
    <n v="971.5"/>
  </r>
  <r>
    <n v="2473"/>
    <x v="1457"/>
    <x v="2"/>
    <x v="10"/>
    <n v="6"/>
    <n v="408.21"/>
    <n v="2449.2599999999998"/>
    <x v="63"/>
    <n v="-391.88159999999976"/>
    <x v="298"/>
    <x v="0"/>
    <x v="0"/>
    <n v="611.86"/>
  </r>
  <r>
    <n v="2474"/>
    <x v="1458"/>
    <x v="2"/>
    <x v="2"/>
    <n v="2"/>
    <m/>
    <n v="0"/>
    <x v="1"/>
    <n v="0"/>
    <x v="60"/>
    <x v="3"/>
    <x v="1"/>
    <n v="-930.79"/>
  </r>
  <r>
    <n v="2475"/>
    <x v="1459"/>
    <x v="1"/>
    <x v="22"/>
    <n v="5"/>
    <n v="642.48"/>
    <n v="3212.4"/>
    <x v="91"/>
    <n v="2666.2919999999999"/>
    <x v="4"/>
    <x v="1"/>
    <x v="0"/>
    <n v="1800.37"/>
  </r>
  <r>
    <n v="2476"/>
    <x v="1460"/>
    <x v="5"/>
    <x v="6"/>
    <n v="5"/>
    <n v="2967.26"/>
    <n v="14836.300000000001"/>
    <x v="1"/>
    <n v="14836.300000000001"/>
    <x v="4"/>
    <x v="4"/>
    <x v="1"/>
    <n v="2069.15"/>
  </r>
  <r>
    <n v="2477"/>
    <x v="1461"/>
    <x v="2"/>
    <x v="17"/>
    <n v="3"/>
    <n v="3725.14"/>
    <n v="11175.42"/>
    <x v="1"/>
    <n v="11175.42"/>
    <x v="4"/>
    <x v="3"/>
    <x v="0"/>
    <n v="1220.32"/>
  </r>
  <r>
    <n v="2478"/>
    <x v="1462"/>
    <x v="5"/>
    <x v="19"/>
    <n v="2"/>
    <n v="1904.58"/>
    <n v="3809.16"/>
    <x v="1"/>
    <n v="3809.16"/>
    <x v="478"/>
    <x v="2"/>
    <x v="1"/>
    <n v="2090.91"/>
  </r>
  <r>
    <n v="2479"/>
    <x v="1463"/>
    <x v="2"/>
    <x v="13"/>
    <n v="-1"/>
    <m/>
    <n v="0"/>
    <x v="44"/>
    <n v="0"/>
    <x v="366"/>
    <x v="5"/>
    <x v="1"/>
    <n v="81.23"/>
  </r>
  <r>
    <n v="2480"/>
    <x v="1464"/>
    <x v="2"/>
    <x v="10"/>
    <n v="2"/>
    <m/>
    <n v="0"/>
    <x v="50"/>
    <n v="0"/>
    <x v="363"/>
    <x v="3"/>
    <x v="0"/>
    <n v="1556.81"/>
  </r>
  <r>
    <n v="2481"/>
    <x v="1465"/>
    <x v="1"/>
    <x v="15"/>
    <n v="2"/>
    <m/>
    <n v="0"/>
    <x v="1"/>
    <n v="0"/>
    <x v="266"/>
    <x v="2"/>
    <x v="0"/>
    <n v="142.82"/>
  </r>
  <r>
    <n v="1050"/>
    <x v="1466"/>
    <x v="3"/>
    <x v="23"/>
    <n v="4"/>
    <n v="4439.3900000000003"/>
    <n v="17757.560000000001"/>
    <x v="1"/>
    <n v="17757.560000000001"/>
    <x v="65"/>
    <x v="1"/>
    <x v="0"/>
    <n v="2062.85"/>
  </r>
  <r>
    <n v="2483"/>
    <x v="1467"/>
    <x v="5"/>
    <x v="12"/>
    <n v="2"/>
    <m/>
    <n v="0"/>
    <x v="78"/>
    <n v="0"/>
    <x v="290"/>
    <x v="5"/>
    <x v="1"/>
    <n v="-369.21"/>
  </r>
  <r>
    <n v="2484"/>
    <x v="1468"/>
    <x v="4"/>
    <x v="16"/>
    <n v="2"/>
    <m/>
    <n v="0"/>
    <x v="1"/>
    <n v="0"/>
    <x v="463"/>
    <x v="5"/>
    <x v="0"/>
    <n v="516.5"/>
  </r>
  <r>
    <n v="1050"/>
    <x v="1469"/>
    <x v="0"/>
    <x v="5"/>
    <n v="1"/>
    <n v="2103.54"/>
    <n v="2103.54"/>
    <x v="1"/>
    <n v="2103.54"/>
    <x v="301"/>
    <x v="4"/>
    <x v="0"/>
    <n v="2871.06"/>
  </r>
  <r>
    <n v="2486"/>
    <x v="1470"/>
    <x v="1"/>
    <x v="22"/>
    <n v="-2"/>
    <m/>
    <n v="0"/>
    <x v="1"/>
    <n v="0"/>
    <x v="222"/>
    <x v="1"/>
    <x v="0"/>
    <n v="2082.36"/>
  </r>
  <r>
    <n v="2487"/>
    <x v="1471"/>
    <x v="1"/>
    <x v="22"/>
    <n v="-2"/>
    <m/>
    <n v="0"/>
    <x v="1"/>
    <n v="0"/>
    <x v="76"/>
    <x v="2"/>
    <x v="0"/>
    <n v="-395.34"/>
  </r>
  <r>
    <n v="2488"/>
    <x v="1472"/>
    <x v="1"/>
    <x v="15"/>
    <n v="2"/>
    <n v="718.84"/>
    <n v="1437.68"/>
    <x v="26"/>
    <n v="675.70960000000002"/>
    <x v="215"/>
    <x v="1"/>
    <x v="1"/>
    <n v="528.71"/>
  </r>
  <r>
    <n v="2489"/>
    <x v="1473"/>
    <x v="2"/>
    <x v="17"/>
    <n v="0"/>
    <m/>
    <n v="0"/>
    <x v="1"/>
    <n v="0"/>
    <x v="375"/>
    <x v="5"/>
    <x v="0"/>
    <n v="-194.49"/>
  </r>
  <r>
    <n v="2490"/>
    <x v="1474"/>
    <x v="4"/>
    <x v="8"/>
    <n v="5"/>
    <n v="688.38"/>
    <n v="3441.9"/>
    <x v="1"/>
    <n v="3441.9"/>
    <x v="133"/>
    <x v="3"/>
    <x v="0"/>
    <n v="-25.21"/>
  </r>
  <r>
    <n v="2491"/>
    <x v="1475"/>
    <x v="2"/>
    <x v="10"/>
    <n v="2"/>
    <m/>
    <n v="0"/>
    <x v="51"/>
    <n v="0"/>
    <x v="89"/>
    <x v="3"/>
    <x v="0"/>
    <n v="2466.0100000000002"/>
  </r>
  <r>
    <n v="2492"/>
    <x v="1476"/>
    <x v="1"/>
    <x v="15"/>
    <n v="-1"/>
    <m/>
    <n v="0"/>
    <x v="1"/>
    <n v="0"/>
    <x v="479"/>
    <x v="3"/>
    <x v="0"/>
    <n v="549.15"/>
  </r>
  <r>
    <n v="2493"/>
    <x v="1477"/>
    <x v="5"/>
    <x v="11"/>
    <n v="2"/>
    <m/>
    <n v="0"/>
    <x v="11"/>
    <n v="0"/>
    <x v="4"/>
    <x v="1"/>
    <x v="0"/>
    <n v="452.38"/>
  </r>
  <r>
    <n v="2494"/>
    <x v="1478"/>
    <x v="2"/>
    <x v="2"/>
    <n v="3"/>
    <m/>
    <n v="0"/>
    <x v="63"/>
    <n v="0"/>
    <x v="80"/>
    <x v="4"/>
    <x v="1"/>
    <n v="1753.67"/>
  </r>
  <r>
    <n v="2495"/>
    <x v="1479"/>
    <x v="0"/>
    <x v="0"/>
    <n v="2"/>
    <n v="1106.0899999999999"/>
    <n v="2212.1799999999998"/>
    <x v="1"/>
    <n v="2212.1799999999998"/>
    <x v="360"/>
    <x v="0"/>
    <x v="0"/>
    <n v="1838.39"/>
  </r>
  <r>
    <n v="2496"/>
    <x v="1480"/>
    <x v="1"/>
    <x v="1"/>
    <n v="-2"/>
    <m/>
    <n v="0"/>
    <x v="1"/>
    <n v="0"/>
    <x v="441"/>
    <x v="0"/>
    <x v="0"/>
    <n v="2882.47"/>
  </r>
  <r>
    <n v="2497"/>
    <x v="1481"/>
    <x v="3"/>
    <x v="21"/>
    <n v="1"/>
    <n v="3607.5"/>
    <n v="3607.5"/>
    <x v="1"/>
    <n v="3607.5"/>
    <x v="395"/>
    <x v="1"/>
    <x v="1"/>
    <n v="-341.21"/>
  </r>
  <r>
    <n v="2498"/>
    <x v="1482"/>
    <x v="1"/>
    <x v="1"/>
    <n v="4"/>
    <n v="2043.67"/>
    <n v="8174.68"/>
    <x v="1"/>
    <n v="8174.68"/>
    <x v="258"/>
    <x v="5"/>
    <x v="0"/>
    <n v="-24.72"/>
  </r>
  <r>
    <n v="2499"/>
    <x v="1156"/>
    <x v="5"/>
    <x v="6"/>
    <n v="-2"/>
    <n v="4638.76"/>
    <n v="-9277.52"/>
    <x v="1"/>
    <n v="-9277.52"/>
    <x v="423"/>
    <x v="4"/>
    <x v="0"/>
    <n v="379.89"/>
  </r>
  <r>
    <n v="2500"/>
    <x v="1483"/>
    <x v="3"/>
    <x v="21"/>
    <n v="5"/>
    <m/>
    <n v="0"/>
    <x v="11"/>
    <n v="0"/>
    <x v="282"/>
    <x v="0"/>
    <x v="1"/>
    <n v="765.43"/>
  </r>
  <r>
    <n v="2501"/>
    <x v="1484"/>
    <x v="5"/>
    <x v="11"/>
    <n v="2"/>
    <m/>
    <n v="0"/>
    <x v="1"/>
    <n v="0"/>
    <x v="4"/>
    <x v="1"/>
    <x v="1"/>
    <n v="106.21"/>
  </r>
  <r>
    <n v="2502"/>
    <x v="1485"/>
    <x v="2"/>
    <x v="2"/>
    <n v="2"/>
    <m/>
    <n v="0"/>
    <x v="111"/>
    <n v="0"/>
    <x v="97"/>
    <x v="2"/>
    <x v="1"/>
    <n v="653.4"/>
  </r>
  <r>
    <n v="2503"/>
    <x v="1486"/>
    <x v="3"/>
    <x v="7"/>
    <n v="2"/>
    <n v="1259.22"/>
    <n v="2518.44"/>
    <x v="1"/>
    <n v="2518.44"/>
    <x v="176"/>
    <x v="3"/>
    <x v="0"/>
    <n v="120.44"/>
  </r>
  <r>
    <n v="2504"/>
    <x v="1487"/>
    <x v="5"/>
    <x v="12"/>
    <n v="2"/>
    <m/>
    <n v="0"/>
    <x v="61"/>
    <n v="0"/>
    <x v="4"/>
    <x v="1"/>
    <x v="1"/>
    <n v="-757.99"/>
  </r>
  <r>
    <n v="2505"/>
    <x v="1488"/>
    <x v="2"/>
    <x v="10"/>
    <n v="-1"/>
    <n v="1258.77"/>
    <n v="-1258.77"/>
    <x v="58"/>
    <n v="-365.04330000000004"/>
    <x v="351"/>
    <x v="4"/>
    <x v="1"/>
    <n v="549.6"/>
  </r>
  <r>
    <n v="2506"/>
    <x v="1489"/>
    <x v="1"/>
    <x v="22"/>
    <n v="2"/>
    <m/>
    <n v="0"/>
    <x v="1"/>
    <n v="0"/>
    <x v="42"/>
    <x v="4"/>
    <x v="1"/>
    <n v="1734.31"/>
  </r>
  <r>
    <n v="2507"/>
    <x v="1490"/>
    <x v="4"/>
    <x v="16"/>
    <n v="2"/>
    <m/>
    <n v="0"/>
    <x v="1"/>
    <n v="0"/>
    <x v="272"/>
    <x v="1"/>
    <x v="0"/>
    <n v="339.83"/>
  </r>
  <r>
    <n v="2508"/>
    <x v="1491"/>
    <x v="4"/>
    <x v="8"/>
    <n v="2"/>
    <n v="4245.43"/>
    <n v="8490.86"/>
    <x v="1"/>
    <n v="8490.86"/>
    <x v="124"/>
    <x v="3"/>
    <x v="1"/>
    <n v="-556.03"/>
  </r>
  <r>
    <n v="2509"/>
    <x v="1492"/>
    <x v="1"/>
    <x v="1"/>
    <n v="5"/>
    <m/>
    <n v="0"/>
    <x v="1"/>
    <n v="0"/>
    <x v="293"/>
    <x v="5"/>
    <x v="0"/>
    <n v="1995.3"/>
  </r>
  <r>
    <n v="2510"/>
    <x v="1493"/>
    <x v="5"/>
    <x v="11"/>
    <n v="0"/>
    <m/>
    <n v="0"/>
    <x v="1"/>
    <n v="0"/>
    <x v="4"/>
    <x v="0"/>
    <x v="0"/>
    <n v="-530.80999999999995"/>
  </r>
  <r>
    <n v="2511"/>
    <x v="1494"/>
    <x v="1"/>
    <x v="15"/>
    <n v="2"/>
    <n v="2822.43"/>
    <n v="5644.86"/>
    <x v="111"/>
    <n v="0"/>
    <x v="480"/>
    <x v="3"/>
    <x v="0"/>
    <n v="2522.48"/>
  </r>
  <r>
    <n v="2512"/>
    <x v="1495"/>
    <x v="0"/>
    <x v="5"/>
    <n v="2"/>
    <m/>
    <n v="0"/>
    <x v="26"/>
    <n v="0"/>
    <x v="235"/>
    <x v="3"/>
    <x v="0"/>
    <n v="958.94"/>
  </r>
  <r>
    <n v="2513"/>
    <x v="1496"/>
    <x v="5"/>
    <x v="11"/>
    <n v="2"/>
    <n v="3625.99"/>
    <n v="7251.98"/>
    <x v="47"/>
    <n v="507.6385999999996"/>
    <x v="396"/>
    <x v="0"/>
    <x v="0"/>
    <n v="1552.29"/>
  </r>
  <r>
    <n v="2514"/>
    <x v="1497"/>
    <x v="0"/>
    <x v="9"/>
    <n v="4"/>
    <m/>
    <n v="0"/>
    <x v="105"/>
    <n v="0"/>
    <x v="481"/>
    <x v="4"/>
    <x v="1"/>
    <n v="-862.68"/>
  </r>
  <r>
    <n v="2515"/>
    <x v="1498"/>
    <x v="1"/>
    <x v="18"/>
    <n v="3"/>
    <m/>
    <n v="0"/>
    <x v="1"/>
    <n v="0"/>
    <x v="4"/>
    <x v="3"/>
    <x v="0"/>
    <n v="2802.1"/>
  </r>
  <r>
    <n v="2516"/>
    <x v="1499"/>
    <x v="0"/>
    <x v="20"/>
    <n v="1"/>
    <n v="1927.87"/>
    <n v="1927.87"/>
    <x v="1"/>
    <n v="1927.87"/>
    <x v="255"/>
    <x v="0"/>
    <x v="1"/>
    <n v="-876.36"/>
  </r>
  <r>
    <n v="2517"/>
    <x v="1500"/>
    <x v="2"/>
    <x v="17"/>
    <n v="2"/>
    <m/>
    <n v="0"/>
    <x v="31"/>
    <n v="0"/>
    <x v="99"/>
    <x v="5"/>
    <x v="0"/>
    <n v="409.12"/>
  </r>
  <r>
    <n v="2518"/>
    <x v="1501"/>
    <x v="2"/>
    <x v="17"/>
    <n v="6"/>
    <n v="773.28"/>
    <n v="4639.68"/>
    <x v="1"/>
    <n v="4639.68"/>
    <x v="225"/>
    <x v="5"/>
    <x v="0"/>
    <n v="608.25"/>
  </r>
  <r>
    <n v="2519"/>
    <x v="1502"/>
    <x v="5"/>
    <x v="11"/>
    <n v="2"/>
    <n v="3873.82"/>
    <n v="7747.64"/>
    <x v="38"/>
    <n v="77.476400000000069"/>
    <x v="220"/>
    <x v="0"/>
    <x v="0"/>
    <n v="2122.44"/>
  </r>
  <r>
    <n v="2520"/>
    <x v="1503"/>
    <x v="0"/>
    <x v="9"/>
    <n v="1"/>
    <n v="2581.19"/>
    <n v="2581.19"/>
    <x v="130"/>
    <n v="-103.24760000000009"/>
    <x v="482"/>
    <x v="4"/>
    <x v="1"/>
    <n v="2944.11"/>
  </r>
  <r>
    <n v="2521"/>
    <x v="1504"/>
    <x v="5"/>
    <x v="12"/>
    <n v="2"/>
    <m/>
    <n v="0"/>
    <x v="1"/>
    <n v="0"/>
    <x v="293"/>
    <x v="2"/>
    <x v="0"/>
    <n v="140.18"/>
  </r>
  <r>
    <n v="2522"/>
    <x v="1505"/>
    <x v="5"/>
    <x v="12"/>
    <n v="4"/>
    <n v="2847.02"/>
    <n v="11388.08"/>
    <x v="13"/>
    <n v="4896.8744000000006"/>
    <x v="434"/>
    <x v="5"/>
    <x v="0"/>
    <n v="1592.04"/>
  </r>
  <r>
    <n v="2523"/>
    <x v="1506"/>
    <x v="3"/>
    <x v="23"/>
    <n v="2"/>
    <n v="2840.78"/>
    <n v="5681.56"/>
    <x v="1"/>
    <n v="5681.56"/>
    <x v="286"/>
    <x v="5"/>
    <x v="0"/>
    <n v="-836.39"/>
  </r>
  <r>
    <n v="2524"/>
    <x v="1507"/>
    <x v="4"/>
    <x v="8"/>
    <n v="2"/>
    <n v="3539.22"/>
    <n v="7078.44"/>
    <x v="1"/>
    <n v="7078.44"/>
    <x v="167"/>
    <x v="3"/>
    <x v="0"/>
    <n v="1991.27"/>
  </r>
  <r>
    <n v="2525"/>
    <x v="1508"/>
    <x v="1"/>
    <x v="1"/>
    <n v="2"/>
    <n v="3046.11"/>
    <n v="6092.22"/>
    <x v="1"/>
    <n v="6092.22"/>
    <x v="238"/>
    <x v="3"/>
    <x v="0"/>
    <n v="-190.66"/>
  </r>
  <r>
    <n v="2526"/>
    <x v="1509"/>
    <x v="3"/>
    <x v="3"/>
    <n v="2"/>
    <m/>
    <n v="0"/>
    <x v="8"/>
    <n v="0"/>
    <x v="4"/>
    <x v="2"/>
    <x v="1"/>
    <n v="2853.61"/>
  </r>
  <r>
    <n v="2527"/>
    <x v="1510"/>
    <x v="2"/>
    <x v="13"/>
    <n v="-1"/>
    <n v="4057.33"/>
    <n v="-4057.33"/>
    <x v="127"/>
    <n v="892.61259999999993"/>
    <x v="4"/>
    <x v="3"/>
    <x v="0"/>
    <n v="385.15"/>
  </r>
  <r>
    <n v="2528"/>
    <x v="1511"/>
    <x v="2"/>
    <x v="10"/>
    <n v="-1"/>
    <m/>
    <n v="0"/>
    <x v="27"/>
    <n v="0"/>
    <x v="205"/>
    <x v="0"/>
    <x v="0"/>
    <n v="-634.46"/>
  </r>
  <r>
    <n v="2529"/>
    <x v="1512"/>
    <x v="4"/>
    <x v="4"/>
    <n v="2"/>
    <n v="419.25"/>
    <n v="838.5"/>
    <x v="1"/>
    <n v="838.5"/>
    <x v="4"/>
    <x v="2"/>
    <x v="1"/>
    <n v="1726.68"/>
  </r>
  <r>
    <n v="1028"/>
    <x v="1513"/>
    <x v="4"/>
    <x v="8"/>
    <n v="0"/>
    <m/>
    <n v="0"/>
    <x v="1"/>
    <n v="0"/>
    <x v="483"/>
    <x v="1"/>
    <x v="0"/>
    <n v="-701.08"/>
  </r>
  <r>
    <n v="2531"/>
    <x v="1514"/>
    <x v="4"/>
    <x v="16"/>
    <n v="2"/>
    <n v="816.33"/>
    <n v="1632.66"/>
    <x v="1"/>
    <n v="1632.66"/>
    <x v="192"/>
    <x v="2"/>
    <x v="0"/>
    <n v="868.11"/>
  </r>
  <r>
    <n v="2532"/>
    <x v="1515"/>
    <x v="2"/>
    <x v="10"/>
    <n v="2"/>
    <n v="1863.19"/>
    <n v="3726.38"/>
    <x v="86"/>
    <n v="3689.1161999999999"/>
    <x v="4"/>
    <x v="2"/>
    <x v="1"/>
    <n v="-371.04"/>
  </r>
  <r>
    <n v="2533"/>
    <x v="1516"/>
    <x v="5"/>
    <x v="11"/>
    <n v="2"/>
    <n v="3960.8"/>
    <n v="7921.6"/>
    <x v="71"/>
    <n v="7683.9520000000002"/>
    <x v="107"/>
    <x v="2"/>
    <x v="0"/>
    <n v="1266.8800000000001"/>
  </r>
  <r>
    <n v="2534"/>
    <x v="1517"/>
    <x v="4"/>
    <x v="14"/>
    <n v="4"/>
    <n v="687.34"/>
    <n v="2749.36"/>
    <x v="124"/>
    <n v="-577.36559999999997"/>
    <x v="125"/>
    <x v="0"/>
    <x v="1"/>
    <n v="-234.42"/>
  </r>
  <r>
    <n v="2535"/>
    <x v="1518"/>
    <x v="3"/>
    <x v="3"/>
    <n v="2"/>
    <m/>
    <n v="0"/>
    <x v="1"/>
    <n v="0"/>
    <x v="65"/>
    <x v="0"/>
    <x v="0"/>
    <n v="782.05"/>
  </r>
  <r>
    <n v="2536"/>
    <x v="1519"/>
    <x v="0"/>
    <x v="0"/>
    <n v="2"/>
    <m/>
    <n v="0"/>
    <x v="1"/>
    <n v="0"/>
    <x v="4"/>
    <x v="2"/>
    <x v="0"/>
    <n v="2685.77"/>
  </r>
  <r>
    <n v="2537"/>
    <x v="1520"/>
    <x v="2"/>
    <x v="10"/>
    <n v="2"/>
    <n v="3449.08"/>
    <n v="6898.16"/>
    <x v="43"/>
    <n v="-620.83440000000053"/>
    <x v="484"/>
    <x v="3"/>
    <x v="0"/>
    <n v="181.11"/>
  </r>
  <r>
    <n v="2538"/>
    <x v="1521"/>
    <x v="5"/>
    <x v="6"/>
    <n v="2"/>
    <m/>
    <n v="0"/>
    <x v="1"/>
    <n v="0"/>
    <x v="205"/>
    <x v="4"/>
    <x v="0"/>
    <n v="-705.34"/>
  </r>
  <r>
    <n v="2539"/>
    <x v="1522"/>
    <x v="1"/>
    <x v="15"/>
    <n v="4"/>
    <m/>
    <n v="0"/>
    <x v="1"/>
    <n v="0"/>
    <x v="4"/>
    <x v="2"/>
    <x v="1"/>
    <n v="2989.83"/>
  </r>
  <r>
    <n v="2540"/>
    <x v="1523"/>
    <x v="0"/>
    <x v="0"/>
    <n v="2"/>
    <n v="799.82"/>
    <n v="1599.64"/>
    <x v="1"/>
    <n v="1599.64"/>
    <x v="340"/>
    <x v="4"/>
    <x v="0"/>
    <n v="1358.09"/>
  </r>
  <r>
    <n v="2541"/>
    <x v="1524"/>
    <x v="0"/>
    <x v="20"/>
    <n v="3"/>
    <m/>
    <n v="0"/>
    <x v="1"/>
    <n v="0"/>
    <x v="218"/>
    <x v="0"/>
    <x v="1"/>
    <n v="404.87"/>
  </r>
  <r>
    <n v="2542"/>
    <x v="1525"/>
    <x v="1"/>
    <x v="15"/>
    <n v="3"/>
    <m/>
    <n v="0"/>
    <x v="32"/>
    <n v="0"/>
    <x v="357"/>
    <x v="3"/>
    <x v="0"/>
    <n v="379.4"/>
  </r>
  <r>
    <n v="2543"/>
    <x v="1526"/>
    <x v="4"/>
    <x v="14"/>
    <n v="4"/>
    <n v="3501.9"/>
    <n v="14007.6"/>
    <x v="1"/>
    <n v="14007.6"/>
    <x v="485"/>
    <x v="4"/>
    <x v="0"/>
    <n v="1747.96"/>
  </r>
  <r>
    <n v="2544"/>
    <x v="1527"/>
    <x v="3"/>
    <x v="7"/>
    <n v="2"/>
    <n v="3205.96"/>
    <n v="6411.92"/>
    <x v="1"/>
    <n v="6411.92"/>
    <x v="486"/>
    <x v="2"/>
    <x v="1"/>
    <n v="1764.26"/>
  </r>
  <r>
    <n v="2545"/>
    <x v="1528"/>
    <x v="5"/>
    <x v="19"/>
    <n v="2"/>
    <n v="2109.08"/>
    <n v="4218.16"/>
    <x v="1"/>
    <n v="4218.16"/>
    <x v="80"/>
    <x v="0"/>
    <x v="1"/>
    <n v="1633.57"/>
  </r>
  <r>
    <n v="2546"/>
    <x v="1529"/>
    <x v="4"/>
    <x v="14"/>
    <n v="1"/>
    <n v="3574.54"/>
    <n v="3574.54"/>
    <x v="1"/>
    <n v="3574.54"/>
    <x v="487"/>
    <x v="2"/>
    <x v="0"/>
    <n v="-305.77"/>
  </r>
  <r>
    <n v="2547"/>
    <x v="1530"/>
    <x v="2"/>
    <x v="13"/>
    <n v="2"/>
    <n v="4896.32"/>
    <n v="9792.64"/>
    <x v="45"/>
    <n v="-2546.0864000000001"/>
    <x v="376"/>
    <x v="0"/>
    <x v="1"/>
    <n v="2391.23"/>
  </r>
  <r>
    <n v="2548"/>
    <x v="1531"/>
    <x v="5"/>
    <x v="19"/>
    <n v="-1"/>
    <n v="4994.07"/>
    <n v="-4994.07"/>
    <x v="1"/>
    <n v="-4994.07"/>
    <x v="4"/>
    <x v="4"/>
    <x v="0"/>
    <n v="2068.21"/>
  </r>
  <r>
    <n v="2549"/>
    <x v="1532"/>
    <x v="5"/>
    <x v="12"/>
    <n v="6"/>
    <n v="2319.23"/>
    <n v="13915.380000000001"/>
    <x v="1"/>
    <n v="13915.380000000001"/>
    <x v="474"/>
    <x v="1"/>
    <x v="0"/>
    <n v="-854.91"/>
  </r>
  <r>
    <n v="2550"/>
    <x v="1533"/>
    <x v="1"/>
    <x v="22"/>
    <n v="-1"/>
    <n v="1463.64"/>
    <n v="-1463.64"/>
    <x v="1"/>
    <n v="-1463.64"/>
    <x v="281"/>
    <x v="4"/>
    <x v="0"/>
    <n v="1667.2"/>
  </r>
  <r>
    <n v="2551"/>
    <x v="1534"/>
    <x v="3"/>
    <x v="7"/>
    <n v="6"/>
    <n v="4776.97"/>
    <n v="28661.82"/>
    <x v="1"/>
    <n v="28661.82"/>
    <x v="4"/>
    <x v="1"/>
    <x v="1"/>
    <n v="727.96"/>
  </r>
  <r>
    <n v="2552"/>
    <x v="1535"/>
    <x v="5"/>
    <x v="6"/>
    <n v="2"/>
    <n v="3617.02"/>
    <n v="7234.04"/>
    <x v="1"/>
    <n v="7234.04"/>
    <x v="488"/>
    <x v="4"/>
    <x v="0"/>
    <n v="2692.48"/>
  </r>
  <r>
    <n v="2553"/>
    <x v="1536"/>
    <x v="5"/>
    <x v="11"/>
    <n v="2"/>
    <n v="3347.39"/>
    <n v="6694.78"/>
    <x v="1"/>
    <n v="6694.78"/>
    <x v="489"/>
    <x v="2"/>
    <x v="1"/>
    <n v="441.13"/>
  </r>
  <r>
    <n v="2554"/>
    <x v="1537"/>
    <x v="2"/>
    <x v="10"/>
    <n v="2"/>
    <n v="2433.4699999999998"/>
    <n v="4866.9399999999996"/>
    <x v="1"/>
    <n v="4866.9399999999996"/>
    <x v="269"/>
    <x v="4"/>
    <x v="0"/>
    <n v="796.37"/>
  </r>
  <r>
    <n v="2555"/>
    <x v="1538"/>
    <x v="0"/>
    <x v="0"/>
    <n v="2"/>
    <n v="3633.07"/>
    <n v="7266.14"/>
    <x v="30"/>
    <n v="5667.5892000000003"/>
    <x v="458"/>
    <x v="5"/>
    <x v="1"/>
    <n v="826.86"/>
  </r>
  <r>
    <n v="2556"/>
    <x v="1539"/>
    <x v="1"/>
    <x v="1"/>
    <n v="2"/>
    <n v="2068.88"/>
    <n v="4137.76"/>
    <x v="1"/>
    <n v="4137.76"/>
    <x v="4"/>
    <x v="3"/>
    <x v="0"/>
    <n v="-9.99"/>
  </r>
  <r>
    <n v="2557"/>
    <x v="1540"/>
    <x v="3"/>
    <x v="7"/>
    <n v="-1"/>
    <n v="4626.4399999999996"/>
    <n v="-4626.4399999999996"/>
    <x v="9"/>
    <n v="462.64400000000035"/>
    <x v="304"/>
    <x v="1"/>
    <x v="1"/>
    <n v="1942.23"/>
  </r>
  <r>
    <n v="2558"/>
    <x v="1541"/>
    <x v="3"/>
    <x v="7"/>
    <n v="2"/>
    <n v="1175.25"/>
    <n v="2350.5"/>
    <x v="1"/>
    <n v="2350.5"/>
    <x v="4"/>
    <x v="2"/>
    <x v="1"/>
    <n v="854.14"/>
  </r>
  <r>
    <n v="2559"/>
    <x v="1542"/>
    <x v="3"/>
    <x v="21"/>
    <n v="0"/>
    <m/>
    <n v="0"/>
    <x v="118"/>
    <n v="0"/>
    <x v="4"/>
    <x v="5"/>
    <x v="0"/>
    <n v="-882.81"/>
  </r>
  <r>
    <n v="2560"/>
    <x v="1543"/>
    <x v="2"/>
    <x v="2"/>
    <n v="-1"/>
    <n v="4699.66"/>
    <n v="-4699.66"/>
    <x v="1"/>
    <n v="-4699.66"/>
    <x v="4"/>
    <x v="2"/>
    <x v="0"/>
    <n v="2759.92"/>
  </r>
  <r>
    <n v="2561"/>
    <x v="1544"/>
    <x v="1"/>
    <x v="1"/>
    <n v="5"/>
    <m/>
    <n v="0"/>
    <x v="1"/>
    <n v="0"/>
    <x v="4"/>
    <x v="1"/>
    <x v="1"/>
    <n v="559.97"/>
  </r>
  <r>
    <n v="1044"/>
    <x v="1545"/>
    <x v="1"/>
    <x v="15"/>
    <n v="2"/>
    <n v="756.73"/>
    <n v="1513.46"/>
    <x v="1"/>
    <n v="1513.46"/>
    <x v="396"/>
    <x v="0"/>
    <x v="0"/>
    <n v="1504.13"/>
  </r>
  <r>
    <n v="2563"/>
    <x v="1546"/>
    <x v="3"/>
    <x v="7"/>
    <n v="2"/>
    <m/>
    <n v="0"/>
    <x v="12"/>
    <n v="0"/>
    <x v="206"/>
    <x v="4"/>
    <x v="0"/>
    <n v="891.43"/>
  </r>
  <r>
    <n v="2564"/>
    <x v="1547"/>
    <x v="1"/>
    <x v="22"/>
    <n v="-1"/>
    <m/>
    <n v="0"/>
    <x v="1"/>
    <n v="0"/>
    <x v="490"/>
    <x v="2"/>
    <x v="0"/>
    <n v="-479.17"/>
  </r>
  <r>
    <n v="2565"/>
    <x v="1548"/>
    <x v="2"/>
    <x v="10"/>
    <n v="2"/>
    <m/>
    <n v="0"/>
    <x v="1"/>
    <n v="0"/>
    <x v="4"/>
    <x v="5"/>
    <x v="1"/>
    <n v="415.71"/>
  </r>
  <r>
    <n v="2566"/>
    <x v="1549"/>
    <x v="4"/>
    <x v="4"/>
    <n v="1"/>
    <n v="4482.08"/>
    <n v="4482.08"/>
    <x v="1"/>
    <n v="4482.08"/>
    <x v="188"/>
    <x v="3"/>
    <x v="0"/>
    <n v="464.92"/>
  </r>
  <r>
    <n v="2567"/>
    <x v="1550"/>
    <x v="4"/>
    <x v="16"/>
    <n v="4"/>
    <m/>
    <n v="0"/>
    <x v="90"/>
    <n v="0"/>
    <x v="388"/>
    <x v="0"/>
    <x v="0"/>
    <n v="2962.69"/>
  </r>
  <r>
    <n v="1013"/>
    <x v="1551"/>
    <x v="2"/>
    <x v="10"/>
    <n v="6"/>
    <n v="2355.2800000000002"/>
    <n v="14131.68"/>
    <x v="1"/>
    <n v="14131.68"/>
    <x v="474"/>
    <x v="1"/>
    <x v="0"/>
    <n v="330.11"/>
  </r>
  <r>
    <n v="2569"/>
    <x v="1552"/>
    <x v="1"/>
    <x v="22"/>
    <n v="2"/>
    <n v="1263.8399999999999"/>
    <n v="2527.6799999999998"/>
    <x v="1"/>
    <n v="2527.6799999999998"/>
    <x v="175"/>
    <x v="4"/>
    <x v="1"/>
    <n v="2520.08"/>
  </r>
  <r>
    <n v="2570"/>
    <x v="1553"/>
    <x v="1"/>
    <x v="18"/>
    <n v="-1"/>
    <m/>
    <n v="0"/>
    <x v="107"/>
    <n v="0"/>
    <x v="240"/>
    <x v="4"/>
    <x v="1"/>
    <n v="1668.49"/>
  </r>
  <r>
    <n v="2571"/>
    <x v="1554"/>
    <x v="5"/>
    <x v="12"/>
    <n v="-2"/>
    <n v="3061.98"/>
    <n v="-6123.96"/>
    <x v="1"/>
    <n v="-6123.96"/>
    <x v="179"/>
    <x v="1"/>
    <x v="0"/>
    <n v="2553.09"/>
  </r>
  <r>
    <n v="2572"/>
    <x v="1555"/>
    <x v="4"/>
    <x v="8"/>
    <n v="0"/>
    <m/>
    <n v="0"/>
    <x v="1"/>
    <n v="0"/>
    <x v="32"/>
    <x v="5"/>
    <x v="1"/>
    <n v="-305.72000000000003"/>
  </r>
  <r>
    <n v="2573"/>
    <x v="1556"/>
    <x v="1"/>
    <x v="22"/>
    <n v="2"/>
    <m/>
    <n v="0"/>
    <x v="1"/>
    <n v="0"/>
    <x v="491"/>
    <x v="1"/>
    <x v="0"/>
    <n v="-215"/>
  </r>
  <r>
    <n v="2574"/>
    <x v="1557"/>
    <x v="5"/>
    <x v="12"/>
    <n v="-2"/>
    <m/>
    <n v="0"/>
    <x v="1"/>
    <n v="0"/>
    <x v="91"/>
    <x v="5"/>
    <x v="1"/>
    <n v="-39.299999999999997"/>
  </r>
  <r>
    <n v="2575"/>
    <x v="1558"/>
    <x v="2"/>
    <x v="10"/>
    <n v="-2"/>
    <n v="2714.78"/>
    <n v="-5429.56"/>
    <x v="32"/>
    <n v="-3149.1448000000005"/>
    <x v="58"/>
    <x v="1"/>
    <x v="1"/>
    <n v="1220.49"/>
  </r>
  <r>
    <n v="2576"/>
    <x v="1559"/>
    <x v="0"/>
    <x v="9"/>
    <n v="2"/>
    <m/>
    <n v="0"/>
    <x v="10"/>
    <n v="0"/>
    <x v="23"/>
    <x v="2"/>
    <x v="0"/>
    <n v="515.36"/>
  </r>
  <r>
    <n v="2577"/>
    <x v="1560"/>
    <x v="0"/>
    <x v="9"/>
    <n v="1"/>
    <n v="609.05999999999995"/>
    <n v="609.05999999999995"/>
    <x v="91"/>
    <n v="505.51979999999992"/>
    <x v="341"/>
    <x v="1"/>
    <x v="0"/>
    <n v="110.23"/>
  </r>
  <r>
    <n v="2578"/>
    <x v="1561"/>
    <x v="4"/>
    <x v="16"/>
    <n v="2"/>
    <m/>
    <n v="0"/>
    <x v="57"/>
    <n v="0"/>
    <x v="4"/>
    <x v="4"/>
    <x v="0"/>
    <n v="2826.66"/>
  </r>
  <r>
    <n v="1026"/>
    <x v="1562"/>
    <x v="0"/>
    <x v="5"/>
    <n v="2"/>
    <n v="2293.29"/>
    <n v="4586.58"/>
    <x v="33"/>
    <n v="2751.9479999999999"/>
    <x v="4"/>
    <x v="2"/>
    <x v="0"/>
    <n v="1000.06"/>
  </r>
  <r>
    <n v="2580"/>
    <x v="1563"/>
    <x v="2"/>
    <x v="2"/>
    <n v="2"/>
    <m/>
    <n v="0"/>
    <x v="1"/>
    <n v="0"/>
    <x v="492"/>
    <x v="4"/>
    <x v="0"/>
    <n v="2076.5300000000002"/>
  </r>
  <r>
    <n v="2581"/>
    <x v="1564"/>
    <x v="1"/>
    <x v="15"/>
    <n v="2"/>
    <n v="3895.43"/>
    <n v="7790.86"/>
    <x v="1"/>
    <n v="7790.86"/>
    <x v="27"/>
    <x v="3"/>
    <x v="0"/>
    <n v="1316.66"/>
  </r>
  <r>
    <n v="2582"/>
    <x v="1565"/>
    <x v="4"/>
    <x v="8"/>
    <n v="2"/>
    <n v="4154.55"/>
    <n v="8309.1"/>
    <x v="104"/>
    <n v="415.45500000000038"/>
    <x v="269"/>
    <x v="5"/>
    <x v="1"/>
    <n v="-247.99"/>
  </r>
  <r>
    <n v="1014"/>
    <x v="1566"/>
    <x v="0"/>
    <x v="5"/>
    <n v="-2"/>
    <m/>
    <n v="0"/>
    <x v="1"/>
    <n v="0"/>
    <x v="493"/>
    <x v="0"/>
    <x v="0"/>
    <n v="1946.1"/>
  </r>
  <r>
    <n v="2584"/>
    <x v="1567"/>
    <x v="3"/>
    <x v="23"/>
    <n v="3"/>
    <n v="1276.26"/>
    <n v="3828.7799999999997"/>
    <x v="70"/>
    <n v="1186.9218000000001"/>
    <x v="4"/>
    <x v="2"/>
    <x v="0"/>
    <n v="2446.6999999999998"/>
  </r>
  <r>
    <n v="2585"/>
    <x v="1568"/>
    <x v="5"/>
    <x v="6"/>
    <n v="2"/>
    <m/>
    <n v="0"/>
    <x v="1"/>
    <n v="0"/>
    <x v="133"/>
    <x v="4"/>
    <x v="0"/>
    <n v="1123.27"/>
  </r>
  <r>
    <n v="2586"/>
    <x v="1569"/>
    <x v="0"/>
    <x v="0"/>
    <n v="2"/>
    <n v="789.21"/>
    <n v="1578.42"/>
    <x v="1"/>
    <n v="1578.42"/>
    <x v="48"/>
    <x v="1"/>
    <x v="0"/>
    <n v="1565.56"/>
  </r>
  <r>
    <n v="2587"/>
    <x v="1570"/>
    <x v="4"/>
    <x v="14"/>
    <n v="5"/>
    <n v="3463.37"/>
    <n v="17316.849999999999"/>
    <x v="105"/>
    <n v="15585.164999999999"/>
    <x v="4"/>
    <x v="3"/>
    <x v="1"/>
    <n v="-957.03"/>
  </r>
  <r>
    <n v="2588"/>
    <x v="1571"/>
    <x v="3"/>
    <x v="7"/>
    <n v="2"/>
    <m/>
    <n v="0"/>
    <x v="89"/>
    <n v="0"/>
    <x v="55"/>
    <x v="4"/>
    <x v="0"/>
    <n v="-927.74"/>
  </r>
  <r>
    <n v="2589"/>
    <x v="1572"/>
    <x v="2"/>
    <x v="13"/>
    <n v="0"/>
    <n v="3256.31"/>
    <n v="0"/>
    <x v="1"/>
    <n v="0"/>
    <x v="323"/>
    <x v="0"/>
    <x v="0"/>
    <n v="2266.79"/>
  </r>
  <r>
    <n v="2590"/>
    <x v="1573"/>
    <x v="2"/>
    <x v="13"/>
    <n v="2"/>
    <m/>
    <n v="0"/>
    <x v="96"/>
    <n v="0"/>
    <x v="494"/>
    <x v="0"/>
    <x v="1"/>
    <n v="1613.88"/>
  </r>
  <r>
    <n v="2591"/>
    <x v="1574"/>
    <x v="1"/>
    <x v="18"/>
    <n v="2"/>
    <n v="4784.03"/>
    <n v="9568.06"/>
    <x v="1"/>
    <n v="9568.06"/>
    <x v="133"/>
    <x v="4"/>
    <x v="0"/>
    <n v="176.96"/>
  </r>
  <r>
    <n v="2592"/>
    <x v="381"/>
    <x v="4"/>
    <x v="4"/>
    <n v="2"/>
    <n v="4965.93"/>
    <n v="9931.86"/>
    <x v="1"/>
    <n v="9931.86"/>
    <x v="4"/>
    <x v="5"/>
    <x v="0"/>
    <n v="1406.72"/>
  </r>
  <r>
    <n v="2593"/>
    <x v="1575"/>
    <x v="5"/>
    <x v="11"/>
    <n v="4"/>
    <n v="736.36"/>
    <n v="2945.44"/>
    <x v="116"/>
    <n v="500.72480000000013"/>
    <x v="4"/>
    <x v="2"/>
    <x v="0"/>
    <n v="2463.6799999999998"/>
  </r>
  <r>
    <n v="2594"/>
    <x v="1576"/>
    <x v="0"/>
    <x v="9"/>
    <n v="2"/>
    <m/>
    <n v="0"/>
    <x v="62"/>
    <n v="0"/>
    <x v="4"/>
    <x v="5"/>
    <x v="0"/>
    <n v="580.23"/>
  </r>
  <r>
    <n v="2595"/>
    <x v="1577"/>
    <x v="5"/>
    <x v="11"/>
    <n v="2"/>
    <n v="2469.67"/>
    <n v="4939.34"/>
    <x v="89"/>
    <n v="-345.7538000000003"/>
    <x v="475"/>
    <x v="2"/>
    <x v="1"/>
    <n v="802.05"/>
  </r>
  <r>
    <n v="2596"/>
    <x v="1578"/>
    <x v="0"/>
    <x v="0"/>
    <n v="2"/>
    <n v="2538.5700000000002"/>
    <n v="5077.1400000000003"/>
    <x v="1"/>
    <n v="5077.1400000000003"/>
    <x v="393"/>
    <x v="4"/>
    <x v="0"/>
    <n v="342.21"/>
  </r>
  <r>
    <n v="2597"/>
    <x v="1579"/>
    <x v="1"/>
    <x v="1"/>
    <n v="2"/>
    <m/>
    <n v="0"/>
    <x v="1"/>
    <n v="0"/>
    <x v="4"/>
    <x v="3"/>
    <x v="1"/>
    <n v="538.11"/>
  </r>
  <r>
    <n v="2598"/>
    <x v="1580"/>
    <x v="1"/>
    <x v="18"/>
    <n v="-2"/>
    <n v="4412.21"/>
    <n v="-8824.42"/>
    <x v="1"/>
    <n v="-8824.42"/>
    <x v="4"/>
    <x v="3"/>
    <x v="0"/>
    <n v="2917.18"/>
  </r>
  <r>
    <n v="2599"/>
    <x v="1581"/>
    <x v="2"/>
    <x v="10"/>
    <n v="2"/>
    <m/>
    <n v="0"/>
    <x v="37"/>
    <n v="0"/>
    <x v="322"/>
    <x v="4"/>
    <x v="0"/>
    <n v="2293.29"/>
  </r>
  <r>
    <n v="2600"/>
    <x v="1582"/>
    <x v="2"/>
    <x v="17"/>
    <n v="5"/>
    <n v="4832.16"/>
    <n v="24160.799999999999"/>
    <x v="1"/>
    <n v="24160.799999999999"/>
    <x v="53"/>
    <x v="5"/>
    <x v="1"/>
    <n v="1707.66"/>
  </r>
  <r>
    <n v="2601"/>
    <x v="1583"/>
    <x v="0"/>
    <x v="20"/>
    <n v="1"/>
    <m/>
    <n v="0"/>
    <x v="103"/>
    <n v="0"/>
    <x v="188"/>
    <x v="3"/>
    <x v="1"/>
    <n v="2556.02"/>
  </r>
  <r>
    <n v="1002"/>
    <x v="1584"/>
    <x v="3"/>
    <x v="21"/>
    <n v="2"/>
    <m/>
    <n v="0"/>
    <x v="1"/>
    <n v="0"/>
    <x v="300"/>
    <x v="1"/>
    <x v="0"/>
    <n v="48.87"/>
  </r>
  <r>
    <n v="2603"/>
    <x v="1585"/>
    <x v="4"/>
    <x v="4"/>
    <n v="5"/>
    <n v="4403.84"/>
    <n v="22019.200000000001"/>
    <x v="1"/>
    <n v="22019.200000000001"/>
    <x v="4"/>
    <x v="2"/>
    <x v="0"/>
    <n v="-513.19000000000005"/>
  </r>
  <r>
    <n v="2604"/>
    <x v="1586"/>
    <x v="2"/>
    <x v="17"/>
    <n v="-1"/>
    <n v="2171.2199999999998"/>
    <n v="-2171.2199999999998"/>
    <x v="1"/>
    <n v="-2171.2199999999998"/>
    <x v="183"/>
    <x v="3"/>
    <x v="1"/>
    <n v="2595.2199999999998"/>
  </r>
  <r>
    <n v="2605"/>
    <x v="1587"/>
    <x v="5"/>
    <x v="6"/>
    <n v="1"/>
    <n v="1636.26"/>
    <n v="1636.26"/>
    <x v="8"/>
    <n v="98.175600000000088"/>
    <x v="123"/>
    <x v="4"/>
    <x v="0"/>
    <n v="615.80999999999995"/>
  </r>
  <r>
    <n v="2606"/>
    <x v="1588"/>
    <x v="0"/>
    <x v="9"/>
    <n v="2"/>
    <n v="806.81"/>
    <n v="1613.62"/>
    <x v="112"/>
    <n v="1436.1217999999999"/>
    <x v="495"/>
    <x v="5"/>
    <x v="0"/>
    <n v="634.66"/>
  </r>
  <r>
    <n v="2607"/>
    <x v="1589"/>
    <x v="1"/>
    <x v="1"/>
    <n v="2"/>
    <n v="2289.9299999999998"/>
    <n v="4579.8599999999997"/>
    <x v="61"/>
    <n v="-915.97199999999975"/>
    <x v="88"/>
    <x v="3"/>
    <x v="1"/>
    <n v="183.34"/>
  </r>
  <r>
    <n v="2608"/>
    <x v="1590"/>
    <x v="1"/>
    <x v="1"/>
    <n v="2"/>
    <n v="3352.88"/>
    <n v="6705.76"/>
    <x v="1"/>
    <n v="6705.76"/>
    <x v="496"/>
    <x v="2"/>
    <x v="1"/>
    <n v="2684.88"/>
  </r>
  <r>
    <n v="2609"/>
    <x v="1591"/>
    <x v="1"/>
    <x v="1"/>
    <n v="2"/>
    <m/>
    <n v="0"/>
    <x v="1"/>
    <n v="0"/>
    <x v="4"/>
    <x v="0"/>
    <x v="0"/>
    <n v="641.89"/>
  </r>
  <r>
    <n v="2610"/>
    <x v="1592"/>
    <x v="4"/>
    <x v="8"/>
    <n v="5"/>
    <n v="1606.99"/>
    <n v="8034.95"/>
    <x v="1"/>
    <n v="8034.95"/>
    <x v="454"/>
    <x v="1"/>
    <x v="0"/>
    <n v="1743.11"/>
  </r>
  <r>
    <n v="2611"/>
    <x v="1593"/>
    <x v="5"/>
    <x v="12"/>
    <n v="-2"/>
    <m/>
    <n v="0"/>
    <x v="65"/>
    <n v="0"/>
    <x v="312"/>
    <x v="5"/>
    <x v="1"/>
    <n v="2391.6999999999998"/>
  </r>
  <r>
    <n v="2612"/>
    <x v="1594"/>
    <x v="3"/>
    <x v="21"/>
    <n v="2"/>
    <n v="2672.64"/>
    <n v="5345.28"/>
    <x v="1"/>
    <n v="5345.28"/>
    <x v="279"/>
    <x v="3"/>
    <x v="1"/>
    <n v="1142.44"/>
  </r>
  <r>
    <n v="2613"/>
    <x v="1595"/>
    <x v="4"/>
    <x v="16"/>
    <n v="2"/>
    <n v="2438.16"/>
    <n v="4876.32"/>
    <x v="1"/>
    <n v="4876.32"/>
    <x v="105"/>
    <x v="5"/>
    <x v="1"/>
    <n v="161.35"/>
  </r>
  <r>
    <n v="2614"/>
    <x v="1596"/>
    <x v="2"/>
    <x v="10"/>
    <n v="2"/>
    <n v="4530.28"/>
    <n v="9060.56"/>
    <x v="93"/>
    <n v="2989.9847999999993"/>
    <x v="193"/>
    <x v="1"/>
    <x v="1"/>
    <n v="2891.77"/>
  </r>
  <r>
    <n v="2615"/>
    <x v="1597"/>
    <x v="4"/>
    <x v="14"/>
    <n v="2"/>
    <m/>
    <n v="0"/>
    <x v="1"/>
    <n v="0"/>
    <x v="401"/>
    <x v="2"/>
    <x v="1"/>
    <n v="1644.18"/>
  </r>
  <r>
    <n v="2616"/>
    <x v="1598"/>
    <x v="4"/>
    <x v="16"/>
    <n v="5"/>
    <m/>
    <n v="0"/>
    <x v="102"/>
    <n v="0"/>
    <x v="270"/>
    <x v="5"/>
    <x v="1"/>
    <n v="2858.08"/>
  </r>
  <r>
    <n v="2617"/>
    <x v="1599"/>
    <x v="5"/>
    <x v="11"/>
    <n v="2"/>
    <m/>
    <n v="0"/>
    <x v="1"/>
    <n v="0"/>
    <x v="112"/>
    <x v="2"/>
    <x v="0"/>
    <n v="-151.75"/>
  </r>
  <r>
    <n v="2618"/>
    <x v="1600"/>
    <x v="2"/>
    <x v="17"/>
    <n v="2"/>
    <m/>
    <n v="0"/>
    <x v="104"/>
    <n v="0"/>
    <x v="497"/>
    <x v="1"/>
    <x v="0"/>
    <n v="-850.68"/>
  </r>
  <r>
    <n v="2619"/>
    <x v="1601"/>
    <x v="0"/>
    <x v="9"/>
    <n v="2"/>
    <m/>
    <n v="0"/>
    <x v="1"/>
    <n v="0"/>
    <x v="4"/>
    <x v="1"/>
    <x v="0"/>
    <n v="1443.87"/>
  </r>
  <r>
    <n v="2620"/>
    <x v="1602"/>
    <x v="2"/>
    <x v="2"/>
    <n v="2"/>
    <n v="3415.9"/>
    <n v="6831.8"/>
    <x v="1"/>
    <n v="6831.8"/>
    <x v="9"/>
    <x v="2"/>
    <x v="0"/>
    <n v="25.83"/>
  </r>
  <r>
    <n v="2621"/>
    <x v="1603"/>
    <x v="2"/>
    <x v="2"/>
    <n v="4"/>
    <m/>
    <n v="0"/>
    <x v="119"/>
    <n v="0"/>
    <x v="454"/>
    <x v="0"/>
    <x v="1"/>
    <n v="2237.85"/>
  </r>
  <r>
    <n v="2622"/>
    <x v="1242"/>
    <x v="4"/>
    <x v="8"/>
    <n v="2"/>
    <n v="2705.13"/>
    <n v="5410.26"/>
    <x v="1"/>
    <n v="5410.26"/>
    <x v="498"/>
    <x v="0"/>
    <x v="0"/>
    <n v="1133.53"/>
  </r>
  <r>
    <n v="1020"/>
    <x v="1604"/>
    <x v="5"/>
    <x v="19"/>
    <n v="2"/>
    <m/>
    <n v="0"/>
    <x v="1"/>
    <n v="0"/>
    <x v="499"/>
    <x v="5"/>
    <x v="0"/>
    <n v="1224.3499999999999"/>
  </r>
  <r>
    <n v="2624"/>
    <x v="1605"/>
    <x v="3"/>
    <x v="23"/>
    <n v="-1"/>
    <m/>
    <n v="0"/>
    <x v="38"/>
    <n v="0"/>
    <x v="93"/>
    <x v="1"/>
    <x v="0"/>
    <n v="559.1"/>
  </r>
  <r>
    <n v="2625"/>
    <x v="1606"/>
    <x v="5"/>
    <x v="11"/>
    <n v="2"/>
    <m/>
    <n v="0"/>
    <x v="1"/>
    <n v="0"/>
    <x v="500"/>
    <x v="2"/>
    <x v="1"/>
    <n v="1271.1199999999999"/>
  </r>
  <r>
    <n v="2626"/>
    <x v="1607"/>
    <x v="4"/>
    <x v="4"/>
    <n v="2"/>
    <n v="4932.25"/>
    <n v="9864.5"/>
    <x v="1"/>
    <n v="9864.5"/>
    <x v="365"/>
    <x v="3"/>
    <x v="0"/>
    <n v="742.42"/>
  </r>
  <r>
    <n v="2627"/>
    <x v="1608"/>
    <x v="5"/>
    <x v="12"/>
    <n v="-2"/>
    <m/>
    <n v="0"/>
    <x v="1"/>
    <n v="0"/>
    <x v="101"/>
    <x v="2"/>
    <x v="0"/>
    <n v="87.54"/>
  </r>
  <r>
    <n v="2628"/>
    <x v="1609"/>
    <x v="0"/>
    <x v="9"/>
    <n v="2"/>
    <m/>
    <n v="0"/>
    <x v="1"/>
    <n v="0"/>
    <x v="501"/>
    <x v="0"/>
    <x v="1"/>
    <n v="2466.4299999999998"/>
  </r>
  <r>
    <n v="2629"/>
    <x v="1610"/>
    <x v="5"/>
    <x v="19"/>
    <n v="2"/>
    <m/>
    <n v="0"/>
    <x v="1"/>
    <n v="0"/>
    <x v="306"/>
    <x v="4"/>
    <x v="0"/>
    <n v="1765.52"/>
  </r>
  <r>
    <n v="2630"/>
    <x v="1611"/>
    <x v="2"/>
    <x v="2"/>
    <n v="2"/>
    <n v="856.83"/>
    <n v="1713.66"/>
    <x v="1"/>
    <n v="1713.66"/>
    <x v="281"/>
    <x v="1"/>
    <x v="0"/>
    <n v="1369.89"/>
  </r>
  <r>
    <n v="2631"/>
    <x v="1612"/>
    <x v="3"/>
    <x v="21"/>
    <n v="2"/>
    <n v="1753.02"/>
    <n v="3506.04"/>
    <x v="37"/>
    <n v="2699.6507999999999"/>
    <x v="423"/>
    <x v="5"/>
    <x v="0"/>
    <n v="-766.47"/>
  </r>
  <r>
    <n v="2632"/>
    <x v="1613"/>
    <x v="2"/>
    <x v="2"/>
    <n v="3"/>
    <n v="4127.32"/>
    <n v="12381.96"/>
    <x v="1"/>
    <n v="12381.96"/>
    <x v="4"/>
    <x v="5"/>
    <x v="1"/>
    <n v="989.17"/>
  </r>
  <r>
    <n v="2633"/>
    <x v="1614"/>
    <x v="3"/>
    <x v="23"/>
    <n v="-1"/>
    <m/>
    <n v="0"/>
    <x v="57"/>
    <n v="0"/>
    <x v="485"/>
    <x v="5"/>
    <x v="1"/>
    <n v="300.47000000000003"/>
  </r>
  <r>
    <n v="2634"/>
    <x v="1615"/>
    <x v="3"/>
    <x v="21"/>
    <n v="-2"/>
    <m/>
    <n v="0"/>
    <x v="78"/>
    <n v="0"/>
    <x v="4"/>
    <x v="4"/>
    <x v="1"/>
    <n v="2065.7399999999998"/>
  </r>
  <r>
    <n v="2635"/>
    <x v="1616"/>
    <x v="2"/>
    <x v="17"/>
    <n v="2"/>
    <m/>
    <n v="0"/>
    <x v="1"/>
    <n v="0"/>
    <x v="347"/>
    <x v="5"/>
    <x v="0"/>
    <n v="461.83"/>
  </r>
  <r>
    <n v="2636"/>
    <x v="1617"/>
    <x v="5"/>
    <x v="12"/>
    <n v="3"/>
    <n v="1006.98"/>
    <n v="3020.94"/>
    <x v="1"/>
    <n v="3020.94"/>
    <x v="271"/>
    <x v="2"/>
    <x v="1"/>
    <n v="1576.71"/>
  </r>
  <r>
    <n v="2637"/>
    <x v="1618"/>
    <x v="1"/>
    <x v="22"/>
    <n v="2"/>
    <m/>
    <n v="0"/>
    <x v="122"/>
    <n v="0"/>
    <x v="4"/>
    <x v="0"/>
    <x v="1"/>
    <n v="1326.41"/>
  </r>
  <r>
    <n v="2638"/>
    <x v="1619"/>
    <x v="1"/>
    <x v="22"/>
    <n v="6"/>
    <n v="2012.14"/>
    <n v="12072.84"/>
    <x v="1"/>
    <n v="12072.84"/>
    <x v="388"/>
    <x v="0"/>
    <x v="1"/>
    <n v="3.53"/>
  </r>
  <r>
    <n v="2639"/>
    <x v="1620"/>
    <x v="2"/>
    <x v="10"/>
    <n v="-1"/>
    <n v="4947.96"/>
    <n v="-4947.96"/>
    <x v="1"/>
    <n v="-4947.96"/>
    <x v="4"/>
    <x v="5"/>
    <x v="0"/>
    <n v="1245.6099999999999"/>
  </r>
  <r>
    <n v="2640"/>
    <x v="1621"/>
    <x v="1"/>
    <x v="22"/>
    <n v="6"/>
    <n v="4720.2299999999996"/>
    <n v="28321.379999999997"/>
    <x v="70"/>
    <n v="8779.6278000000002"/>
    <x v="264"/>
    <x v="1"/>
    <x v="1"/>
    <n v="2243.09"/>
  </r>
  <r>
    <n v="2641"/>
    <x v="1622"/>
    <x v="5"/>
    <x v="19"/>
    <n v="6"/>
    <m/>
    <n v="0"/>
    <x v="1"/>
    <n v="0"/>
    <x v="110"/>
    <x v="0"/>
    <x v="1"/>
    <n v="-151.61000000000001"/>
  </r>
  <r>
    <n v="2642"/>
    <x v="1623"/>
    <x v="1"/>
    <x v="15"/>
    <n v="-1"/>
    <n v="1043.58"/>
    <n v="-1043.58"/>
    <x v="1"/>
    <n v="-1043.58"/>
    <x v="35"/>
    <x v="4"/>
    <x v="1"/>
    <n v="1206.72"/>
  </r>
  <r>
    <n v="2643"/>
    <x v="1624"/>
    <x v="1"/>
    <x v="15"/>
    <n v="2"/>
    <m/>
    <n v="0"/>
    <x v="26"/>
    <n v="0"/>
    <x v="89"/>
    <x v="3"/>
    <x v="1"/>
    <n v="2911.37"/>
  </r>
  <r>
    <n v="2644"/>
    <x v="1625"/>
    <x v="0"/>
    <x v="0"/>
    <n v="2"/>
    <m/>
    <n v="0"/>
    <x v="1"/>
    <n v="0"/>
    <x v="502"/>
    <x v="2"/>
    <x v="0"/>
    <n v="2044.35"/>
  </r>
  <r>
    <n v="2645"/>
    <x v="1626"/>
    <x v="3"/>
    <x v="7"/>
    <n v="2"/>
    <m/>
    <n v="0"/>
    <x v="98"/>
    <n v="0"/>
    <x v="503"/>
    <x v="1"/>
    <x v="1"/>
    <n v="1141.67"/>
  </r>
  <r>
    <n v="2646"/>
    <x v="1627"/>
    <x v="0"/>
    <x v="5"/>
    <n v="6"/>
    <m/>
    <n v="0"/>
    <x v="1"/>
    <n v="0"/>
    <x v="63"/>
    <x v="0"/>
    <x v="0"/>
    <n v="2299.84"/>
  </r>
  <r>
    <n v="2647"/>
    <x v="1628"/>
    <x v="3"/>
    <x v="3"/>
    <n v="5"/>
    <m/>
    <n v="0"/>
    <x v="1"/>
    <n v="0"/>
    <x v="448"/>
    <x v="4"/>
    <x v="1"/>
    <n v="-102.81"/>
  </r>
  <r>
    <n v="2648"/>
    <x v="1629"/>
    <x v="0"/>
    <x v="9"/>
    <n v="2"/>
    <n v="4899.84"/>
    <n v="9799.68"/>
    <x v="1"/>
    <n v="9799.68"/>
    <x v="125"/>
    <x v="1"/>
    <x v="0"/>
    <n v="1775.2"/>
  </r>
  <r>
    <n v="2649"/>
    <x v="1630"/>
    <x v="3"/>
    <x v="7"/>
    <n v="3"/>
    <n v="3838.55"/>
    <n v="11515.650000000001"/>
    <x v="53"/>
    <n v="1036.4084999999998"/>
    <x v="504"/>
    <x v="5"/>
    <x v="0"/>
    <n v="2380.44"/>
  </r>
  <r>
    <n v="2650"/>
    <x v="1631"/>
    <x v="2"/>
    <x v="13"/>
    <n v="2"/>
    <m/>
    <n v="0"/>
    <x v="1"/>
    <n v="0"/>
    <x v="39"/>
    <x v="3"/>
    <x v="0"/>
    <n v="2003.15"/>
  </r>
  <r>
    <n v="1040"/>
    <x v="1632"/>
    <x v="1"/>
    <x v="1"/>
    <n v="2"/>
    <n v="1640.04"/>
    <n v="3280.08"/>
    <x v="1"/>
    <n v="3280.08"/>
    <x v="127"/>
    <x v="3"/>
    <x v="0"/>
    <n v="288.44"/>
  </r>
  <r>
    <n v="2652"/>
    <x v="1633"/>
    <x v="0"/>
    <x v="5"/>
    <n v="2"/>
    <m/>
    <n v="0"/>
    <x v="1"/>
    <n v="0"/>
    <x v="4"/>
    <x v="1"/>
    <x v="0"/>
    <n v="1472.41"/>
  </r>
  <r>
    <n v="2653"/>
    <x v="1634"/>
    <x v="4"/>
    <x v="8"/>
    <n v="2"/>
    <m/>
    <n v="0"/>
    <x v="71"/>
    <n v="0"/>
    <x v="505"/>
    <x v="5"/>
    <x v="1"/>
    <n v="-327.41000000000003"/>
  </r>
  <r>
    <n v="2654"/>
    <x v="1635"/>
    <x v="2"/>
    <x v="13"/>
    <n v="6"/>
    <m/>
    <n v="0"/>
    <x v="114"/>
    <n v="0"/>
    <x v="152"/>
    <x v="4"/>
    <x v="1"/>
    <n v="250.85"/>
  </r>
  <r>
    <n v="2655"/>
    <x v="1636"/>
    <x v="3"/>
    <x v="23"/>
    <n v="4"/>
    <m/>
    <n v="0"/>
    <x v="1"/>
    <n v="0"/>
    <x v="4"/>
    <x v="0"/>
    <x v="0"/>
    <n v="-630.72"/>
  </r>
  <r>
    <n v="2656"/>
    <x v="1637"/>
    <x v="2"/>
    <x v="10"/>
    <n v="2"/>
    <m/>
    <n v="0"/>
    <x v="1"/>
    <n v="0"/>
    <x v="381"/>
    <x v="1"/>
    <x v="0"/>
    <n v="1096.6099999999999"/>
  </r>
  <r>
    <n v="1033"/>
    <x v="1638"/>
    <x v="5"/>
    <x v="6"/>
    <n v="2"/>
    <n v="3863.95"/>
    <n v="7727.9"/>
    <x v="55"/>
    <n v="772.78999999999974"/>
    <x v="4"/>
    <x v="5"/>
    <x v="0"/>
    <n v="1784.65"/>
  </r>
  <r>
    <n v="2658"/>
    <x v="1639"/>
    <x v="0"/>
    <x v="20"/>
    <n v="2"/>
    <n v="3726.31"/>
    <n v="7452.62"/>
    <x v="1"/>
    <n v="7452.62"/>
    <x v="4"/>
    <x v="2"/>
    <x v="0"/>
    <n v="1524.78"/>
  </r>
  <r>
    <n v="2659"/>
    <x v="1640"/>
    <x v="4"/>
    <x v="14"/>
    <n v="2"/>
    <n v="1059.0899999999999"/>
    <n v="2118.1799999999998"/>
    <x v="72"/>
    <n v="-508.36319999999995"/>
    <x v="17"/>
    <x v="0"/>
    <x v="0"/>
    <n v="-521.41"/>
  </r>
  <r>
    <n v="2660"/>
    <x v="1641"/>
    <x v="4"/>
    <x v="16"/>
    <n v="2"/>
    <m/>
    <n v="0"/>
    <x v="1"/>
    <n v="0"/>
    <x v="4"/>
    <x v="4"/>
    <x v="0"/>
    <n v="1006.1"/>
  </r>
  <r>
    <n v="2661"/>
    <x v="1642"/>
    <x v="5"/>
    <x v="6"/>
    <n v="2"/>
    <m/>
    <n v="0"/>
    <x v="1"/>
    <n v="0"/>
    <x v="142"/>
    <x v="1"/>
    <x v="1"/>
    <n v="1249.5899999999999"/>
  </r>
  <r>
    <n v="2662"/>
    <x v="1643"/>
    <x v="4"/>
    <x v="4"/>
    <n v="-1"/>
    <n v="2718.51"/>
    <n v="-2718.51"/>
    <x v="1"/>
    <n v="-2718.51"/>
    <x v="221"/>
    <x v="5"/>
    <x v="0"/>
    <n v="903.59"/>
  </r>
  <r>
    <n v="2663"/>
    <x v="1644"/>
    <x v="3"/>
    <x v="7"/>
    <n v="-2"/>
    <n v="2212.25"/>
    <n v="-4424.5"/>
    <x v="90"/>
    <n v="-2875.9250000000002"/>
    <x v="91"/>
    <x v="2"/>
    <x v="0"/>
    <n v="2992.12"/>
  </r>
  <r>
    <n v="2664"/>
    <x v="1645"/>
    <x v="2"/>
    <x v="17"/>
    <n v="2"/>
    <m/>
    <n v="0"/>
    <x v="1"/>
    <n v="0"/>
    <x v="506"/>
    <x v="4"/>
    <x v="0"/>
    <n v="-338.97"/>
  </r>
  <r>
    <n v="2665"/>
    <x v="1646"/>
    <x v="1"/>
    <x v="18"/>
    <n v="3"/>
    <m/>
    <n v="0"/>
    <x v="1"/>
    <n v="0"/>
    <x v="246"/>
    <x v="5"/>
    <x v="0"/>
    <n v="122"/>
  </r>
  <r>
    <n v="2666"/>
    <x v="1647"/>
    <x v="5"/>
    <x v="12"/>
    <n v="2"/>
    <m/>
    <n v="0"/>
    <x v="1"/>
    <n v="0"/>
    <x v="4"/>
    <x v="5"/>
    <x v="1"/>
    <n v="1989.64"/>
  </r>
  <r>
    <n v="2667"/>
    <x v="1648"/>
    <x v="4"/>
    <x v="16"/>
    <n v="1"/>
    <n v="4710.7700000000004"/>
    <n v="4710.7700000000004"/>
    <x v="1"/>
    <n v="4710.7700000000004"/>
    <x v="4"/>
    <x v="1"/>
    <x v="1"/>
    <n v="2520.0500000000002"/>
  </r>
  <r>
    <n v="2668"/>
    <x v="1649"/>
    <x v="4"/>
    <x v="14"/>
    <n v="1"/>
    <m/>
    <n v="0"/>
    <x v="46"/>
    <n v="0"/>
    <x v="289"/>
    <x v="1"/>
    <x v="0"/>
    <n v="-3.95"/>
  </r>
  <r>
    <n v="2669"/>
    <x v="1650"/>
    <x v="4"/>
    <x v="16"/>
    <n v="-1"/>
    <m/>
    <n v="0"/>
    <x v="1"/>
    <n v="0"/>
    <x v="153"/>
    <x v="5"/>
    <x v="0"/>
    <n v="-760.17"/>
  </r>
  <r>
    <n v="2670"/>
    <x v="1651"/>
    <x v="4"/>
    <x v="16"/>
    <n v="2"/>
    <m/>
    <n v="0"/>
    <x v="1"/>
    <n v="0"/>
    <x v="190"/>
    <x v="5"/>
    <x v="0"/>
    <n v="775.45"/>
  </r>
  <r>
    <n v="2671"/>
    <x v="1652"/>
    <x v="3"/>
    <x v="23"/>
    <n v="2"/>
    <n v="2377.81"/>
    <n v="4755.62"/>
    <x v="13"/>
    <n v="2044.9166000000002"/>
    <x v="4"/>
    <x v="2"/>
    <x v="1"/>
    <n v="1967.3"/>
  </r>
  <r>
    <n v="1026"/>
    <x v="1653"/>
    <x v="5"/>
    <x v="11"/>
    <n v="2"/>
    <m/>
    <n v="0"/>
    <x v="1"/>
    <n v="0"/>
    <x v="413"/>
    <x v="1"/>
    <x v="0"/>
    <n v="2344.12"/>
  </r>
  <r>
    <n v="2673"/>
    <x v="1654"/>
    <x v="3"/>
    <x v="3"/>
    <n v="2"/>
    <m/>
    <n v="0"/>
    <x v="1"/>
    <n v="0"/>
    <x v="4"/>
    <x v="3"/>
    <x v="1"/>
    <n v="2493.87"/>
  </r>
  <r>
    <n v="2674"/>
    <x v="1655"/>
    <x v="4"/>
    <x v="14"/>
    <n v="2"/>
    <n v="1261.5899999999999"/>
    <n v="2523.1799999999998"/>
    <x v="1"/>
    <n v="2523.1799999999998"/>
    <x v="494"/>
    <x v="2"/>
    <x v="1"/>
    <n v="534.09"/>
  </r>
  <r>
    <n v="2675"/>
    <x v="1656"/>
    <x v="2"/>
    <x v="2"/>
    <n v="1"/>
    <m/>
    <n v="0"/>
    <x v="116"/>
    <n v="0"/>
    <x v="504"/>
    <x v="2"/>
    <x v="0"/>
    <n v="2164.08"/>
  </r>
  <r>
    <n v="1014"/>
    <x v="1657"/>
    <x v="0"/>
    <x v="5"/>
    <n v="2"/>
    <m/>
    <n v="0"/>
    <x v="1"/>
    <n v="0"/>
    <x v="209"/>
    <x v="0"/>
    <x v="1"/>
    <n v="2219.4899999999998"/>
  </r>
  <r>
    <n v="2677"/>
    <x v="1658"/>
    <x v="2"/>
    <x v="13"/>
    <n v="5"/>
    <n v="1727.66"/>
    <n v="8638.3000000000011"/>
    <x v="72"/>
    <n v="-2073.192"/>
    <x v="238"/>
    <x v="5"/>
    <x v="1"/>
    <n v="-546.05999999999995"/>
  </r>
  <r>
    <n v="2678"/>
    <x v="1659"/>
    <x v="5"/>
    <x v="12"/>
    <n v="-2"/>
    <m/>
    <n v="0"/>
    <x v="115"/>
    <n v="0"/>
    <x v="157"/>
    <x v="4"/>
    <x v="0"/>
    <n v="-333.97"/>
  </r>
  <r>
    <n v="2679"/>
    <x v="1660"/>
    <x v="3"/>
    <x v="21"/>
    <n v="2"/>
    <n v="2514.6999999999998"/>
    <n v="5029.3999999999996"/>
    <x v="1"/>
    <n v="5029.3999999999996"/>
    <x v="507"/>
    <x v="4"/>
    <x v="0"/>
    <n v="2652.58"/>
  </r>
  <r>
    <n v="2680"/>
    <x v="1661"/>
    <x v="2"/>
    <x v="13"/>
    <n v="6"/>
    <m/>
    <n v="0"/>
    <x v="1"/>
    <n v="0"/>
    <x v="4"/>
    <x v="0"/>
    <x v="0"/>
    <n v="-963.81"/>
  </r>
  <r>
    <n v="2681"/>
    <x v="1662"/>
    <x v="1"/>
    <x v="18"/>
    <n v="-1"/>
    <n v="4770.92"/>
    <n v="-4770.92"/>
    <x v="1"/>
    <n v="-4770.92"/>
    <x v="508"/>
    <x v="5"/>
    <x v="1"/>
    <n v="433.04"/>
  </r>
  <r>
    <n v="2682"/>
    <x v="1663"/>
    <x v="4"/>
    <x v="16"/>
    <n v="2"/>
    <n v="4784.55"/>
    <n v="9569.1"/>
    <x v="1"/>
    <n v="9569.1"/>
    <x v="463"/>
    <x v="3"/>
    <x v="0"/>
    <n v="2034.52"/>
  </r>
  <r>
    <n v="2683"/>
    <x v="1664"/>
    <x v="1"/>
    <x v="1"/>
    <n v="5"/>
    <n v="3163.97"/>
    <n v="15819.849999999999"/>
    <x v="1"/>
    <n v="15819.849999999999"/>
    <x v="4"/>
    <x v="0"/>
    <x v="1"/>
    <n v="1411.27"/>
  </r>
  <r>
    <n v="2684"/>
    <x v="1665"/>
    <x v="2"/>
    <x v="17"/>
    <n v="2"/>
    <n v="794.81"/>
    <n v="1589.62"/>
    <x v="74"/>
    <n v="-190.75440000000015"/>
    <x v="509"/>
    <x v="3"/>
    <x v="1"/>
    <n v="-391.38"/>
  </r>
  <r>
    <n v="2685"/>
    <x v="1666"/>
    <x v="2"/>
    <x v="10"/>
    <n v="2"/>
    <n v="1804.59"/>
    <n v="3609.18"/>
    <x v="1"/>
    <n v="3609.18"/>
    <x v="200"/>
    <x v="1"/>
    <x v="1"/>
    <n v="-208.79"/>
  </r>
  <r>
    <n v="2686"/>
    <x v="1667"/>
    <x v="3"/>
    <x v="23"/>
    <n v="2"/>
    <m/>
    <n v="0"/>
    <x v="99"/>
    <n v="0"/>
    <x v="4"/>
    <x v="5"/>
    <x v="0"/>
    <n v="2957.49"/>
  </r>
  <r>
    <n v="2687"/>
    <x v="1668"/>
    <x v="2"/>
    <x v="10"/>
    <n v="0"/>
    <m/>
    <n v="0"/>
    <x v="1"/>
    <n v="0"/>
    <x v="370"/>
    <x v="2"/>
    <x v="0"/>
    <n v="510.99"/>
  </r>
  <r>
    <n v="2688"/>
    <x v="1669"/>
    <x v="4"/>
    <x v="4"/>
    <n v="2"/>
    <m/>
    <n v="0"/>
    <x v="112"/>
    <n v="0"/>
    <x v="4"/>
    <x v="4"/>
    <x v="0"/>
    <n v="161.9"/>
  </r>
  <r>
    <n v="2689"/>
    <x v="1670"/>
    <x v="3"/>
    <x v="23"/>
    <n v="4"/>
    <n v="4777.51"/>
    <n v="19110.04"/>
    <x v="1"/>
    <n v="19110.04"/>
    <x v="22"/>
    <x v="4"/>
    <x v="0"/>
    <n v="-204.04"/>
  </r>
  <r>
    <n v="2690"/>
    <x v="1671"/>
    <x v="0"/>
    <x v="20"/>
    <n v="2"/>
    <n v="2862.03"/>
    <n v="5724.06"/>
    <x v="1"/>
    <n v="5724.06"/>
    <x v="510"/>
    <x v="2"/>
    <x v="0"/>
    <n v="115.86"/>
  </r>
  <r>
    <n v="2691"/>
    <x v="1672"/>
    <x v="4"/>
    <x v="4"/>
    <n v="1"/>
    <m/>
    <n v="0"/>
    <x v="126"/>
    <n v="0"/>
    <x v="419"/>
    <x v="3"/>
    <x v="0"/>
    <n v="-182.86"/>
  </r>
  <r>
    <n v="2692"/>
    <x v="1673"/>
    <x v="5"/>
    <x v="19"/>
    <n v="2"/>
    <m/>
    <n v="0"/>
    <x v="1"/>
    <n v="0"/>
    <x v="69"/>
    <x v="2"/>
    <x v="0"/>
    <n v="-364.29"/>
  </r>
  <r>
    <n v="2693"/>
    <x v="1674"/>
    <x v="0"/>
    <x v="5"/>
    <n v="4"/>
    <n v="4366.3999999999996"/>
    <n v="17465.599999999999"/>
    <x v="1"/>
    <n v="17465.599999999999"/>
    <x v="4"/>
    <x v="4"/>
    <x v="0"/>
    <n v="-542.72"/>
  </r>
  <r>
    <n v="2694"/>
    <x v="1675"/>
    <x v="2"/>
    <x v="13"/>
    <n v="2"/>
    <n v="1617.83"/>
    <n v="3235.66"/>
    <x v="68"/>
    <n v="-582.41879999999981"/>
    <x v="75"/>
    <x v="0"/>
    <x v="0"/>
    <n v="1532.93"/>
  </r>
  <r>
    <n v="2695"/>
    <x v="1676"/>
    <x v="0"/>
    <x v="5"/>
    <n v="2"/>
    <n v="4834.87"/>
    <n v="9669.74"/>
    <x v="1"/>
    <n v="9669.74"/>
    <x v="4"/>
    <x v="3"/>
    <x v="1"/>
    <n v="1655.07"/>
  </r>
  <r>
    <n v="2696"/>
    <x v="1677"/>
    <x v="1"/>
    <x v="1"/>
    <n v="2"/>
    <n v="2579.8000000000002"/>
    <n v="5159.6000000000004"/>
    <x v="45"/>
    <n v="-1341.4960000000001"/>
    <x v="26"/>
    <x v="1"/>
    <x v="1"/>
    <n v="-804.09"/>
  </r>
  <r>
    <n v="2697"/>
    <x v="1678"/>
    <x v="5"/>
    <x v="12"/>
    <n v="2"/>
    <n v="3300.82"/>
    <n v="6601.64"/>
    <x v="1"/>
    <n v="6601.64"/>
    <x v="342"/>
    <x v="1"/>
    <x v="1"/>
    <n v="394.83"/>
  </r>
  <r>
    <n v="2698"/>
    <x v="1679"/>
    <x v="1"/>
    <x v="15"/>
    <n v="2"/>
    <n v="1810.81"/>
    <n v="3621.62"/>
    <x v="126"/>
    <n v="1810.81"/>
    <x v="4"/>
    <x v="5"/>
    <x v="0"/>
    <n v="1605.28"/>
  </r>
  <r>
    <n v="2699"/>
    <x v="1680"/>
    <x v="0"/>
    <x v="9"/>
    <n v="6"/>
    <m/>
    <n v="0"/>
    <x v="1"/>
    <n v="0"/>
    <x v="344"/>
    <x v="0"/>
    <x v="0"/>
    <n v="1068.6600000000001"/>
  </r>
  <r>
    <n v="2700"/>
    <x v="1681"/>
    <x v="2"/>
    <x v="17"/>
    <n v="2"/>
    <m/>
    <n v="0"/>
    <x v="1"/>
    <n v="0"/>
    <x v="4"/>
    <x v="2"/>
    <x v="0"/>
    <n v="588.04"/>
  </r>
  <r>
    <n v="2701"/>
    <x v="1682"/>
    <x v="3"/>
    <x v="21"/>
    <n v="-1"/>
    <n v="2085.92"/>
    <n v="-2085.92"/>
    <x v="1"/>
    <n v="-2085.92"/>
    <x v="295"/>
    <x v="3"/>
    <x v="0"/>
    <n v="1301.3699999999999"/>
  </r>
  <r>
    <n v="2702"/>
    <x v="1683"/>
    <x v="4"/>
    <x v="16"/>
    <n v="-2"/>
    <m/>
    <n v="0"/>
    <x v="1"/>
    <n v="0"/>
    <x v="498"/>
    <x v="4"/>
    <x v="0"/>
    <n v="606.51"/>
  </r>
  <r>
    <n v="2703"/>
    <x v="1684"/>
    <x v="3"/>
    <x v="3"/>
    <n v="-2"/>
    <m/>
    <n v="0"/>
    <x v="1"/>
    <n v="0"/>
    <x v="511"/>
    <x v="4"/>
    <x v="0"/>
    <n v="2193.86"/>
  </r>
  <r>
    <n v="2704"/>
    <x v="1685"/>
    <x v="1"/>
    <x v="15"/>
    <n v="1"/>
    <m/>
    <n v="0"/>
    <x v="1"/>
    <n v="0"/>
    <x v="178"/>
    <x v="2"/>
    <x v="0"/>
    <n v="7.12"/>
  </r>
  <r>
    <n v="2705"/>
    <x v="1686"/>
    <x v="5"/>
    <x v="6"/>
    <n v="2"/>
    <n v="4870.82"/>
    <n v="9741.64"/>
    <x v="1"/>
    <n v="9741.64"/>
    <x v="35"/>
    <x v="0"/>
    <x v="1"/>
    <n v="2833.18"/>
  </r>
  <r>
    <n v="2706"/>
    <x v="1687"/>
    <x v="4"/>
    <x v="14"/>
    <n v="6"/>
    <m/>
    <n v="0"/>
    <x v="1"/>
    <n v="0"/>
    <x v="135"/>
    <x v="5"/>
    <x v="0"/>
    <n v="2379.5"/>
  </r>
  <r>
    <n v="2707"/>
    <x v="1688"/>
    <x v="1"/>
    <x v="1"/>
    <n v="5"/>
    <m/>
    <n v="0"/>
    <x v="1"/>
    <n v="0"/>
    <x v="494"/>
    <x v="2"/>
    <x v="1"/>
    <n v="2763.02"/>
  </r>
  <r>
    <n v="2708"/>
    <x v="1689"/>
    <x v="3"/>
    <x v="3"/>
    <n v="4"/>
    <n v="4882.6899999999996"/>
    <n v="19530.759999999998"/>
    <x v="1"/>
    <n v="19530.759999999998"/>
    <x v="67"/>
    <x v="2"/>
    <x v="1"/>
    <n v="2658.6"/>
  </r>
  <r>
    <n v="2709"/>
    <x v="1690"/>
    <x v="1"/>
    <x v="15"/>
    <n v="2"/>
    <m/>
    <n v="0"/>
    <x v="118"/>
    <n v="0"/>
    <x v="366"/>
    <x v="4"/>
    <x v="0"/>
    <n v="-473.04"/>
  </r>
  <r>
    <n v="2710"/>
    <x v="1691"/>
    <x v="5"/>
    <x v="19"/>
    <n v="2"/>
    <n v="2565.5500000000002"/>
    <n v="5131.1000000000004"/>
    <x v="1"/>
    <n v="5131.1000000000004"/>
    <x v="31"/>
    <x v="3"/>
    <x v="0"/>
    <n v="62.05"/>
  </r>
  <r>
    <n v="2711"/>
    <x v="1692"/>
    <x v="5"/>
    <x v="19"/>
    <n v="2"/>
    <m/>
    <n v="0"/>
    <x v="1"/>
    <n v="0"/>
    <x v="443"/>
    <x v="5"/>
    <x v="1"/>
    <n v="-25.26"/>
  </r>
  <r>
    <n v="2712"/>
    <x v="1693"/>
    <x v="1"/>
    <x v="22"/>
    <n v="2"/>
    <m/>
    <n v="0"/>
    <x v="1"/>
    <n v="0"/>
    <x v="99"/>
    <x v="3"/>
    <x v="1"/>
    <n v="-973.58"/>
  </r>
  <r>
    <n v="2713"/>
    <x v="1694"/>
    <x v="2"/>
    <x v="10"/>
    <n v="0"/>
    <n v="1559.67"/>
    <n v="0"/>
    <x v="1"/>
    <n v="0"/>
    <x v="16"/>
    <x v="5"/>
    <x v="0"/>
    <n v="2605.5500000000002"/>
  </r>
  <r>
    <n v="2714"/>
    <x v="1695"/>
    <x v="2"/>
    <x v="17"/>
    <n v="-2"/>
    <n v="1171.79"/>
    <n v="-2343.58"/>
    <x v="1"/>
    <n v="-2343.58"/>
    <x v="4"/>
    <x v="0"/>
    <x v="1"/>
    <n v="-392.96"/>
  </r>
  <r>
    <n v="2715"/>
    <x v="1696"/>
    <x v="2"/>
    <x v="13"/>
    <n v="4"/>
    <m/>
    <n v="0"/>
    <x v="1"/>
    <n v="0"/>
    <x v="512"/>
    <x v="1"/>
    <x v="0"/>
    <n v="-144.72"/>
  </r>
  <r>
    <n v="2716"/>
    <x v="1697"/>
    <x v="2"/>
    <x v="2"/>
    <n v="1"/>
    <m/>
    <n v="0"/>
    <x v="99"/>
    <n v="0"/>
    <x v="4"/>
    <x v="5"/>
    <x v="1"/>
    <n v="2134.2800000000002"/>
  </r>
  <r>
    <n v="2717"/>
    <x v="1698"/>
    <x v="0"/>
    <x v="5"/>
    <n v="2"/>
    <m/>
    <n v="0"/>
    <x v="1"/>
    <n v="0"/>
    <x v="210"/>
    <x v="5"/>
    <x v="0"/>
    <n v="2786.83"/>
  </r>
  <r>
    <n v="2718"/>
    <x v="1699"/>
    <x v="0"/>
    <x v="0"/>
    <n v="3"/>
    <n v="909.31"/>
    <n v="2727.93"/>
    <x v="1"/>
    <n v="2727.93"/>
    <x v="30"/>
    <x v="5"/>
    <x v="0"/>
    <n v="1389.16"/>
  </r>
  <r>
    <n v="2719"/>
    <x v="1700"/>
    <x v="5"/>
    <x v="6"/>
    <n v="0"/>
    <n v="1602.49"/>
    <n v="0"/>
    <x v="1"/>
    <n v="0"/>
    <x v="157"/>
    <x v="3"/>
    <x v="1"/>
    <n v="-886.11"/>
  </r>
  <r>
    <n v="2720"/>
    <x v="1701"/>
    <x v="5"/>
    <x v="12"/>
    <n v="2"/>
    <n v="3476.53"/>
    <n v="6953.06"/>
    <x v="1"/>
    <n v="6953.06"/>
    <x v="300"/>
    <x v="5"/>
    <x v="0"/>
    <n v="-522.33000000000004"/>
  </r>
  <r>
    <n v="2721"/>
    <x v="1702"/>
    <x v="0"/>
    <x v="9"/>
    <n v="2"/>
    <n v="1109.5999999999999"/>
    <n v="2219.1999999999998"/>
    <x v="15"/>
    <n v="2130.4319999999998"/>
    <x v="4"/>
    <x v="4"/>
    <x v="0"/>
    <n v="885.21"/>
  </r>
  <r>
    <n v="2722"/>
    <x v="1703"/>
    <x v="0"/>
    <x v="20"/>
    <n v="2"/>
    <m/>
    <n v="0"/>
    <x v="1"/>
    <n v="0"/>
    <x v="4"/>
    <x v="3"/>
    <x v="0"/>
    <n v="-367.6"/>
  </r>
  <r>
    <n v="2723"/>
    <x v="1704"/>
    <x v="4"/>
    <x v="14"/>
    <n v="2"/>
    <m/>
    <n v="0"/>
    <x v="1"/>
    <n v="0"/>
    <x v="358"/>
    <x v="5"/>
    <x v="0"/>
    <n v="253.64"/>
  </r>
  <r>
    <n v="2724"/>
    <x v="1705"/>
    <x v="0"/>
    <x v="0"/>
    <n v="2"/>
    <n v="716.3"/>
    <n v="1432.6"/>
    <x v="1"/>
    <n v="1432.6"/>
    <x v="236"/>
    <x v="0"/>
    <x v="0"/>
    <n v="-400.16"/>
  </r>
  <r>
    <n v="2725"/>
    <x v="1706"/>
    <x v="1"/>
    <x v="22"/>
    <n v="2"/>
    <m/>
    <n v="0"/>
    <x v="1"/>
    <n v="0"/>
    <x v="54"/>
    <x v="4"/>
    <x v="0"/>
    <n v="2116.0700000000002"/>
  </r>
  <r>
    <n v="2726"/>
    <x v="1707"/>
    <x v="5"/>
    <x v="11"/>
    <n v="2"/>
    <m/>
    <n v="0"/>
    <x v="91"/>
    <n v="0"/>
    <x v="4"/>
    <x v="2"/>
    <x v="0"/>
    <n v="1751.12"/>
  </r>
  <r>
    <n v="2727"/>
    <x v="1708"/>
    <x v="3"/>
    <x v="7"/>
    <n v="2"/>
    <m/>
    <n v="0"/>
    <x v="1"/>
    <n v="0"/>
    <x v="513"/>
    <x v="1"/>
    <x v="0"/>
    <n v="1804.04"/>
  </r>
  <r>
    <n v="2728"/>
    <x v="1709"/>
    <x v="4"/>
    <x v="4"/>
    <n v="2"/>
    <n v="1935.05"/>
    <n v="3870.1"/>
    <x v="1"/>
    <n v="3870.1"/>
    <x v="409"/>
    <x v="3"/>
    <x v="0"/>
    <n v="1483.93"/>
  </r>
  <r>
    <n v="2729"/>
    <x v="1710"/>
    <x v="5"/>
    <x v="19"/>
    <n v="5"/>
    <m/>
    <n v="0"/>
    <x v="127"/>
    <n v="0"/>
    <x v="4"/>
    <x v="1"/>
    <x v="0"/>
    <n v="-973.04"/>
  </r>
  <r>
    <n v="2730"/>
    <x v="1711"/>
    <x v="4"/>
    <x v="14"/>
    <n v="2"/>
    <m/>
    <n v="0"/>
    <x v="1"/>
    <n v="0"/>
    <x v="361"/>
    <x v="0"/>
    <x v="0"/>
    <n v="2203.9699999999998"/>
  </r>
  <r>
    <n v="2731"/>
    <x v="1712"/>
    <x v="1"/>
    <x v="1"/>
    <n v="-1"/>
    <n v="1635.12"/>
    <n v="-1635.12"/>
    <x v="1"/>
    <n v="-1635.12"/>
    <x v="427"/>
    <x v="2"/>
    <x v="1"/>
    <n v="-526.88"/>
  </r>
  <r>
    <n v="2732"/>
    <x v="1713"/>
    <x v="2"/>
    <x v="17"/>
    <n v="6"/>
    <m/>
    <n v="0"/>
    <x v="97"/>
    <n v="0"/>
    <x v="4"/>
    <x v="4"/>
    <x v="0"/>
    <n v="-833.43"/>
  </r>
  <r>
    <n v="2733"/>
    <x v="1714"/>
    <x v="0"/>
    <x v="5"/>
    <n v="2"/>
    <m/>
    <n v="0"/>
    <x v="1"/>
    <n v="0"/>
    <x v="336"/>
    <x v="2"/>
    <x v="1"/>
    <n v="2523.7199999999998"/>
  </r>
  <r>
    <n v="2734"/>
    <x v="1715"/>
    <x v="5"/>
    <x v="12"/>
    <n v="4"/>
    <n v="3261.51"/>
    <n v="13046.04"/>
    <x v="83"/>
    <n v="2348.2872000000007"/>
    <x v="4"/>
    <x v="4"/>
    <x v="0"/>
    <n v="1429.02"/>
  </r>
  <r>
    <n v="2735"/>
    <x v="1716"/>
    <x v="3"/>
    <x v="7"/>
    <n v="2"/>
    <n v="541.71"/>
    <n v="1083.42"/>
    <x v="1"/>
    <n v="1083.42"/>
    <x v="284"/>
    <x v="3"/>
    <x v="1"/>
    <n v="1872.65"/>
  </r>
  <r>
    <n v="2736"/>
    <x v="1717"/>
    <x v="0"/>
    <x v="0"/>
    <n v="2"/>
    <m/>
    <n v="0"/>
    <x v="1"/>
    <n v="0"/>
    <x v="246"/>
    <x v="0"/>
    <x v="0"/>
    <n v="-253.78"/>
  </r>
  <r>
    <n v="2737"/>
    <x v="1718"/>
    <x v="3"/>
    <x v="21"/>
    <n v="2"/>
    <n v="1927.98"/>
    <n v="3855.96"/>
    <x v="1"/>
    <n v="3855.96"/>
    <x v="79"/>
    <x v="5"/>
    <x v="0"/>
    <n v="-251.21"/>
  </r>
  <r>
    <n v="2738"/>
    <x v="1719"/>
    <x v="5"/>
    <x v="12"/>
    <n v="2"/>
    <m/>
    <n v="0"/>
    <x v="97"/>
    <n v="0"/>
    <x v="268"/>
    <x v="2"/>
    <x v="1"/>
    <n v="733.8"/>
  </r>
  <r>
    <n v="2739"/>
    <x v="1720"/>
    <x v="2"/>
    <x v="17"/>
    <n v="4"/>
    <n v="4316.8500000000004"/>
    <n v="17267.400000000001"/>
    <x v="1"/>
    <n v="17267.400000000001"/>
    <x v="37"/>
    <x v="1"/>
    <x v="0"/>
    <n v="2259.3000000000002"/>
  </r>
  <r>
    <n v="2740"/>
    <x v="1721"/>
    <x v="0"/>
    <x v="5"/>
    <n v="1"/>
    <m/>
    <n v="0"/>
    <x v="1"/>
    <n v="0"/>
    <x v="4"/>
    <x v="2"/>
    <x v="1"/>
    <n v="996.39"/>
  </r>
  <r>
    <n v="2741"/>
    <x v="1722"/>
    <x v="1"/>
    <x v="15"/>
    <n v="1"/>
    <m/>
    <n v="0"/>
    <x v="26"/>
    <n v="0"/>
    <x v="134"/>
    <x v="2"/>
    <x v="0"/>
    <n v="2013.85"/>
  </r>
  <r>
    <n v="2742"/>
    <x v="1723"/>
    <x v="3"/>
    <x v="3"/>
    <n v="-2"/>
    <m/>
    <n v="0"/>
    <x v="1"/>
    <n v="0"/>
    <x v="1"/>
    <x v="3"/>
    <x v="0"/>
    <n v="1045.71"/>
  </r>
  <r>
    <n v="1032"/>
    <x v="1724"/>
    <x v="1"/>
    <x v="15"/>
    <n v="-1"/>
    <n v="4146.91"/>
    <n v="-4146.91"/>
    <x v="75"/>
    <n v="124.40730000000011"/>
    <x v="79"/>
    <x v="0"/>
    <x v="1"/>
    <n v="930.16"/>
  </r>
  <r>
    <n v="2744"/>
    <x v="1725"/>
    <x v="4"/>
    <x v="4"/>
    <n v="-2"/>
    <m/>
    <n v="0"/>
    <x v="1"/>
    <n v="0"/>
    <x v="4"/>
    <x v="2"/>
    <x v="1"/>
    <n v="-635.51"/>
  </r>
  <r>
    <n v="2745"/>
    <x v="1726"/>
    <x v="0"/>
    <x v="0"/>
    <n v="-1"/>
    <n v="869.82"/>
    <n v="-869.82"/>
    <x v="1"/>
    <n v="-869.82"/>
    <x v="448"/>
    <x v="3"/>
    <x v="0"/>
    <n v="737.77"/>
  </r>
  <r>
    <n v="2746"/>
    <x v="1727"/>
    <x v="0"/>
    <x v="0"/>
    <n v="2"/>
    <n v="668.51"/>
    <n v="1337.02"/>
    <x v="79"/>
    <n v="-26.740400000000022"/>
    <x v="126"/>
    <x v="3"/>
    <x v="0"/>
    <n v="2100.4"/>
  </r>
  <r>
    <n v="2747"/>
    <x v="1728"/>
    <x v="4"/>
    <x v="16"/>
    <n v="1"/>
    <n v="1369.29"/>
    <n v="1369.29"/>
    <x v="1"/>
    <n v="1369.29"/>
    <x v="342"/>
    <x v="2"/>
    <x v="0"/>
    <n v="325.08"/>
  </r>
  <r>
    <n v="2748"/>
    <x v="1729"/>
    <x v="3"/>
    <x v="21"/>
    <n v="4"/>
    <n v="3977.88"/>
    <n v="15911.52"/>
    <x v="1"/>
    <n v="15911.52"/>
    <x v="395"/>
    <x v="1"/>
    <x v="0"/>
    <n v="2431.13"/>
  </r>
  <r>
    <n v="2749"/>
    <x v="1730"/>
    <x v="1"/>
    <x v="1"/>
    <n v="5"/>
    <m/>
    <n v="0"/>
    <x v="1"/>
    <n v="0"/>
    <x v="4"/>
    <x v="5"/>
    <x v="0"/>
    <n v="2595.31"/>
  </r>
  <r>
    <n v="1049"/>
    <x v="1731"/>
    <x v="1"/>
    <x v="22"/>
    <n v="2"/>
    <n v="1360.22"/>
    <n v="2720.44"/>
    <x v="1"/>
    <n v="2720.44"/>
    <x v="503"/>
    <x v="2"/>
    <x v="0"/>
    <n v="276.89999999999998"/>
  </r>
  <r>
    <n v="2751"/>
    <x v="1732"/>
    <x v="1"/>
    <x v="22"/>
    <n v="2"/>
    <m/>
    <n v="0"/>
    <x v="98"/>
    <n v="0"/>
    <x v="73"/>
    <x v="3"/>
    <x v="0"/>
    <n v="1778.54"/>
  </r>
  <r>
    <n v="2752"/>
    <x v="1733"/>
    <x v="2"/>
    <x v="10"/>
    <n v="2"/>
    <n v="4552.8"/>
    <n v="9105.6"/>
    <x v="100"/>
    <n v="-91.056000000000083"/>
    <x v="4"/>
    <x v="5"/>
    <x v="1"/>
    <n v="1802.91"/>
  </r>
  <r>
    <n v="1002"/>
    <x v="1734"/>
    <x v="0"/>
    <x v="5"/>
    <n v="-1"/>
    <n v="4351.1099999999997"/>
    <n v="-4351.1099999999997"/>
    <x v="1"/>
    <n v="-4351.1099999999997"/>
    <x v="43"/>
    <x v="5"/>
    <x v="0"/>
    <n v="-190.68"/>
  </r>
  <r>
    <n v="2754"/>
    <x v="1735"/>
    <x v="0"/>
    <x v="9"/>
    <n v="1"/>
    <m/>
    <n v="0"/>
    <x v="1"/>
    <n v="0"/>
    <x v="267"/>
    <x v="3"/>
    <x v="0"/>
    <n v="-0.15"/>
  </r>
  <r>
    <n v="2755"/>
    <x v="1736"/>
    <x v="3"/>
    <x v="21"/>
    <n v="-2"/>
    <m/>
    <n v="0"/>
    <x v="95"/>
    <n v="0"/>
    <x v="514"/>
    <x v="0"/>
    <x v="1"/>
    <n v="1174.6400000000001"/>
  </r>
  <r>
    <n v="2756"/>
    <x v="1737"/>
    <x v="4"/>
    <x v="14"/>
    <n v="6"/>
    <m/>
    <n v="0"/>
    <x v="1"/>
    <n v="0"/>
    <x v="111"/>
    <x v="5"/>
    <x v="0"/>
    <n v="813.53"/>
  </r>
  <r>
    <n v="2757"/>
    <x v="1738"/>
    <x v="3"/>
    <x v="23"/>
    <n v="3"/>
    <n v="4923.95"/>
    <n v="14771.849999999999"/>
    <x v="1"/>
    <n v="14771.849999999999"/>
    <x v="481"/>
    <x v="5"/>
    <x v="1"/>
    <n v="794.65"/>
  </r>
  <r>
    <n v="1029"/>
    <x v="1739"/>
    <x v="4"/>
    <x v="8"/>
    <n v="2"/>
    <n v="2965.32"/>
    <n v="5930.64"/>
    <x v="1"/>
    <n v="5930.64"/>
    <x v="4"/>
    <x v="2"/>
    <x v="0"/>
    <n v="-786.53"/>
  </r>
  <r>
    <n v="2759"/>
    <x v="1740"/>
    <x v="2"/>
    <x v="17"/>
    <n v="2"/>
    <m/>
    <n v="0"/>
    <x v="55"/>
    <n v="0"/>
    <x v="333"/>
    <x v="1"/>
    <x v="0"/>
    <n v="-300.89999999999998"/>
  </r>
  <r>
    <n v="2760"/>
    <x v="1741"/>
    <x v="2"/>
    <x v="13"/>
    <n v="2"/>
    <m/>
    <n v="0"/>
    <x v="1"/>
    <n v="0"/>
    <x v="459"/>
    <x v="0"/>
    <x v="1"/>
    <n v="-833.77"/>
  </r>
  <r>
    <n v="2761"/>
    <x v="1742"/>
    <x v="5"/>
    <x v="11"/>
    <n v="2"/>
    <n v="3586.76"/>
    <n v="7173.52"/>
    <x v="1"/>
    <n v="7173.52"/>
    <x v="30"/>
    <x v="5"/>
    <x v="0"/>
    <n v="594.95000000000005"/>
  </r>
  <r>
    <n v="2762"/>
    <x v="1743"/>
    <x v="5"/>
    <x v="12"/>
    <n v="2"/>
    <n v="1278.8499999999999"/>
    <n v="2557.6999999999998"/>
    <x v="1"/>
    <n v="2557.6999999999998"/>
    <x v="395"/>
    <x v="4"/>
    <x v="1"/>
    <n v="1989.71"/>
  </r>
  <r>
    <n v="2763"/>
    <x v="1744"/>
    <x v="3"/>
    <x v="23"/>
    <n v="3"/>
    <n v="3360.01"/>
    <n v="10080.030000000001"/>
    <x v="1"/>
    <n v="10080.030000000001"/>
    <x v="4"/>
    <x v="4"/>
    <x v="0"/>
    <n v="1547.22"/>
  </r>
  <r>
    <n v="2764"/>
    <x v="1745"/>
    <x v="3"/>
    <x v="21"/>
    <n v="3"/>
    <m/>
    <n v="0"/>
    <x v="1"/>
    <n v="0"/>
    <x v="88"/>
    <x v="1"/>
    <x v="1"/>
    <n v="2347.0700000000002"/>
  </r>
  <r>
    <n v="2765"/>
    <x v="1746"/>
    <x v="5"/>
    <x v="12"/>
    <n v="2"/>
    <m/>
    <n v="0"/>
    <x v="1"/>
    <n v="0"/>
    <x v="75"/>
    <x v="5"/>
    <x v="0"/>
    <n v="2047.44"/>
  </r>
  <r>
    <n v="2766"/>
    <x v="1747"/>
    <x v="0"/>
    <x v="9"/>
    <n v="2"/>
    <m/>
    <n v="0"/>
    <x v="1"/>
    <n v="0"/>
    <x v="274"/>
    <x v="5"/>
    <x v="0"/>
    <n v="621.85"/>
  </r>
  <r>
    <n v="2767"/>
    <x v="1748"/>
    <x v="4"/>
    <x v="14"/>
    <n v="2"/>
    <n v="4149.42"/>
    <n v="8298.84"/>
    <x v="77"/>
    <n v="7219.9908000000005"/>
    <x v="4"/>
    <x v="4"/>
    <x v="1"/>
    <n v="1926.29"/>
  </r>
  <r>
    <n v="2768"/>
    <x v="1749"/>
    <x v="4"/>
    <x v="8"/>
    <n v="2"/>
    <m/>
    <n v="0"/>
    <x v="70"/>
    <n v="0"/>
    <x v="324"/>
    <x v="5"/>
    <x v="0"/>
    <n v="465.45"/>
  </r>
  <r>
    <n v="2769"/>
    <x v="1750"/>
    <x v="4"/>
    <x v="16"/>
    <n v="2"/>
    <m/>
    <n v="0"/>
    <x v="1"/>
    <n v="0"/>
    <x v="122"/>
    <x v="1"/>
    <x v="1"/>
    <n v="2102.88"/>
  </r>
  <r>
    <n v="2770"/>
    <x v="1751"/>
    <x v="4"/>
    <x v="14"/>
    <n v="2"/>
    <n v="1439.18"/>
    <n v="2878.36"/>
    <x v="99"/>
    <n v="1467.9636"/>
    <x v="457"/>
    <x v="5"/>
    <x v="0"/>
    <n v="2007.56"/>
  </r>
  <r>
    <n v="1032"/>
    <x v="1752"/>
    <x v="2"/>
    <x v="2"/>
    <n v="2"/>
    <n v="3956.83"/>
    <n v="7913.66"/>
    <x v="1"/>
    <n v="7913.66"/>
    <x v="213"/>
    <x v="4"/>
    <x v="1"/>
    <n v="1061.44"/>
  </r>
  <r>
    <n v="2772"/>
    <x v="1753"/>
    <x v="0"/>
    <x v="20"/>
    <n v="2"/>
    <m/>
    <n v="0"/>
    <x v="1"/>
    <n v="0"/>
    <x v="383"/>
    <x v="4"/>
    <x v="1"/>
    <n v="-865.59"/>
  </r>
  <r>
    <n v="2773"/>
    <x v="1754"/>
    <x v="1"/>
    <x v="15"/>
    <n v="2"/>
    <m/>
    <n v="0"/>
    <x v="1"/>
    <n v="0"/>
    <x v="4"/>
    <x v="1"/>
    <x v="0"/>
    <n v="1944.87"/>
  </r>
  <r>
    <n v="2774"/>
    <x v="1755"/>
    <x v="3"/>
    <x v="7"/>
    <n v="2"/>
    <m/>
    <n v="0"/>
    <x v="1"/>
    <n v="0"/>
    <x v="448"/>
    <x v="2"/>
    <x v="0"/>
    <n v="1081.4100000000001"/>
  </r>
  <r>
    <n v="2775"/>
    <x v="1756"/>
    <x v="2"/>
    <x v="10"/>
    <n v="5"/>
    <m/>
    <n v="0"/>
    <x v="28"/>
    <n v="0"/>
    <x v="504"/>
    <x v="1"/>
    <x v="1"/>
    <n v="1182.1199999999999"/>
  </r>
  <r>
    <n v="2776"/>
    <x v="1757"/>
    <x v="1"/>
    <x v="22"/>
    <n v="2"/>
    <n v="891.42"/>
    <n v="1782.84"/>
    <x v="1"/>
    <n v="1782.84"/>
    <x v="199"/>
    <x v="2"/>
    <x v="0"/>
    <n v="664.02"/>
  </r>
  <r>
    <n v="2777"/>
    <x v="1758"/>
    <x v="2"/>
    <x v="10"/>
    <n v="2"/>
    <m/>
    <n v="0"/>
    <x v="32"/>
    <n v="0"/>
    <x v="192"/>
    <x v="5"/>
    <x v="1"/>
    <n v="1373.67"/>
  </r>
  <r>
    <n v="2778"/>
    <x v="1759"/>
    <x v="5"/>
    <x v="12"/>
    <n v="0"/>
    <n v="578.58000000000004"/>
    <n v="0"/>
    <x v="43"/>
    <n v="0"/>
    <x v="125"/>
    <x v="1"/>
    <x v="0"/>
    <n v="414.18"/>
  </r>
  <r>
    <n v="2779"/>
    <x v="1760"/>
    <x v="4"/>
    <x v="4"/>
    <n v="2"/>
    <m/>
    <n v="0"/>
    <x v="33"/>
    <n v="0"/>
    <x v="266"/>
    <x v="5"/>
    <x v="0"/>
    <n v="2573.85"/>
  </r>
  <r>
    <n v="2780"/>
    <x v="1761"/>
    <x v="5"/>
    <x v="6"/>
    <n v="2"/>
    <n v="2534.9"/>
    <n v="5069.8"/>
    <x v="1"/>
    <n v="5069.8"/>
    <x v="276"/>
    <x v="1"/>
    <x v="1"/>
    <n v="1529.17"/>
  </r>
  <r>
    <n v="2781"/>
    <x v="1762"/>
    <x v="0"/>
    <x v="9"/>
    <n v="2"/>
    <m/>
    <n v="0"/>
    <x v="89"/>
    <n v="0"/>
    <x v="304"/>
    <x v="1"/>
    <x v="0"/>
    <n v="1947.29"/>
  </r>
  <r>
    <n v="2782"/>
    <x v="1763"/>
    <x v="0"/>
    <x v="20"/>
    <n v="2"/>
    <n v="449.09"/>
    <n v="898.18"/>
    <x v="1"/>
    <n v="898.18"/>
    <x v="4"/>
    <x v="2"/>
    <x v="0"/>
    <n v="2797.37"/>
  </r>
  <r>
    <n v="2783"/>
    <x v="1764"/>
    <x v="3"/>
    <x v="3"/>
    <n v="2"/>
    <m/>
    <n v="0"/>
    <x v="1"/>
    <n v="0"/>
    <x v="31"/>
    <x v="2"/>
    <x v="0"/>
    <n v="45.06"/>
  </r>
  <r>
    <n v="2784"/>
    <x v="1765"/>
    <x v="1"/>
    <x v="15"/>
    <n v="2"/>
    <m/>
    <n v="0"/>
    <x v="1"/>
    <n v="0"/>
    <x v="210"/>
    <x v="5"/>
    <x v="0"/>
    <n v="2921.6"/>
  </r>
  <r>
    <n v="2785"/>
    <x v="1766"/>
    <x v="2"/>
    <x v="10"/>
    <n v="0"/>
    <m/>
    <n v="0"/>
    <x v="1"/>
    <n v="0"/>
    <x v="108"/>
    <x v="2"/>
    <x v="0"/>
    <n v="385.61"/>
  </r>
  <r>
    <n v="1026"/>
    <x v="1767"/>
    <x v="1"/>
    <x v="18"/>
    <n v="2"/>
    <m/>
    <n v="0"/>
    <x v="71"/>
    <n v="0"/>
    <x v="190"/>
    <x v="0"/>
    <x v="0"/>
    <n v="688.48"/>
  </r>
  <r>
    <n v="2787"/>
    <x v="1768"/>
    <x v="3"/>
    <x v="23"/>
    <n v="2"/>
    <m/>
    <n v="0"/>
    <x v="1"/>
    <n v="0"/>
    <x v="4"/>
    <x v="4"/>
    <x v="0"/>
    <n v="1459.62"/>
  </r>
  <r>
    <n v="2788"/>
    <x v="1769"/>
    <x v="3"/>
    <x v="7"/>
    <n v="-1"/>
    <n v="3267.28"/>
    <n v="-3267.28"/>
    <x v="1"/>
    <n v="-3267.28"/>
    <x v="177"/>
    <x v="3"/>
    <x v="1"/>
    <n v="81.99"/>
  </r>
  <r>
    <n v="2789"/>
    <x v="1770"/>
    <x v="3"/>
    <x v="3"/>
    <n v="3"/>
    <n v="3735.56"/>
    <n v="11206.68"/>
    <x v="1"/>
    <n v="11206.68"/>
    <x v="4"/>
    <x v="5"/>
    <x v="0"/>
    <n v="-690.11"/>
  </r>
  <r>
    <n v="2790"/>
    <x v="1771"/>
    <x v="0"/>
    <x v="5"/>
    <n v="3"/>
    <n v="2675.27"/>
    <n v="8025.8099999999995"/>
    <x v="12"/>
    <n v="4735.2279000000008"/>
    <x v="60"/>
    <x v="0"/>
    <x v="1"/>
    <n v="1960.51"/>
  </r>
  <r>
    <n v="2791"/>
    <x v="1772"/>
    <x v="4"/>
    <x v="14"/>
    <n v="3"/>
    <m/>
    <n v="0"/>
    <x v="1"/>
    <n v="0"/>
    <x v="101"/>
    <x v="5"/>
    <x v="0"/>
    <n v="-166.3"/>
  </r>
  <r>
    <n v="2792"/>
    <x v="1773"/>
    <x v="4"/>
    <x v="16"/>
    <n v="2"/>
    <n v="1039.1500000000001"/>
    <n v="2078.3000000000002"/>
    <x v="1"/>
    <n v="2078.3000000000002"/>
    <x v="4"/>
    <x v="5"/>
    <x v="0"/>
    <n v="2620.13"/>
  </r>
  <r>
    <n v="2793"/>
    <x v="1774"/>
    <x v="3"/>
    <x v="3"/>
    <n v="-2"/>
    <n v="4836.47"/>
    <n v="-9672.94"/>
    <x v="1"/>
    <n v="-9672.94"/>
    <x v="14"/>
    <x v="1"/>
    <x v="0"/>
    <n v="-608.29999999999995"/>
  </r>
  <r>
    <n v="2794"/>
    <x v="1775"/>
    <x v="5"/>
    <x v="19"/>
    <n v="2"/>
    <m/>
    <n v="0"/>
    <x v="1"/>
    <n v="0"/>
    <x v="118"/>
    <x v="3"/>
    <x v="0"/>
    <n v="2860.66"/>
  </r>
  <r>
    <n v="2795"/>
    <x v="1776"/>
    <x v="0"/>
    <x v="5"/>
    <n v="2"/>
    <m/>
    <n v="0"/>
    <x v="1"/>
    <n v="0"/>
    <x v="4"/>
    <x v="2"/>
    <x v="0"/>
    <n v="984.22"/>
  </r>
  <r>
    <n v="2796"/>
    <x v="1777"/>
    <x v="1"/>
    <x v="1"/>
    <n v="3"/>
    <m/>
    <n v="0"/>
    <x v="1"/>
    <n v="0"/>
    <x v="4"/>
    <x v="0"/>
    <x v="0"/>
    <n v="2.81"/>
  </r>
  <r>
    <n v="2797"/>
    <x v="1778"/>
    <x v="3"/>
    <x v="3"/>
    <n v="-1"/>
    <n v="1257.81"/>
    <n v="-1257.81"/>
    <x v="1"/>
    <n v="-1257.81"/>
    <x v="342"/>
    <x v="1"/>
    <x v="0"/>
    <n v="2957.6"/>
  </r>
  <r>
    <n v="2798"/>
    <x v="1779"/>
    <x v="5"/>
    <x v="12"/>
    <n v="0"/>
    <m/>
    <n v="0"/>
    <x v="1"/>
    <n v="0"/>
    <x v="345"/>
    <x v="5"/>
    <x v="0"/>
    <n v="386.97"/>
  </r>
  <r>
    <n v="2799"/>
    <x v="1780"/>
    <x v="4"/>
    <x v="14"/>
    <n v="2"/>
    <m/>
    <n v="0"/>
    <x v="1"/>
    <n v="0"/>
    <x v="14"/>
    <x v="5"/>
    <x v="0"/>
    <n v="683.04"/>
  </r>
  <r>
    <n v="2800"/>
    <x v="1781"/>
    <x v="0"/>
    <x v="5"/>
    <n v="2"/>
    <n v="3410.38"/>
    <n v="6820.76"/>
    <x v="1"/>
    <n v="6820.76"/>
    <x v="230"/>
    <x v="4"/>
    <x v="0"/>
    <n v="1733.81"/>
  </r>
  <r>
    <n v="2801"/>
    <x v="1782"/>
    <x v="3"/>
    <x v="21"/>
    <n v="2"/>
    <n v="1870.82"/>
    <n v="3741.64"/>
    <x v="1"/>
    <n v="3741.64"/>
    <x v="4"/>
    <x v="1"/>
    <x v="0"/>
    <n v="-45.08"/>
  </r>
  <r>
    <n v="2802"/>
    <x v="1783"/>
    <x v="2"/>
    <x v="10"/>
    <n v="-1"/>
    <m/>
    <n v="0"/>
    <x v="1"/>
    <n v="0"/>
    <x v="4"/>
    <x v="3"/>
    <x v="0"/>
    <n v="365.63"/>
  </r>
  <r>
    <n v="2803"/>
    <x v="1784"/>
    <x v="4"/>
    <x v="4"/>
    <n v="5"/>
    <n v="4418.75"/>
    <n v="22093.75"/>
    <x v="1"/>
    <n v="22093.75"/>
    <x v="271"/>
    <x v="3"/>
    <x v="0"/>
    <n v="693.65"/>
  </r>
  <r>
    <n v="2804"/>
    <x v="1785"/>
    <x v="3"/>
    <x v="7"/>
    <n v="6"/>
    <n v="4784"/>
    <n v="28704"/>
    <x v="1"/>
    <n v="28704"/>
    <x v="57"/>
    <x v="2"/>
    <x v="1"/>
    <n v="2969.42"/>
  </r>
  <r>
    <n v="2805"/>
    <x v="1786"/>
    <x v="2"/>
    <x v="13"/>
    <n v="0"/>
    <n v="4930.08"/>
    <n v="0"/>
    <x v="11"/>
    <n v="0"/>
    <x v="251"/>
    <x v="3"/>
    <x v="1"/>
    <n v="623.04999999999995"/>
  </r>
  <r>
    <n v="2806"/>
    <x v="1787"/>
    <x v="0"/>
    <x v="5"/>
    <n v="2"/>
    <m/>
    <n v="0"/>
    <x v="1"/>
    <n v="0"/>
    <x v="108"/>
    <x v="3"/>
    <x v="0"/>
    <n v="2658.95"/>
  </r>
  <r>
    <n v="2807"/>
    <x v="1788"/>
    <x v="0"/>
    <x v="0"/>
    <n v="2"/>
    <n v="3064.28"/>
    <n v="6128.56"/>
    <x v="130"/>
    <n v="-245.14240000000024"/>
    <x v="298"/>
    <x v="4"/>
    <x v="1"/>
    <n v="2540.5300000000002"/>
  </r>
  <r>
    <n v="2808"/>
    <x v="1789"/>
    <x v="2"/>
    <x v="13"/>
    <n v="2"/>
    <n v="4234.7700000000004"/>
    <n v="8469.5400000000009"/>
    <x v="1"/>
    <n v="8469.5400000000009"/>
    <x v="4"/>
    <x v="0"/>
    <x v="0"/>
    <n v="-664.44"/>
  </r>
  <r>
    <n v="1026"/>
    <x v="1790"/>
    <x v="2"/>
    <x v="17"/>
    <n v="0"/>
    <m/>
    <n v="0"/>
    <x v="1"/>
    <n v="0"/>
    <x v="4"/>
    <x v="2"/>
    <x v="0"/>
    <n v="1975.98"/>
  </r>
  <r>
    <n v="2810"/>
    <x v="1791"/>
    <x v="0"/>
    <x v="5"/>
    <n v="2"/>
    <n v="2038.37"/>
    <n v="4076.74"/>
    <x v="89"/>
    <n v="-285.37180000000023"/>
    <x v="4"/>
    <x v="2"/>
    <x v="1"/>
    <n v="1762.96"/>
  </r>
  <r>
    <n v="2811"/>
    <x v="1792"/>
    <x v="5"/>
    <x v="19"/>
    <n v="2"/>
    <n v="4426.1499999999996"/>
    <n v="8852.2999999999993"/>
    <x v="1"/>
    <n v="8852.2999999999993"/>
    <x v="82"/>
    <x v="0"/>
    <x v="1"/>
    <n v="1639.67"/>
  </r>
  <r>
    <n v="2812"/>
    <x v="1793"/>
    <x v="4"/>
    <x v="16"/>
    <n v="2"/>
    <m/>
    <n v="0"/>
    <x v="1"/>
    <n v="0"/>
    <x v="356"/>
    <x v="5"/>
    <x v="1"/>
    <n v="-662.74"/>
  </r>
  <r>
    <n v="2813"/>
    <x v="1794"/>
    <x v="3"/>
    <x v="3"/>
    <n v="2"/>
    <m/>
    <n v="0"/>
    <x v="12"/>
    <n v="0"/>
    <x v="286"/>
    <x v="1"/>
    <x v="0"/>
    <n v="-756.66"/>
  </r>
  <r>
    <n v="2814"/>
    <x v="1795"/>
    <x v="0"/>
    <x v="5"/>
    <n v="2"/>
    <n v="1888.27"/>
    <n v="3776.54"/>
    <x v="1"/>
    <n v="3776.54"/>
    <x v="21"/>
    <x v="2"/>
    <x v="1"/>
    <n v="2441.5100000000002"/>
  </r>
  <r>
    <n v="1042"/>
    <x v="1796"/>
    <x v="0"/>
    <x v="5"/>
    <n v="6"/>
    <n v="2422.0100000000002"/>
    <n v="14532.060000000001"/>
    <x v="1"/>
    <n v="14532.060000000001"/>
    <x v="4"/>
    <x v="5"/>
    <x v="1"/>
    <n v="339.16"/>
  </r>
  <r>
    <n v="2816"/>
    <x v="1797"/>
    <x v="1"/>
    <x v="18"/>
    <n v="2"/>
    <n v="3817.72"/>
    <n v="7635.44"/>
    <x v="94"/>
    <n v="5039.3903999999993"/>
    <x v="147"/>
    <x v="1"/>
    <x v="1"/>
    <n v="-69.09"/>
  </r>
  <r>
    <n v="2817"/>
    <x v="1798"/>
    <x v="5"/>
    <x v="6"/>
    <n v="2"/>
    <m/>
    <n v="0"/>
    <x v="125"/>
    <n v="0"/>
    <x v="87"/>
    <x v="2"/>
    <x v="0"/>
    <n v="495.32"/>
  </r>
  <r>
    <n v="2818"/>
    <x v="1799"/>
    <x v="5"/>
    <x v="12"/>
    <n v="2"/>
    <n v="739.57"/>
    <n v="1479.14"/>
    <x v="1"/>
    <n v="1479.14"/>
    <x v="457"/>
    <x v="2"/>
    <x v="0"/>
    <n v="1148.8699999999999"/>
  </r>
  <r>
    <n v="2819"/>
    <x v="1800"/>
    <x v="3"/>
    <x v="21"/>
    <n v="-1"/>
    <m/>
    <n v="0"/>
    <x v="1"/>
    <n v="0"/>
    <x v="4"/>
    <x v="1"/>
    <x v="0"/>
    <n v="526.19000000000005"/>
  </r>
  <r>
    <n v="2820"/>
    <x v="1801"/>
    <x v="3"/>
    <x v="23"/>
    <n v="1"/>
    <n v="2454.71"/>
    <n v="2454.71"/>
    <x v="105"/>
    <n v="2209.239"/>
    <x v="515"/>
    <x v="2"/>
    <x v="1"/>
    <n v="2850.37"/>
  </r>
  <r>
    <n v="2821"/>
    <x v="1802"/>
    <x v="5"/>
    <x v="12"/>
    <n v="2"/>
    <m/>
    <n v="0"/>
    <x v="25"/>
    <n v="0"/>
    <x v="488"/>
    <x v="1"/>
    <x v="0"/>
    <n v="412.63"/>
  </r>
  <r>
    <n v="2822"/>
    <x v="1803"/>
    <x v="4"/>
    <x v="14"/>
    <n v="-2"/>
    <n v="3864.37"/>
    <n v="-7728.74"/>
    <x v="1"/>
    <n v="-7728.74"/>
    <x v="254"/>
    <x v="3"/>
    <x v="0"/>
    <n v="957.65"/>
  </r>
  <r>
    <n v="2823"/>
    <x v="1804"/>
    <x v="1"/>
    <x v="15"/>
    <n v="0"/>
    <m/>
    <n v="0"/>
    <x v="1"/>
    <n v="0"/>
    <x v="494"/>
    <x v="1"/>
    <x v="0"/>
    <n v="-724.81"/>
  </r>
  <r>
    <n v="2824"/>
    <x v="1805"/>
    <x v="2"/>
    <x v="17"/>
    <n v="2"/>
    <m/>
    <n v="0"/>
    <x v="16"/>
    <n v="0"/>
    <x v="446"/>
    <x v="0"/>
    <x v="0"/>
    <n v="1113.29"/>
  </r>
  <r>
    <n v="2825"/>
    <x v="1806"/>
    <x v="3"/>
    <x v="3"/>
    <n v="2"/>
    <m/>
    <n v="0"/>
    <x v="1"/>
    <n v="0"/>
    <x v="4"/>
    <x v="1"/>
    <x v="1"/>
    <n v="2935.9"/>
  </r>
  <r>
    <n v="2826"/>
    <x v="1807"/>
    <x v="4"/>
    <x v="14"/>
    <n v="-1"/>
    <m/>
    <n v="0"/>
    <x v="1"/>
    <n v="0"/>
    <x v="4"/>
    <x v="2"/>
    <x v="0"/>
    <n v="2275.7399999999998"/>
  </r>
  <r>
    <n v="2827"/>
    <x v="1808"/>
    <x v="0"/>
    <x v="0"/>
    <n v="2"/>
    <n v="3996.87"/>
    <n v="7993.74"/>
    <x v="1"/>
    <n v="7993.74"/>
    <x v="293"/>
    <x v="2"/>
    <x v="0"/>
    <n v="496.23"/>
  </r>
  <r>
    <n v="2828"/>
    <x v="1809"/>
    <x v="2"/>
    <x v="2"/>
    <n v="2"/>
    <n v="2963.02"/>
    <n v="5926.04"/>
    <x v="1"/>
    <n v="5926.04"/>
    <x v="255"/>
    <x v="3"/>
    <x v="1"/>
    <n v="180.31"/>
  </r>
  <r>
    <n v="2829"/>
    <x v="1810"/>
    <x v="1"/>
    <x v="18"/>
    <n v="2"/>
    <n v="4817.45"/>
    <n v="9634.9"/>
    <x v="89"/>
    <n v="-674.44300000000055"/>
    <x v="4"/>
    <x v="5"/>
    <x v="1"/>
    <n v="2048.06"/>
  </r>
  <r>
    <n v="2830"/>
    <x v="1811"/>
    <x v="4"/>
    <x v="4"/>
    <n v="2"/>
    <n v="3588.42"/>
    <n v="7176.84"/>
    <x v="15"/>
    <n v="6889.7663999999995"/>
    <x v="33"/>
    <x v="0"/>
    <x v="0"/>
    <n v="1952.28"/>
  </r>
  <r>
    <n v="2831"/>
    <x v="797"/>
    <x v="5"/>
    <x v="6"/>
    <n v="2"/>
    <m/>
    <n v="0"/>
    <x v="1"/>
    <n v="0"/>
    <x v="132"/>
    <x v="1"/>
    <x v="1"/>
    <n v="2091.3000000000002"/>
  </r>
  <r>
    <n v="2832"/>
    <x v="1812"/>
    <x v="2"/>
    <x v="17"/>
    <n v="2"/>
    <m/>
    <n v="0"/>
    <x v="10"/>
    <n v="0"/>
    <x v="424"/>
    <x v="2"/>
    <x v="0"/>
    <n v="-402.75"/>
  </r>
  <r>
    <n v="2833"/>
    <x v="1813"/>
    <x v="0"/>
    <x v="20"/>
    <n v="5"/>
    <n v="4273.33"/>
    <n v="21366.65"/>
    <x v="1"/>
    <n v="21366.65"/>
    <x v="4"/>
    <x v="3"/>
    <x v="0"/>
    <n v="900.12"/>
  </r>
  <r>
    <n v="2834"/>
    <x v="1814"/>
    <x v="1"/>
    <x v="22"/>
    <n v="-2"/>
    <n v="3522.98"/>
    <n v="-7045.96"/>
    <x v="1"/>
    <n v="-7045.96"/>
    <x v="341"/>
    <x v="0"/>
    <x v="0"/>
    <n v="2242.67"/>
  </r>
  <r>
    <n v="2835"/>
    <x v="1815"/>
    <x v="5"/>
    <x v="11"/>
    <n v="5"/>
    <m/>
    <n v="0"/>
    <x v="98"/>
    <n v="0"/>
    <x v="200"/>
    <x v="4"/>
    <x v="1"/>
    <n v="-618.55999999999995"/>
  </r>
  <r>
    <n v="2836"/>
    <x v="1816"/>
    <x v="5"/>
    <x v="19"/>
    <n v="4"/>
    <n v="4609.95"/>
    <n v="18439.8"/>
    <x v="1"/>
    <n v="18439.8"/>
    <x v="516"/>
    <x v="3"/>
    <x v="1"/>
    <n v="-154.75"/>
  </r>
  <r>
    <n v="2837"/>
    <x v="1817"/>
    <x v="0"/>
    <x v="0"/>
    <n v="2"/>
    <n v="4443.01"/>
    <n v="8886.02"/>
    <x v="1"/>
    <n v="8886.02"/>
    <x v="138"/>
    <x v="3"/>
    <x v="1"/>
    <n v="-919.16"/>
  </r>
  <r>
    <n v="2838"/>
    <x v="1818"/>
    <x v="5"/>
    <x v="19"/>
    <n v="2"/>
    <m/>
    <n v="0"/>
    <x v="101"/>
    <n v="0"/>
    <x v="4"/>
    <x v="2"/>
    <x v="1"/>
    <n v="182.38"/>
  </r>
  <r>
    <n v="2839"/>
    <x v="1819"/>
    <x v="2"/>
    <x v="17"/>
    <n v="2"/>
    <n v="561.24"/>
    <n v="1122.48"/>
    <x v="1"/>
    <n v="1122.48"/>
    <x v="517"/>
    <x v="4"/>
    <x v="0"/>
    <n v="2551.12"/>
  </r>
  <r>
    <n v="2840"/>
    <x v="1820"/>
    <x v="1"/>
    <x v="15"/>
    <n v="2"/>
    <n v="2297.54"/>
    <n v="4595.08"/>
    <x v="1"/>
    <n v="4595.08"/>
    <x v="124"/>
    <x v="4"/>
    <x v="1"/>
    <n v="490.32"/>
  </r>
  <r>
    <n v="2841"/>
    <x v="1821"/>
    <x v="0"/>
    <x v="20"/>
    <n v="2"/>
    <n v="4154.05"/>
    <n v="8308.1"/>
    <x v="1"/>
    <n v="8308.1"/>
    <x v="312"/>
    <x v="2"/>
    <x v="1"/>
    <n v="265"/>
  </r>
  <r>
    <n v="2842"/>
    <x v="1822"/>
    <x v="3"/>
    <x v="7"/>
    <n v="0"/>
    <n v="1812.58"/>
    <n v="0"/>
    <x v="1"/>
    <n v="0"/>
    <x v="273"/>
    <x v="0"/>
    <x v="1"/>
    <n v="445.27"/>
  </r>
  <r>
    <n v="2843"/>
    <x v="1823"/>
    <x v="4"/>
    <x v="16"/>
    <n v="2"/>
    <n v="1110.1099999999999"/>
    <n v="2220.2199999999998"/>
    <x v="1"/>
    <n v="2220.2199999999998"/>
    <x v="217"/>
    <x v="2"/>
    <x v="1"/>
    <n v="2926.44"/>
  </r>
  <r>
    <n v="2844"/>
    <x v="1824"/>
    <x v="0"/>
    <x v="9"/>
    <n v="2"/>
    <n v="2549.59"/>
    <n v="5099.18"/>
    <x v="1"/>
    <n v="5099.18"/>
    <x v="518"/>
    <x v="0"/>
    <x v="0"/>
    <n v="2612.63"/>
  </r>
  <r>
    <n v="2845"/>
    <x v="1825"/>
    <x v="1"/>
    <x v="18"/>
    <n v="-2"/>
    <m/>
    <n v="0"/>
    <x v="1"/>
    <n v="0"/>
    <x v="113"/>
    <x v="0"/>
    <x v="1"/>
    <n v="-693.63"/>
  </r>
  <r>
    <n v="2846"/>
    <x v="1826"/>
    <x v="2"/>
    <x v="13"/>
    <n v="-2"/>
    <n v="2525.04"/>
    <n v="-5050.08"/>
    <x v="118"/>
    <n v="-3535.0559999999996"/>
    <x v="273"/>
    <x v="4"/>
    <x v="0"/>
    <n v="1003.34"/>
  </r>
  <r>
    <n v="2847"/>
    <x v="1827"/>
    <x v="2"/>
    <x v="17"/>
    <n v="2"/>
    <n v="3424.29"/>
    <n v="6848.58"/>
    <x v="16"/>
    <n v="-547.88640000000044"/>
    <x v="298"/>
    <x v="5"/>
    <x v="1"/>
    <n v="2560.3200000000002"/>
  </r>
  <r>
    <n v="2848"/>
    <x v="1828"/>
    <x v="1"/>
    <x v="22"/>
    <n v="2"/>
    <m/>
    <n v="0"/>
    <x v="1"/>
    <n v="0"/>
    <x v="475"/>
    <x v="1"/>
    <x v="0"/>
    <n v="2638.28"/>
  </r>
  <r>
    <n v="2849"/>
    <x v="1829"/>
    <x v="3"/>
    <x v="7"/>
    <n v="2"/>
    <m/>
    <n v="0"/>
    <x v="90"/>
    <n v="0"/>
    <x v="4"/>
    <x v="2"/>
    <x v="1"/>
    <n v="1750.23"/>
  </r>
  <r>
    <n v="2850"/>
    <x v="1830"/>
    <x v="0"/>
    <x v="0"/>
    <n v="2"/>
    <n v="2687.96"/>
    <n v="5375.92"/>
    <x v="1"/>
    <n v="5375.92"/>
    <x v="322"/>
    <x v="0"/>
    <x v="1"/>
    <n v="2288"/>
  </r>
  <r>
    <n v="2851"/>
    <x v="1831"/>
    <x v="5"/>
    <x v="6"/>
    <n v="2"/>
    <n v="1525.28"/>
    <n v="3050.56"/>
    <x v="1"/>
    <n v="3050.56"/>
    <x v="65"/>
    <x v="4"/>
    <x v="0"/>
    <n v="-560.49"/>
  </r>
  <r>
    <n v="2852"/>
    <x v="1832"/>
    <x v="2"/>
    <x v="17"/>
    <n v="2"/>
    <n v="1816.76"/>
    <n v="3633.52"/>
    <x v="1"/>
    <n v="3633.52"/>
    <x v="4"/>
    <x v="2"/>
    <x v="0"/>
    <n v="630.13"/>
  </r>
  <r>
    <n v="2853"/>
    <x v="1833"/>
    <x v="4"/>
    <x v="16"/>
    <n v="2"/>
    <n v="1212.44"/>
    <n v="2424.88"/>
    <x v="106"/>
    <n v="266.73679999999996"/>
    <x v="243"/>
    <x v="2"/>
    <x v="0"/>
    <n v="175.39"/>
  </r>
  <r>
    <n v="2854"/>
    <x v="1834"/>
    <x v="0"/>
    <x v="0"/>
    <n v="2"/>
    <n v="3303.02"/>
    <n v="6606.04"/>
    <x v="5"/>
    <n v="1981.8120000000004"/>
    <x v="4"/>
    <x v="2"/>
    <x v="1"/>
    <n v="276.29000000000002"/>
  </r>
  <r>
    <n v="2855"/>
    <x v="1835"/>
    <x v="0"/>
    <x v="0"/>
    <n v="2"/>
    <n v="1831.4"/>
    <n v="3662.8"/>
    <x v="1"/>
    <n v="3662.8"/>
    <x v="275"/>
    <x v="4"/>
    <x v="0"/>
    <n v="719.33"/>
  </r>
  <r>
    <n v="2856"/>
    <x v="1836"/>
    <x v="5"/>
    <x v="12"/>
    <n v="2"/>
    <m/>
    <n v="0"/>
    <x v="1"/>
    <n v="0"/>
    <x v="4"/>
    <x v="4"/>
    <x v="1"/>
    <n v="1448.8"/>
  </r>
  <r>
    <n v="2857"/>
    <x v="1837"/>
    <x v="0"/>
    <x v="9"/>
    <n v="5"/>
    <m/>
    <n v="0"/>
    <x v="1"/>
    <n v="0"/>
    <x v="281"/>
    <x v="2"/>
    <x v="1"/>
    <n v="-625.91999999999996"/>
  </r>
  <r>
    <n v="2858"/>
    <x v="1838"/>
    <x v="0"/>
    <x v="5"/>
    <n v="-1"/>
    <n v="3270.29"/>
    <n v="-3270.29"/>
    <x v="1"/>
    <n v="-3270.29"/>
    <x v="323"/>
    <x v="5"/>
    <x v="0"/>
    <n v="-539.25"/>
  </r>
  <r>
    <n v="2859"/>
    <x v="1839"/>
    <x v="3"/>
    <x v="7"/>
    <n v="2"/>
    <m/>
    <n v="0"/>
    <x v="107"/>
    <n v="0"/>
    <x v="519"/>
    <x v="3"/>
    <x v="1"/>
    <n v="1686.29"/>
  </r>
  <r>
    <n v="2860"/>
    <x v="1840"/>
    <x v="0"/>
    <x v="9"/>
    <n v="2"/>
    <n v="4428.24"/>
    <n v="8856.48"/>
    <x v="48"/>
    <n v="8059.3967999999995"/>
    <x v="4"/>
    <x v="2"/>
    <x v="0"/>
    <n v="-641.59"/>
  </r>
  <r>
    <n v="2861"/>
    <x v="1841"/>
    <x v="5"/>
    <x v="11"/>
    <n v="4"/>
    <m/>
    <n v="0"/>
    <x v="82"/>
    <n v="0"/>
    <x v="200"/>
    <x v="0"/>
    <x v="0"/>
    <n v="-936.94"/>
  </r>
  <r>
    <n v="2862"/>
    <x v="1842"/>
    <x v="0"/>
    <x v="9"/>
    <n v="2"/>
    <m/>
    <n v="0"/>
    <x v="1"/>
    <n v="0"/>
    <x v="4"/>
    <x v="5"/>
    <x v="0"/>
    <n v="824.88"/>
  </r>
  <r>
    <n v="2863"/>
    <x v="1843"/>
    <x v="2"/>
    <x v="13"/>
    <n v="6"/>
    <n v="1459.76"/>
    <n v="8758.56"/>
    <x v="68"/>
    <n v="-1576.5407999999993"/>
    <x v="164"/>
    <x v="3"/>
    <x v="1"/>
    <n v="2541"/>
  </r>
  <r>
    <n v="2864"/>
    <x v="1844"/>
    <x v="1"/>
    <x v="22"/>
    <n v="5"/>
    <n v="2535.29"/>
    <n v="12676.45"/>
    <x v="1"/>
    <n v="12676.45"/>
    <x v="216"/>
    <x v="3"/>
    <x v="0"/>
    <n v="-456.39"/>
  </r>
  <r>
    <n v="2865"/>
    <x v="1569"/>
    <x v="0"/>
    <x v="5"/>
    <n v="2"/>
    <n v="2043.3"/>
    <n v="4086.6"/>
    <x v="18"/>
    <n v="2738.0219999999995"/>
    <x v="4"/>
    <x v="1"/>
    <x v="1"/>
    <n v="-389.95"/>
  </r>
  <r>
    <n v="2866"/>
    <x v="1845"/>
    <x v="0"/>
    <x v="20"/>
    <n v="2"/>
    <m/>
    <n v="0"/>
    <x v="1"/>
    <n v="0"/>
    <x v="480"/>
    <x v="3"/>
    <x v="0"/>
    <n v="883.66"/>
  </r>
  <r>
    <n v="2867"/>
    <x v="1846"/>
    <x v="0"/>
    <x v="20"/>
    <n v="2"/>
    <m/>
    <n v="0"/>
    <x v="1"/>
    <n v="0"/>
    <x v="4"/>
    <x v="0"/>
    <x v="0"/>
    <n v="478.82"/>
  </r>
  <r>
    <n v="2868"/>
    <x v="1847"/>
    <x v="3"/>
    <x v="7"/>
    <n v="4"/>
    <n v="1392.21"/>
    <n v="5568.84"/>
    <x v="1"/>
    <n v="5568.84"/>
    <x v="27"/>
    <x v="3"/>
    <x v="1"/>
    <n v="758.3"/>
  </r>
  <r>
    <n v="2869"/>
    <x v="1848"/>
    <x v="5"/>
    <x v="6"/>
    <n v="2"/>
    <n v="4238.91"/>
    <n v="8477.82"/>
    <x v="1"/>
    <n v="8477.82"/>
    <x v="4"/>
    <x v="4"/>
    <x v="1"/>
    <n v="-746.44"/>
  </r>
  <r>
    <n v="2870"/>
    <x v="1849"/>
    <x v="0"/>
    <x v="20"/>
    <n v="2"/>
    <n v="839.34"/>
    <n v="1678.68"/>
    <x v="1"/>
    <n v="1678.68"/>
    <x v="235"/>
    <x v="5"/>
    <x v="0"/>
    <n v="367.87"/>
  </r>
  <r>
    <n v="2871"/>
    <x v="1850"/>
    <x v="5"/>
    <x v="12"/>
    <n v="2"/>
    <m/>
    <n v="0"/>
    <x v="1"/>
    <n v="0"/>
    <x v="113"/>
    <x v="2"/>
    <x v="0"/>
    <n v="2126.04"/>
  </r>
  <r>
    <n v="2872"/>
    <x v="1851"/>
    <x v="0"/>
    <x v="9"/>
    <n v="-1"/>
    <m/>
    <n v="0"/>
    <x v="1"/>
    <n v="0"/>
    <x v="88"/>
    <x v="3"/>
    <x v="0"/>
    <n v="148.19999999999999"/>
  </r>
  <r>
    <n v="2873"/>
    <x v="1852"/>
    <x v="2"/>
    <x v="2"/>
    <n v="5"/>
    <n v="1354.14"/>
    <n v="6770.7000000000007"/>
    <x v="1"/>
    <n v="6770.7000000000007"/>
    <x v="160"/>
    <x v="1"/>
    <x v="1"/>
    <n v="2535.62"/>
  </r>
  <r>
    <n v="2874"/>
    <x v="606"/>
    <x v="0"/>
    <x v="5"/>
    <n v="2"/>
    <n v="3754.23"/>
    <n v="7508.46"/>
    <x v="57"/>
    <n v="976.09980000000007"/>
    <x v="190"/>
    <x v="2"/>
    <x v="0"/>
    <n v="-153.77000000000001"/>
  </r>
  <r>
    <n v="2875"/>
    <x v="1853"/>
    <x v="1"/>
    <x v="1"/>
    <n v="2"/>
    <m/>
    <n v="0"/>
    <x v="1"/>
    <n v="0"/>
    <x v="22"/>
    <x v="0"/>
    <x v="1"/>
    <n v="1291.9000000000001"/>
  </r>
  <r>
    <n v="2876"/>
    <x v="1854"/>
    <x v="0"/>
    <x v="9"/>
    <n v="6"/>
    <n v="3824.82"/>
    <n v="22948.920000000002"/>
    <x v="83"/>
    <n v="4130.8056000000015"/>
    <x v="178"/>
    <x v="3"/>
    <x v="0"/>
    <n v="688.53"/>
  </r>
  <r>
    <n v="2877"/>
    <x v="1855"/>
    <x v="2"/>
    <x v="17"/>
    <n v="2"/>
    <m/>
    <n v="0"/>
    <x v="69"/>
    <n v="0"/>
    <x v="4"/>
    <x v="4"/>
    <x v="1"/>
    <n v="2293.59"/>
  </r>
  <r>
    <n v="2878"/>
    <x v="1856"/>
    <x v="1"/>
    <x v="15"/>
    <n v="2"/>
    <m/>
    <n v="0"/>
    <x v="1"/>
    <n v="0"/>
    <x v="291"/>
    <x v="4"/>
    <x v="0"/>
    <n v="2309.5500000000002"/>
  </r>
  <r>
    <n v="2879"/>
    <x v="1857"/>
    <x v="1"/>
    <x v="15"/>
    <n v="2"/>
    <m/>
    <n v="0"/>
    <x v="27"/>
    <n v="0"/>
    <x v="4"/>
    <x v="0"/>
    <x v="1"/>
    <n v="1146.23"/>
  </r>
  <r>
    <n v="2880"/>
    <x v="1858"/>
    <x v="3"/>
    <x v="3"/>
    <n v="2"/>
    <m/>
    <n v="0"/>
    <x v="1"/>
    <n v="0"/>
    <x v="229"/>
    <x v="2"/>
    <x v="0"/>
    <n v="970.22"/>
  </r>
  <r>
    <n v="2881"/>
    <x v="1859"/>
    <x v="0"/>
    <x v="5"/>
    <n v="-2"/>
    <m/>
    <n v="0"/>
    <x v="1"/>
    <n v="0"/>
    <x v="293"/>
    <x v="4"/>
    <x v="0"/>
    <n v="1850.77"/>
  </r>
  <r>
    <n v="2882"/>
    <x v="1860"/>
    <x v="3"/>
    <x v="23"/>
    <n v="3"/>
    <n v="583.53"/>
    <n v="1750.59"/>
    <x v="1"/>
    <n v="1750.59"/>
    <x v="54"/>
    <x v="2"/>
    <x v="0"/>
    <n v="2334.42"/>
  </r>
  <r>
    <n v="2883"/>
    <x v="1861"/>
    <x v="4"/>
    <x v="16"/>
    <n v="2"/>
    <n v="2320.7600000000002"/>
    <n v="4641.5200000000004"/>
    <x v="1"/>
    <n v="4641.5200000000004"/>
    <x v="334"/>
    <x v="1"/>
    <x v="0"/>
    <n v="2529.16"/>
  </r>
  <r>
    <n v="2884"/>
    <x v="1862"/>
    <x v="0"/>
    <x v="20"/>
    <n v="2"/>
    <m/>
    <n v="0"/>
    <x v="33"/>
    <n v="0"/>
    <x v="54"/>
    <x v="5"/>
    <x v="1"/>
    <n v="896.38"/>
  </r>
  <r>
    <n v="2885"/>
    <x v="1863"/>
    <x v="4"/>
    <x v="14"/>
    <n v="2"/>
    <n v="2666.48"/>
    <n v="5332.96"/>
    <x v="1"/>
    <n v="5332.96"/>
    <x v="238"/>
    <x v="5"/>
    <x v="1"/>
    <n v="-17.89"/>
  </r>
  <r>
    <n v="2886"/>
    <x v="1864"/>
    <x v="4"/>
    <x v="16"/>
    <n v="2"/>
    <n v="3229.15"/>
    <n v="6458.3"/>
    <x v="75"/>
    <n v="-193.74900000000017"/>
    <x v="127"/>
    <x v="1"/>
    <x v="1"/>
    <n v="175.26"/>
  </r>
  <r>
    <n v="2887"/>
    <x v="1865"/>
    <x v="0"/>
    <x v="5"/>
    <n v="2"/>
    <n v="3331.72"/>
    <n v="6663.44"/>
    <x v="120"/>
    <n v="-1665.86"/>
    <x v="4"/>
    <x v="2"/>
    <x v="1"/>
    <n v="-267.95999999999998"/>
  </r>
  <r>
    <n v="2888"/>
    <x v="1866"/>
    <x v="5"/>
    <x v="6"/>
    <n v="-1"/>
    <m/>
    <n v="0"/>
    <x v="1"/>
    <n v="0"/>
    <x v="499"/>
    <x v="1"/>
    <x v="0"/>
    <n v="2007.16"/>
  </r>
  <r>
    <n v="2889"/>
    <x v="1867"/>
    <x v="2"/>
    <x v="2"/>
    <n v="5"/>
    <m/>
    <n v="0"/>
    <x v="1"/>
    <n v="0"/>
    <x v="150"/>
    <x v="4"/>
    <x v="0"/>
    <n v="1874.28"/>
  </r>
  <r>
    <n v="2890"/>
    <x v="1868"/>
    <x v="5"/>
    <x v="12"/>
    <n v="1"/>
    <n v="2357.36"/>
    <n v="2357.36"/>
    <x v="1"/>
    <n v="2357.36"/>
    <x v="397"/>
    <x v="5"/>
    <x v="0"/>
    <n v="468.3"/>
  </r>
  <r>
    <n v="2891"/>
    <x v="1869"/>
    <x v="1"/>
    <x v="1"/>
    <n v="2"/>
    <m/>
    <n v="0"/>
    <x v="1"/>
    <n v="0"/>
    <x v="4"/>
    <x v="1"/>
    <x v="0"/>
    <n v="-363.86"/>
  </r>
  <r>
    <n v="2892"/>
    <x v="1870"/>
    <x v="3"/>
    <x v="3"/>
    <n v="2"/>
    <m/>
    <n v="0"/>
    <x v="1"/>
    <n v="0"/>
    <x v="247"/>
    <x v="1"/>
    <x v="0"/>
    <n v="-502.19"/>
  </r>
  <r>
    <n v="2893"/>
    <x v="1871"/>
    <x v="2"/>
    <x v="2"/>
    <n v="2"/>
    <m/>
    <n v="0"/>
    <x v="1"/>
    <n v="0"/>
    <x v="494"/>
    <x v="3"/>
    <x v="1"/>
    <n v="1825.47"/>
  </r>
  <r>
    <n v="2894"/>
    <x v="1872"/>
    <x v="2"/>
    <x v="2"/>
    <n v="3"/>
    <m/>
    <n v="0"/>
    <x v="1"/>
    <n v="0"/>
    <x v="4"/>
    <x v="3"/>
    <x v="1"/>
    <n v="1479.24"/>
  </r>
  <r>
    <n v="1006"/>
    <x v="1873"/>
    <x v="2"/>
    <x v="17"/>
    <n v="2"/>
    <n v="3593.06"/>
    <n v="7186.12"/>
    <x v="94"/>
    <n v="4742.8391999999994"/>
    <x v="4"/>
    <x v="4"/>
    <x v="0"/>
    <n v="1031.6600000000001"/>
  </r>
  <r>
    <n v="2896"/>
    <x v="1874"/>
    <x v="5"/>
    <x v="12"/>
    <n v="2"/>
    <m/>
    <n v="0"/>
    <x v="1"/>
    <n v="0"/>
    <x v="309"/>
    <x v="4"/>
    <x v="0"/>
    <n v="2760.7"/>
  </r>
  <r>
    <n v="2897"/>
    <x v="1875"/>
    <x v="1"/>
    <x v="18"/>
    <n v="1"/>
    <n v="1194.44"/>
    <n v="1194.44"/>
    <x v="1"/>
    <n v="1194.44"/>
    <x v="110"/>
    <x v="0"/>
    <x v="1"/>
    <n v="1048.51"/>
  </r>
  <r>
    <n v="2898"/>
    <x v="1876"/>
    <x v="5"/>
    <x v="12"/>
    <n v="6"/>
    <m/>
    <n v="0"/>
    <x v="96"/>
    <n v="0"/>
    <x v="270"/>
    <x v="0"/>
    <x v="1"/>
    <n v="-274.57"/>
  </r>
  <r>
    <n v="2899"/>
    <x v="1877"/>
    <x v="3"/>
    <x v="7"/>
    <n v="2"/>
    <n v="3086.59"/>
    <n v="6173.18"/>
    <x v="1"/>
    <n v="6173.18"/>
    <x v="369"/>
    <x v="0"/>
    <x v="0"/>
    <n v="-745.27"/>
  </r>
  <r>
    <n v="2900"/>
    <x v="1878"/>
    <x v="5"/>
    <x v="12"/>
    <n v="2"/>
    <m/>
    <n v="0"/>
    <x v="1"/>
    <n v="0"/>
    <x v="4"/>
    <x v="1"/>
    <x v="1"/>
    <n v="36.92"/>
  </r>
  <r>
    <n v="2901"/>
    <x v="1879"/>
    <x v="2"/>
    <x v="10"/>
    <n v="2"/>
    <n v="1817.71"/>
    <n v="3635.42"/>
    <x v="1"/>
    <n v="3635.42"/>
    <x v="386"/>
    <x v="2"/>
    <x v="0"/>
    <n v="391.06"/>
  </r>
  <r>
    <n v="2902"/>
    <x v="1880"/>
    <x v="0"/>
    <x v="5"/>
    <n v="5"/>
    <n v="3153.37"/>
    <n v="15766.849999999999"/>
    <x v="1"/>
    <n v="15766.849999999999"/>
    <x v="134"/>
    <x v="3"/>
    <x v="0"/>
    <n v="-594.19000000000005"/>
  </r>
  <r>
    <n v="2903"/>
    <x v="1881"/>
    <x v="4"/>
    <x v="14"/>
    <n v="2"/>
    <m/>
    <n v="0"/>
    <x v="1"/>
    <n v="0"/>
    <x v="4"/>
    <x v="4"/>
    <x v="0"/>
    <n v="2232.1799999999998"/>
  </r>
  <r>
    <n v="2904"/>
    <x v="1882"/>
    <x v="4"/>
    <x v="4"/>
    <n v="5"/>
    <n v="1202.73"/>
    <n v="6013.65"/>
    <x v="1"/>
    <n v="6013.65"/>
    <x v="98"/>
    <x v="4"/>
    <x v="0"/>
    <n v="658.6"/>
  </r>
  <r>
    <n v="2905"/>
    <x v="1883"/>
    <x v="0"/>
    <x v="9"/>
    <n v="2"/>
    <n v="1478.93"/>
    <n v="2957.86"/>
    <x v="1"/>
    <n v="2957.86"/>
    <x v="0"/>
    <x v="4"/>
    <x v="0"/>
    <n v="25.28"/>
  </r>
  <r>
    <n v="2906"/>
    <x v="1884"/>
    <x v="5"/>
    <x v="19"/>
    <n v="2"/>
    <m/>
    <n v="0"/>
    <x v="66"/>
    <n v="0"/>
    <x v="230"/>
    <x v="1"/>
    <x v="0"/>
    <n v="-116.3"/>
  </r>
  <r>
    <n v="2907"/>
    <x v="1885"/>
    <x v="4"/>
    <x v="16"/>
    <n v="2"/>
    <m/>
    <n v="0"/>
    <x v="1"/>
    <n v="0"/>
    <x v="78"/>
    <x v="4"/>
    <x v="1"/>
    <n v="-782.3"/>
  </r>
  <r>
    <n v="2908"/>
    <x v="1886"/>
    <x v="0"/>
    <x v="9"/>
    <n v="2"/>
    <m/>
    <n v="0"/>
    <x v="115"/>
    <n v="0"/>
    <x v="145"/>
    <x v="5"/>
    <x v="0"/>
    <n v="-61.23"/>
  </r>
  <r>
    <n v="2909"/>
    <x v="1887"/>
    <x v="4"/>
    <x v="4"/>
    <n v="2"/>
    <n v="2928.84"/>
    <n v="5857.68"/>
    <x v="1"/>
    <n v="5857.68"/>
    <x v="356"/>
    <x v="0"/>
    <x v="1"/>
    <n v="-477.2"/>
  </r>
  <r>
    <n v="2910"/>
    <x v="1888"/>
    <x v="5"/>
    <x v="19"/>
    <n v="2"/>
    <n v="1027.54"/>
    <n v="2055.08"/>
    <x v="97"/>
    <n v="924.78599999999983"/>
    <x v="208"/>
    <x v="1"/>
    <x v="0"/>
    <n v="-580.87"/>
  </r>
  <r>
    <n v="2911"/>
    <x v="1889"/>
    <x v="5"/>
    <x v="6"/>
    <n v="1"/>
    <m/>
    <n v="0"/>
    <x v="1"/>
    <n v="0"/>
    <x v="4"/>
    <x v="1"/>
    <x v="1"/>
    <n v="2672.56"/>
  </r>
  <r>
    <n v="2912"/>
    <x v="1890"/>
    <x v="2"/>
    <x v="17"/>
    <n v="2"/>
    <m/>
    <n v="0"/>
    <x v="1"/>
    <n v="0"/>
    <x v="178"/>
    <x v="5"/>
    <x v="0"/>
    <n v="-97.77"/>
  </r>
  <r>
    <n v="2913"/>
    <x v="1891"/>
    <x v="2"/>
    <x v="10"/>
    <n v="2"/>
    <m/>
    <n v="0"/>
    <x v="1"/>
    <n v="0"/>
    <x v="4"/>
    <x v="1"/>
    <x v="0"/>
    <n v="1693.76"/>
  </r>
  <r>
    <n v="2914"/>
    <x v="1892"/>
    <x v="3"/>
    <x v="3"/>
    <n v="2"/>
    <m/>
    <n v="0"/>
    <x v="75"/>
    <n v="0"/>
    <x v="520"/>
    <x v="0"/>
    <x v="0"/>
    <n v="2321.6"/>
  </r>
  <r>
    <n v="2915"/>
    <x v="1893"/>
    <x v="3"/>
    <x v="3"/>
    <n v="2"/>
    <n v="3022.15"/>
    <n v="6044.3"/>
    <x v="1"/>
    <n v="6044.3"/>
    <x v="462"/>
    <x v="0"/>
    <x v="0"/>
    <n v="-528.82000000000005"/>
  </r>
  <r>
    <n v="2916"/>
    <x v="1894"/>
    <x v="1"/>
    <x v="18"/>
    <n v="2"/>
    <n v="2483.4899999999998"/>
    <n v="4966.9799999999996"/>
    <x v="1"/>
    <n v="4966.9799999999996"/>
    <x v="207"/>
    <x v="1"/>
    <x v="1"/>
    <n v="370.61"/>
  </r>
  <r>
    <n v="1027"/>
    <x v="1895"/>
    <x v="3"/>
    <x v="21"/>
    <n v="2"/>
    <n v="2092.33"/>
    <n v="4184.66"/>
    <x v="1"/>
    <n v="4184.66"/>
    <x v="503"/>
    <x v="1"/>
    <x v="0"/>
    <n v="-586.88"/>
  </r>
  <r>
    <n v="2918"/>
    <x v="1896"/>
    <x v="2"/>
    <x v="10"/>
    <n v="2"/>
    <m/>
    <n v="0"/>
    <x v="1"/>
    <n v="0"/>
    <x v="4"/>
    <x v="0"/>
    <x v="0"/>
    <n v="899.98"/>
  </r>
  <r>
    <n v="2919"/>
    <x v="1897"/>
    <x v="0"/>
    <x v="0"/>
    <n v="2"/>
    <n v="535.62"/>
    <n v="1071.24"/>
    <x v="1"/>
    <n v="1071.24"/>
    <x v="216"/>
    <x v="3"/>
    <x v="0"/>
    <n v="-637.47"/>
  </r>
  <r>
    <n v="2920"/>
    <x v="506"/>
    <x v="3"/>
    <x v="3"/>
    <n v="1"/>
    <m/>
    <n v="0"/>
    <x v="19"/>
    <n v="0"/>
    <x v="193"/>
    <x v="4"/>
    <x v="0"/>
    <n v="489.94"/>
  </r>
  <r>
    <n v="2921"/>
    <x v="1898"/>
    <x v="2"/>
    <x v="10"/>
    <n v="6"/>
    <m/>
    <n v="0"/>
    <x v="1"/>
    <n v="0"/>
    <x v="3"/>
    <x v="4"/>
    <x v="0"/>
    <n v="-821.17"/>
  </r>
  <r>
    <n v="2922"/>
    <x v="1899"/>
    <x v="1"/>
    <x v="22"/>
    <n v="2"/>
    <n v="2488.9499999999998"/>
    <n v="4977.8999999999996"/>
    <x v="85"/>
    <n v="-1144.9169999999999"/>
    <x v="4"/>
    <x v="4"/>
    <x v="0"/>
    <n v="2827.47"/>
  </r>
  <r>
    <n v="2923"/>
    <x v="1900"/>
    <x v="3"/>
    <x v="7"/>
    <n v="0"/>
    <m/>
    <n v="0"/>
    <x v="91"/>
    <n v="0"/>
    <x v="25"/>
    <x v="4"/>
    <x v="0"/>
    <n v="-674.63"/>
  </r>
  <r>
    <n v="2924"/>
    <x v="1901"/>
    <x v="1"/>
    <x v="15"/>
    <n v="2"/>
    <n v="4151.88"/>
    <n v="8303.76"/>
    <x v="67"/>
    <n v="7888.5720000000001"/>
    <x v="112"/>
    <x v="5"/>
    <x v="0"/>
    <n v="577.77"/>
  </r>
  <r>
    <n v="1004"/>
    <x v="1902"/>
    <x v="0"/>
    <x v="0"/>
    <n v="2"/>
    <n v="977.64"/>
    <n v="1955.28"/>
    <x v="1"/>
    <n v="1955.28"/>
    <x v="374"/>
    <x v="3"/>
    <x v="0"/>
    <n v="2702.46"/>
  </r>
  <r>
    <n v="2926"/>
    <x v="1903"/>
    <x v="5"/>
    <x v="12"/>
    <n v="4"/>
    <n v="3263.06"/>
    <n v="13052.24"/>
    <x v="117"/>
    <n v="10963.881599999999"/>
    <x v="27"/>
    <x v="2"/>
    <x v="0"/>
    <n v="2428.73"/>
  </r>
  <r>
    <n v="2927"/>
    <x v="1904"/>
    <x v="5"/>
    <x v="12"/>
    <n v="2"/>
    <m/>
    <n v="0"/>
    <x v="1"/>
    <n v="0"/>
    <x v="38"/>
    <x v="2"/>
    <x v="1"/>
    <n v="-674.94"/>
  </r>
  <r>
    <n v="2928"/>
    <x v="1905"/>
    <x v="2"/>
    <x v="10"/>
    <n v="0"/>
    <m/>
    <n v="0"/>
    <x v="107"/>
    <n v="0"/>
    <x v="341"/>
    <x v="0"/>
    <x v="0"/>
    <n v="642.22"/>
  </r>
  <r>
    <n v="2929"/>
    <x v="1906"/>
    <x v="4"/>
    <x v="14"/>
    <n v="2"/>
    <n v="4733.41"/>
    <n v="9466.82"/>
    <x v="20"/>
    <n v="-1230.6865999999989"/>
    <x v="288"/>
    <x v="3"/>
    <x v="0"/>
    <n v="2459.5"/>
  </r>
  <r>
    <n v="2930"/>
    <x v="1907"/>
    <x v="5"/>
    <x v="12"/>
    <n v="0"/>
    <n v="2642.73"/>
    <n v="0"/>
    <x v="48"/>
    <n v="0"/>
    <x v="358"/>
    <x v="1"/>
    <x v="0"/>
    <n v="996.68"/>
  </r>
  <r>
    <n v="2931"/>
    <x v="1908"/>
    <x v="0"/>
    <x v="20"/>
    <n v="2"/>
    <n v="2629.78"/>
    <n v="5259.56"/>
    <x v="19"/>
    <n v="-1577.8680000000004"/>
    <x v="4"/>
    <x v="0"/>
    <x v="0"/>
    <n v="2826.2"/>
  </r>
  <r>
    <n v="2932"/>
    <x v="1909"/>
    <x v="2"/>
    <x v="10"/>
    <n v="2"/>
    <m/>
    <n v="0"/>
    <x v="1"/>
    <n v="0"/>
    <x v="447"/>
    <x v="4"/>
    <x v="1"/>
    <n v="700.64"/>
  </r>
  <r>
    <n v="2933"/>
    <x v="1910"/>
    <x v="0"/>
    <x v="9"/>
    <n v="2"/>
    <n v="2891"/>
    <n v="5782"/>
    <x v="1"/>
    <n v="5782"/>
    <x v="457"/>
    <x v="0"/>
    <x v="0"/>
    <n v="1279.32"/>
  </r>
  <r>
    <n v="2934"/>
    <x v="1911"/>
    <x v="5"/>
    <x v="12"/>
    <n v="5"/>
    <m/>
    <n v="0"/>
    <x v="1"/>
    <n v="0"/>
    <x v="67"/>
    <x v="1"/>
    <x v="0"/>
    <n v="-811.78"/>
  </r>
  <r>
    <n v="2935"/>
    <x v="1912"/>
    <x v="2"/>
    <x v="2"/>
    <n v="2"/>
    <n v="3681.08"/>
    <n v="7362.16"/>
    <x v="1"/>
    <n v="7362.16"/>
    <x v="4"/>
    <x v="4"/>
    <x v="1"/>
    <n v="2705.42"/>
  </r>
  <r>
    <n v="2936"/>
    <x v="1913"/>
    <x v="2"/>
    <x v="2"/>
    <n v="2"/>
    <n v="4487.5"/>
    <n v="8975"/>
    <x v="1"/>
    <n v="8975"/>
    <x v="280"/>
    <x v="5"/>
    <x v="1"/>
    <n v="2518.5300000000002"/>
  </r>
  <r>
    <n v="2937"/>
    <x v="1914"/>
    <x v="3"/>
    <x v="7"/>
    <n v="-2"/>
    <m/>
    <n v="0"/>
    <x v="1"/>
    <n v="0"/>
    <x v="409"/>
    <x v="2"/>
    <x v="0"/>
    <n v="-889.53"/>
  </r>
  <r>
    <n v="2938"/>
    <x v="580"/>
    <x v="2"/>
    <x v="17"/>
    <n v="2"/>
    <n v="2429.63"/>
    <n v="4859.26"/>
    <x v="1"/>
    <n v="4859.26"/>
    <x v="4"/>
    <x v="1"/>
    <x v="1"/>
    <n v="-7.17"/>
  </r>
  <r>
    <n v="2939"/>
    <x v="1915"/>
    <x v="2"/>
    <x v="10"/>
    <n v="2"/>
    <m/>
    <n v="0"/>
    <x v="1"/>
    <n v="0"/>
    <x v="94"/>
    <x v="3"/>
    <x v="0"/>
    <n v="2143.94"/>
  </r>
  <r>
    <n v="2940"/>
    <x v="1916"/>
    <x v="2"/>
    <x v="13"/>
    <n v="2"/>
    <m/>
    <n v="0"/>
    <x v="1"/>
    <n v="0"/>
    <x v="338"/>
    <x v="4"/>
    <x v="0"/>
    <n v="1992.92"/>
  </r>
  <r>
    <n v="2941"/>
    <x v="1917"/>
    <x v="1"/>
    <x v="1"/>
    <n v="2"/>
    <n v="2144.36"/>
    <n v="4288.72"/>
    <x v="1"/>
    <n v="4288.72"/>
    <x v="448"/>
    <x v="5"/>
    <x v="0"/>
    <n v="1435.03"/>
  </r>
  <r>
    <n v="2942"/>
    <x v="1918"/>
    <x v="3"/>
    <x v="7"/>
    <n v="2"/>
    <m/>
    <n v="0"/>
    <x v="10"/>
    <n v="0"/>
    <x v="4"/>
    <x v="5"/>
    <x v="0"/>
    <n v="2500.35"/>
  </r>
  <r>
    <n v="2943"/>
    <x v="1919"/>
    <x v="0"/>
    <x v="5"/>
    <n v="2"/>
    <n v="4638.0200000000004"/>
    <n v="9276.0400000000009"/>
    <x v="1"/>
    <n v="9276.0400000000009"/>
    <x v="28"/>
    <x v="5"/>
    <x v="0"/>
    <n v="745.3"/>
  </r>
  <r>
    <n v="2944"/>
    <x v="1920"/>
    <x v="5"/>
    <x v="6"/>
    <n v="1"/>
    <n v="1313.35"/>
    <n v="1313.35"/>
    <x v="31"/>
    <n v="1050.68"/>
    <x v="357"/>
    <x v="4"/>
    <x v="0"/>
    <n v="-384.05"/>
  </r>
  <r>
    <n v="2945"/>
    <x v="1888"/>
    <x v="2"/>
    <x v="17"/>
    <n v="1"/>
    <m/>
    <n v="0"/>
    <x v="1"/>
    <n v="0"/>
    <x v="159"/>
    <x v="2"/>
    <x v="0"/>
    <n v="-130.97"/>
  </r>
  <r>
    <n v="2946"/>
    <x v="1921"/>
    <x v="5"/>
    <x v="12"/>
    <n v="-1"/>
    <m/>
    <n v="0"/>
    <x v="61"/>
    <n v="0"/>
    <x v="233"/>
    <x v="2"/>
    <x v="1"/>
    <n v="2187.48"/>
  </r>
  <r>
    <n v="2947"/>
    <x v="1922"/>
    <x v="2"/>
    <x v="17"/>
    <n v="2"/>
    <m/>
    <n v="0"/>
    <x v="101"/>
    <n v="0"/>
    <x v="460"/>
    <x v="2"/>
    <x v="0"/>
    <n v="1577.91"/>
  </r>
  <r>
    <n v="2948"/>
    <x v="1923"/>
    <x v="0"/>
    <x v="0"/>
    <n v="5"/>
    <n v="2494.15"/>
    <n v="12470.75"/>
    <x v="1"/>
    <n v="12470.75"/>
    <x v="323"/>
    <x v="0"/>
    <x v="1"/>
    <n v="-901.7"/>
  </r>
  <r>
    <n v="2949"/>
    <x v="1924"/>
    <x v="0"/>
    <x v="5"/>
    <n v="2"/>
    <m/>
    <n v="0"/>
    <x v="105"/>
    <n v="0"/>
    <x v="4"/>
    <x v="5"/>
    <x v="0"/>
    <n v="1569.63"/>
  </r>
  <r>
    <n v="2950"/>
    <x v="1925"/>
    <x v="3"/>
    <x v="3"/>
    <n v="2"/>
    <m/>
    <n v="0"/>
    <x v="2"/>
    <n v="0"/>
    <x v="214"/>
    <x v="3"/>
    <x v="0"/>
    <n v="1158.28"/>
  </r>
  <r>
    <n v="2951"/>
    <x v="1926"/>
    <x v="5"/>
    <x v="12"/>
    <n v="5"/>
    <m/>
    <n v="0"/>
    <x v="1"/>
    <n v="0"/>
    <x v="4"/>
    <x v="0"/>
    <x v="0"/>
    <n v="2454.0700000000002"/>
  </r>
  <r>
    <n v="2952"/>
    <x v="1927"/>
    <x v="2"/>
    <x v="17"/>
    <n v="-2"/>
    <n v="470.68"/>
    <n v="-941.36"/>
    <x v="82"/>
    <n v="-884.87839999999994"/>
    <x v="469"/>
    <x v="1"/>
    <x v="1"/>
    <n v="2812.7"/>
  </r>
  <r>
    <n v="2953"/>
    <x v="1928"/>
    <x v="2"/>
    <x v="17"/>
    <n v="3"/>
    <n v="3500.98"/>
    <n v="10502.94"/>
    <x v="1"/>
    <n v="10502.94"/>
    <x v="4"/>
    <x v="2"/>
    <x v="0"/>
    <n v="-865.81"/>
  </r>
  <r>
    <n v="2954"/>
    <x v="1929"/>
    <x v="5"/>
    <x v="11"/>
    <n v="2"/>
    <m/>
    <n v="0"/>
    <x v="1"/>
    <n v="0"/>
    <x v="43"/>
    <x v="4"/>
    <x v="1"/>
    <n v="1632.71"/>
  </r>
  <r>
    <n v="2955"/>
    <x v="1930"/>
    <x v="5"/>
    <x v="12"/>
    <n v="6"/>
    <m/>
    <n v="0"/>
    <x v="25"/>
    <n v="0"/>
    <x v="110"/>
    <x v="1"/>
    <x v="1"/>
    <n v="-646.89"/>
  </r>
  <r>
    <n v="2956"/>
    <x v="1931"/>
    <x v="1"/>
    <x v="1"/>
    <n v="2"/>
    <n v="2710.15"/>
    <n v="5420.3"/>
    <x v="1"/>
    <n v="5420.3"/>
    <x v="18"/>
    <x v="0"/>
    <x v="0"/>
    <n v="2.2200000000000002"/>
  </r>
  <r>
    <n v="2957"/>
    <x v="1932"/>
    <x v="3"/>
    <x v="3"/>
    <n v="2"/>
    <m/>
    <n v="0"/>
    <x v="51"/>
    <n v="0"/>
    <x v="455"/>
    <x v="1"/>
    <x v="0"/>
    <n v="301.72000000000003"/>
  </r>
  <r>
    <n v="2958"/>
    <x v="1933"/>
    <x v="4"/>
    <x v="14"/>
    <n v="-2"/>
    <m/>
    <n v="0"/>
    <x v="1"/>
    <n v="0"/>
    <x v="81"/>
    <x v="5"/>
    <x v="0"/>
    <n v="-645.12"/>
  </r>
  <r>
    <n v="2959"/>
    <x v="1934"/>
    <x v="2"/>
    <x v="2"/>
    <n v="2"/>
    <n v="4113.9799999999996"/>
    <n v="8227.9599999999991"/>
    <x v="1"/>
    <n v="8227.9599999999991"/>
    <x v="68"/>
    <x v="2"/>
    <x v="0"/>
    <n v="477.7"/>
  </r>
  <r>
    <n v="2960"/>
    <x v="1935"/>
    <x v="3"/>
    <x v="3"/>
    <n v="2"/>
    <n v="1536.53"/>
    <n v="3073.06"/>
    <x v="78"/>
    <n v="122.92240000000011"/>
    <x v="8"/>
    <x v="3"/>
    <x v="1"/>
    <n v="1052.28"/>
  </r>
  <r>
    <n v="1021"/>
    <x v="1936"/>
    <x v="4"/>
    <x v="14"/>
    <n v="2"/>
    <m/>
    <n v="0"/>
    <x v="15"/>
    <n v="0"/>
    <x v="92"/>
    <x v="5"/>
    <x v="0"/>
    <n v="796.33"/>
  </r>
  <r>
    <n v="2962"/>
    <x v="1937"/>
    <x v="3"/>
    <x v="3"/>
    <n v="2"/>
    <m/>
    <n v="0"/>
    <x v="57"/>
    <n v="0"/>
    <x v="226"/>
    <x v="0"/>
    <x v="0"/>
    <n v="-617.13"/>
  </r>
  <r>
    <n v="2963"/>
    <x v="1938"/>
    <x v="0"/>
    <x v="0"/>
    <n v="2"/>
    <n v="570.21"/>
    <n v="1140.42"/>
    <x v="1"/>
    <n v="1140.42"/>
    <x v="307"/>
    <x v="0"/>
    <x v="1"/>
    <n v="380.3"/>
  </r>
  <r>
    <n v="2964"/>
    <x v="1939"/>
    <x v="2"/>
    <x v="17"/>
    <n v="-1"/>
    <m/>
    <n v="0"/>
    <x v="78"/>
    <n v="0"/>
    <x v="338"/>
    <x v="4"/>
    <x v="0"/>
    <n v="-937.17"/>
  </r>
  <r>
    <n v="1038"/>
    <x v="1940"/>
    <x v="2"/>
    <x v="17"/>
    <n v="2"/>
    <m/>
    <n v="0"/>
    <x v="1"/>
    <n v="0"/>
    <x v="453"/>
    <x v="5"/>
    <x v="0"/>
    <n v="2689.89"/>
  </r>
  <r>
    <n v="2966"/>
    <x v="1941"/>
    <x v="4"/>
    <x v="4"/>
    <n v="2"/>
    <n v="1650.01"/>
    <n v="3300.02"/>
    <x v="1"/>
    <n v="3300.02"/>
    <x v="521"/>
    <x v="4"/>
    <x v="1"/>
    <n v="2561.34"/>
  </r>
  <r>
    <n v="2967"/>
    <x v="1942"/>
    <x v="5"/>
    <x v="6"/>
    <n v="2"/>
    <m/>
    <n v="0"/>
    <x v="1"/>
    <n v="0"/>
    <x v="201"/>
    <x v="4"/>
    <x v="1"/>
    <n v="-346.59"/>
  </r>
  <r>
    <n v="2968"/>
    <x v="1943"/>
    <x v="1"/>
    <x v="1"/>
    <n v="2"/>
    <m/>
    <n v="0"/>
    <x v="1"/>
    <n v="0"/>
    <x v="522"/>
    <x v="2"/>
    <x v="1"/>
    <n v="768.33"/>
  </r>
  <r>
    <n v="2969"/>
    <x v="1944"/>
    <x v="1"/>
    <x v="22"/>
    <n v="2"/>
    <n v="4858.47"/>
    <n v="9716.94"/>
    <x v="51"/>
    <n v="3109.4207999999999"/>
    <x v="3"/>
    <x v="3"/>
    <x v="1"/>
    <n v="1115.8900000000001"/>
  </r>
  <r>
    <n v="2970"/>
    <x v="1945"/>
    <x v="4"/>
    <x v="8"/>
    <n v="1"/>
    <m/>
    <n v="0"/>
    <x v="1"/>
    <n v="0"/>
    <x v="27"/>
    <x v="5"/>
    <x v="0"/>
    <n v="1214.1500000000001"/>
  </r>
  <r>
    <n v="2971"/>
    <x v="1946"/>
    <x v="5"/>
    <x v="19"/>
    <n v="6"/>
    <n v="1507.6"/>
    <n v="9045.5999999999985"/>
    <x v="1"/>
    <n v="9045.5999999999985"/>
    <x v="460"/>
    <x v="0"/>
    <x v="0"/>
    <n v="2280.06"/>
  </r>
  <r>
    <n v="2972"/>
    <x v="1947"/>
    <x v="5"/>
    <x v="19"/>
    <n v="5"/>
    <m/>
    <n v="0"/>
    <x v="1"/>
    <n v="0"/>
    <x v="4"/>
    <x v="5"/>
    <x v="0"/>
    <n v="2532.7600000000002"/>
  </r>
  <r>
    <n v="2973"/>
    <x v="1948"/>
    <x v="3"/>
    <x v="3"/>
    <n v="2"/>
    <m/>
    <n v="0"/>
    <x v="1"/>
    <n v="0"/>
    <x v="99"/>
    <x v="4"/>
    <x v="0"/>
    <n v="1576.16"/>
  </r>
  <r>
    <n v="2974"/>
    <x v="1949"/>
    <x v="3"/>
    <x v="21"/>
    <n v="6"/>
    <n v="1765.76"/>
    <n v="10594.56"/>
    <x v="125"/>
    <n v="6780.5183999999999"/>
    <x v="418"/>
    <x v="1"/>
    <x v="1"/>
    <n v="2947"/>
  </r>
  <r>
    <n v="2975"/>
    <x v="1950"/>
    <x v="3"/>
    <x v="23"/>
    <n v="2"/>
    <n v="3835.25"/>
    <n v="7670.5"/>
    <x v="1"/>
    <n v="7670.5"/>
    <x v="39"/>
    <x v="1"/>
    <x v="1"/>
    <n v="2378.4"/>
  </r>
  <r>
    <n v="2976"/>
    <x v="1951"/>
    <x v="4"/>
    <x v="14"/>
    <n v="2"/>
    <n v="1572.95"/>
    <n v="3145.9"/>
    <x v="1"/>
    <n v="3145.9"/>
    <x v="291"/>
    <x v="4"/>
    <x v="1"/>
    <n v="2532.02"/>
  </r>
  <r>
    <n v="2977"/>
    <x v="1952"/>
    <x v="5"/>
    <x v="6"/>
    <n v="-2"/>
    <n v="3205.93"/>
    <n v="-6411.86"/>
    <x v="1"/>
    <n v="-6411.86"/>
    <x v="4"/>
    <x v="2"/>
    <x v="0"/>
    <n v="1421.4"/>
  </r>
  <r>
    <n v="2978"/>
    <x v="1953"/>
    <x v="5"/>
    <x v="19"/>
    <n v="3"/>
    <m/>
    <n v="0"/>
    <x v="73"/>
    <n v="0"/>
    <x v="97"/>
    <x v="4"/>
    <x v="0"/>
    <n v="771.47"/>
  </r>
  <r>
    <n v="2979"/>
    <x v="1954"/>
    <x v="4"/>
    <x v="14"/>
    <n v="2"/>
    <m/>
    <n v="0"/>
    <x v="37"/>
    <n v="0"/>
    <x v="4"/>
    <x v="2"/>
    <x v="0"/>
    <n v="862.17"/>
  </r>
  <r>
    <n v="2980"/>
    <x v="1955"/>
    <x v="4"/>
    <x v="14"/>
    <n v="2"/>
    <m/>
    <n v="0"/>
    <x v="125"/>
    <n v="0"/>
    <x v="147"/>
    <x v="0"/>
    <x v="0"/>
    <n v="147.66999999999999"/>
  </r>
  <r>
    <n v="1040"/>
    <x v="1956"/>
    <x v="4"/>
    <x v="4"/>
    <n v="2"/>
    <m/>
    <n v="0"/>
    <x v="1"/>
    <n v="0"/>
    <x v="80"/>
    <x v="0"/>
    <x v="1"/>
    <n v="2959.73"/>
  </r>
  <r>
    <n v="2982"/>
    <x v="1957"/>
    <x v="4"/>
    <x v="8"/>
    <n v="-1"/>
    <n v="2497.52"/>
    <n v="-2497.52"/>
    <x v="1"/>
    <n v="-2497.52"/>
    <x v="233"/>
    <x v="1"/>
    <x v="0"/>
    <n v="-523.42999999999995"/>
  </r>
  <r>
    <n v="2983"/>
    <x v="1958"/>
    <x v="2"/>
    <x v="10"/>
    <n v="2"/>
    <m/>
    <n v="0"/>
    <x v="1"/>
    <n v="0"/>
    <x v="4"/>
    <x v="5"/>
    <x v="0"/>
    <n v="1347.94"/>
  </r>
  <r>
    <n v="2984"/>
    <x v="1959"/>
    <x v="2"/>
    <x v="2"/>
    <n v="4"/>
    <n v="2062.9"/>
    <n v="8251.6"/>
    <x v="1"/>
    <n v="8251.6"/>
    <x v="178"/>
    <x v="2"/>
    <x v="0"/>
    <n v="2471.06"/>
  </r>
  <r>
    <n v="2985"/>
    <x v="1960"/>
    <x v="0"/>
    <x v="9"/>
    <n v="2"/>
    <m/>
    <n v="0"/>
    <x v="23"/>
    <n v="0"/>
    <x v="48"/>
    <x v="4"/>
    <x v="0"/>
    <n v="774.28"/>
  </r>
  <r>
    <n v="2986"/>
    <x v="1961"/>
    <x v="5"/>
    <x v="12"/>
    <n v="-2"/>
    <m/>
    <n v="0"/>
    <x v="1"/>
    <n v="0"/>
    <x v="85"/>
    <x v="2"/>
    <x v="1"/>
    <n v="-283.42"/>
  </r>
  <r>
    <n v="2987"/>
    <x v="1962"/>
    <x v="3"/>
    <x v="3"/>
    <n v="6"/>
    <n v="2584.4299999999998"/>
    <n v="15506.579999999998"/>
    <x v="1"/>
    <n v="15506.579999999998"/>
    <x v="4"/>
    <x v="0"/>
    <x v="0"/>
    <n v="992.21"/>
  </r>
  <r>
    <n v="2988"/>
    <x v="1963"/>
    <x v="4"/>
    <x v="16"/>
    <n v="2"/>
    <m/>
    <n v="0"/>
    <x v="1"/>
    <n v="0"/>
    <x v="4"/>
    <x v="5"/>
    <x v="0"/>
    <n v="2784.91"/>
  </r>
  <r>
    <n v="2989"/>
    <x v="1964"/>
    <x v="2"/>
    <x v="17"/>
    <n v="-1"/>
    <n v="4084.97"/>
    <n v="-4084.97"/>
    <x v="116"/>
    <n v="-694.44490000000008"/>
    <x v="464"/>
    <x v="2"/>
    <x v="1"/>
    <n v="2395.4299999999998"/>
  </r>
  <r>
    <n v="2990"/>
    <x v="1965"/>
    <x v="0"/>
    <x v="0"/>
    <n v="0"/>
    <n v="3205.73"/>
    <n v="0"/>
    <x v="1"/>
    <n v="0"/>
    <x v="10"/>
    <x v="2"/>
    <x v="0"/>
    <n v="1600.5"/>
  </r>
  <r>
    <n v="2991"/>
    <x v="1966"/>
    <x v="5"/>
    <x v="19"/>
    <n v="2"/>
    <n v="2053.65"/>
    <n v="4107.3"/>
    <x v="1"/>
    <n v="4107.3"/>
    <x v="96"/>
    <x v="4"/>
    <x v="0"/>
    <n v="-86.89"/>
  </r>
  <r>
    <n v="2992"/>
    <x v="1967"/>
    <x v="0"/>
    <x v="9"/>
    <n v="2"/>
    <n v="4747.16"/>
    <n v="9494.32"/>
    <x v="55"/>
    <n v="949.43199999999979"/>
    <x v="523"/>
    <x v="3"/>
    <x v="1"/>
    <n v="2189.0500000000002"/>
  </r>
  <r>
    <n v="2993"/>
    <x v="1968"/>
    <x v="3"/>
    <x v="23"/>
    <n v="2"/>
    <m/>
    <n v="0"/>
    <x v="1"/>
    <n v="0"/>
    <x v="524"/>
    <x v="2"/>
    <x v="0"/>
    <n v="-568.91"/>
  </r>
  <r>
    <n v="2994"/>
    <x v="1969"/>
    <x v="4"/>
    <x v="8"/>
    <n v="5"/>
    <n v="919.26"/>
    <n v="4596.3"/>
    <x v="1"/>
    <n v="4596.3"/>
    <x v="4"/>
    <x v="4"/>
    <x v="0"/>
    <n v="2805.22"/>
  </r>
  <r>
    <n v="2995"/>
    <x v="1970"/>
    <x v="2"/>
    <x v="10"/>
    <n v="2"/>
    <n v="2617.66"/>
    <n v="5235.32"/>
    <x v="97"/>
    <n v="2355.8939999999998"/>
    <x v="175"/>
    <x v="2"/>
    <x v="0"/>
    <n v="1406.13"/>
  </r>
  <r>
    <n v="2996"/>
    <x v="1971"/>
    <x v="5"/>
    <x v="12"/>
    <n v="2"/>
    <n v="3750.45"/>
    <n v="7500.9"/>
    <x v="130"/>
    <n v="-300.03600000000023"/>
    <x v="455"/>
    <x v="1"/>
    <x v="0"/>
    <n v="1108.3800000000001"/>
  </r>
  <r>
    <n v="1027"/>
    <x v="684"/>
    <x v="1"/>
    <x v="15"/>
    <n v="2"/>
    <m/>
    <n v="0"/>
    <x v="1"/>
    <n v="0"/>
    <x v="4"/>
    <x v="4"/>
    <x v="0"/>
    <n v="1921.25"/>
  </r>
  <r>
    <n v="2998"/>
    <x v="1972"/>
    <x v="1"/>
    <x v="1"/>
    <n v="0"/>
    <n v="3453.58"/>
    <n v="0"/>
    <x v="1"/>
    <n v="0"/>
    <x v="525"/>
    <x v="2"/>
    <x v="1"/>
    <n v="2018.4"/>
  </r>
  <r>
    <n v="2999"/>
    <x v="1973"/>
    <x v="2"/>
    <x v="2"/>
    <n v="2"/>
    <m/>
    <n v="0"/>
    <x v="1"/>
    <n v="0"/>
    <x v="4"/>
    <x v="4"/>
    <x v="1"/>
    <n v="-828.2"/>
  </r>
  <r>
    <n v="1034"/>
    <x v="1974"/>
    <x v="5"/>
    <x v="6"/>
    <n v="2"/>
    <m/>
    <n v="0"/>
    <x v="1"/>
    <n v="0"/>
    <x v="478"/>
    <x v="4"/>
    <x v="0"/>
    <n v="-41.81"/>
  </r>
  <r>
    <n v="3001"/>
    <x v="1975"/>
    <x v="1"/>
    <x v="18"/>
    <n v="-1"/>
    <n v="1171.57"/>
    <n v="-1171.57"/>
    <x v="1"/>
    <n v="-1171.57"/>
    <x v="45"/>
    <x v="5"/>
    <x v="0"/>
    <n v="2541.21"/>
  </r>
  <r>
    <n v="1046"/>
    <x v="1976"/>
    <x v="4"/>
    <x v="8"/>
    <n v="2"/>
    <m/>
    <n v="0"/>
    <x v="1"/>
    <n v="0"/>
    <x v="526"/>
    <x v="0"/>
    <x v="1"/>
    <n v="900.65"/>
  </r>
  <r>
    <n v="3003"/>
    <x v="1977"/>
    <x v="0"/>
    <x v="9"/>
    <n v="-1"/>
    <m/>
    <n v="0"/>
    <x v="1"/>
    <n v="0"/>
    <x v="34"/>
    <x v="0"/>
    <x v="1"/>
    <n v="605.98"/>
  </r>
  <r>
    <n v="3004"/>
    <x v="1978"/>
    <x v="4"/>
    <x v="4"/>
    <n v="3"/>
    <n v="1759.66"/>
    <n v="5278.9800000000005"/>
    <x v="1"/>
    <n v="5278.9800000000005"/>
    <x v="113"/>
    <x v="2"/>
    <x v="0"/>
    <n v="1133.07"/>
  </r>
  <r>
    <n v="3005"/>
    <x v="1979"/>
    <x v="1"/>
    <x v="15"/>
    <n v="2"/>
    <m/>
    <n v="0"/>
    <x v="1"/>
    <n v="0"/>
    <x v="263"/>
    <x v="4"/>
    <x v="0"/>
    <n v="2378.14"/>
  </r>
  <r>
    <n v="3006"/>
    <x v="1980"/>
    <x v="2"/>
    <x v="2"/>
    <n v="2"/>
    <m/>
    <n v="0"/>
    <x v="45"/>
    <n v="0"/>
    <x v="4"/>
    <x v="5"/>
    <x v="1"/>
    <n v="1441.9"/>
  </r>
  <r>
    <n v="3007"/>
    <x v="1981"/>
    <x v="2"/>
    <x v="2"/>
    <n v="-2"/>
    <n v="3922.01"/>
    <n v="-7844.02"/>
    <x v="1"/>
    <n v="-7844.02"/>
    <x v="236"/>
    <x v="3"/>
    <x v="1"/>
    <n v="2186.58"/>
  </r>
  <r>
    <n v="3008"/>
    <x v="1982"/>
    <x v="3"/>
    <x v="7"/>
    <n v="2"/>
    <n v="2880.85"/>
    <n v="5761.7"/>
    <x v="1"/>
    <n v="5761.7"/>
    <x v="418"/>
    <x v="0"/>
    <x v="0"/>
    <n v="2519.23"/>
  </r>
  <r>
    <n v="3009"/>
    <x v="1983"/>
    <x v="0"/>
    <x v="0"/>
    <n v="2"/>
    <m/>
    <n v="0"/>
    <x v="1"/>
    <n v="0"/>
    <x v="480"/>
    <x v="3"/>
    <x v="0"/>
    <n v="25.22"/>
  </r>
  <r>
    <n v="3010"/>
    <x v="1984"/>
    <x v="1"/>
    <x v="1"/>
    <n v="-2"/>
    <m/>
    <n v="0"/>
    <x v="51"/>
    <n v="0"/>
    <x v="286"/>
    <x v="4"/>
    <x v="0"/>
    <n v="671.7"/>
  </r>
  <r>
    <n v="3011"/>
    <x v="1985"/>
    <x v="3"/>
    <x v="3"/>
    <n v="2"/>
    <n v="4016.78"/>
    <n v="8033.56"/>
    <x v="75"/>
    <n v="-241.00680000000023"/>
    <x v="304"/>
    <x v="0"/>
    <x v="1"/>
    <n v="729.73"/>
  </r>
  <r>
    <n v="3012"/>
    <x v="1986"/>
    <x v="3"/>
    <x v="23"/>
    <n v="2"/>
    <n v="673.96"/>
    <n v="1347.92"/>
    <x v="1"/>
    <n v="1347.92"/>
    <x v="4"/>
    <x v="3"/>
    <x v="1"/>
    <n v="799.35"/>
  </r>
  <r>
    <n v="3013"/>
    <x v="1987"/>
    <x v="4"/>
    <x v="16"/>
    <n v="2"/>
    <m/>
    <n v="0"/>
    <x v="129"/>
    <n v="0"/>
    <x v="402"/>
    <x v="3"/>
    <x v="0"/>
    <n v="-572.35"/>
  </r>
  <r>
    <n v="3014"/>
    <x v="1988"/>
    <x v="4"/>
    <x v="16"/>
    <n v="2"/>
    <m/>
    <n v="0"/>
    <x v="1"/>
    <n v="0"/>
    <x v="321"/>
    <x v="0"/>
    <x v="1"/>
    <n v="1056.99"/>
  </r>
  <r>
    <n v="3015"/>
    <x v="1989"/>
    <x v="0"/>
    <x v="20"/>
    <n v="2"/>
    <n v="3211"/>
    <n v="6422"/>
    <x v="10"/>
    <n v="2825.68"/>
    <x v="45"/>
    <x v="0"/>
    <x v="0"/>
    <n v="-659.55"/>
  </r>
  <r>
    <n v="3016"/>
    <x v="1990"/>
    <x v="3"/>
    <x v="3"/>
    <n v="5"/>
    <m/>
    <n v="0"/>
    <x v="1"/>
    <n v="0"/>
    <x v="73"/>
    <x v="4"/>
    <x v="0"/>
    <n v="426.15"/>
  </r>
  <r>
    <n v="3017"/>
    <x v="1991"/>
    <x v="2"/>
    <x v="17"/>
    <n v="2"/>
    <m/>
    <n v="0"/>
    <x v="1"/>
    <n v="0"/>
    <x v="99"/>
    <x v="1"/>
    <x v="0"/>
    <n v="1237.1300000000001"/>
  </r>
  <r>
    <n v="3018"/>
    <x v="1992"/>
    <x v="0"/>
    <x v="0"/>
    <n v="0"/>
    <n v="4744.8599999999997"/>
    <n v="0"/>
    <x v="1"/>
    <n v="0"/>
    <x v="372"/>
    <x v="4"/>
    <x v="0"/>
    <n v="2963.16"/>
  </r>
  <r>
    <n v="3019"/>
    <x v="1993"/>
    <x v="0"/>
    <x v="0"/>
    <n v="0"/>
    <n v="2705.09"/>
    <n v="0"/>
    <x v="1"/>
    <n v="0"/>
    <x v="95"/>
    <x v="4"/>
    <x v="0"/>
    <n v="-546.72"/>
  </r>
  <r>
    <n v="3020"/>
    <x v="1994"/>
    <x v="2"/>
    <x v="17"/>
    <n v="2"/>
    <m/>
    <n v="0"/>
    <x v="1"/>
    <n v="0"/>
    <x v="169"/>
    <x v="3"/>
    <x v="1"/>
    <n v="134.93"/>
  </r>
  <r>
    <n v="3021"/>
    <x v="1995"/>
    <x v="1"/>
    <x v="15"/>
    <n v="3"/>
    <m/>
    <n v="0"/>
    <x v="1"/>
    <n v="0"/>
    <x v="152"/>
    <x v="2"/>
    <x v="1"/>
    <n v="-571.78"/>
  </r>
  <r>
    <n v="3022"/>
    <x v="1996"/>
    <x v="3"/>
    <x v="3"/>
    <n v="3"/>
    <n v="1695.61"/>
    <n v="5086.83"/>
    <x v="1"/>
    <n v="5086.83"/>
    <x v="119"/>
    <x v="0"/>
    <x v="0"/>
    <n v="297.83"/>
  </r>
  <r>
    <n v="3023"/>
    <x v="1997"/>
    <x v="4"/>
    <x v="8"/>
    <n v="2"/>
    <m/>
    <n v="0"/>
    <x v="1"/>
    <n v="0"/>
    <x v="527"/>
    <x v="0"/>
    <x v="0"/>
    <n v="2001.88"/>
  </r>
  <r>
    <n v="3024"/>
    <x v="1998"/>
    <x v="4"/>
    <x v="14"/>
    <n v="2"/>
    <m/>
    <n v="0"/>
    <x v="21"/>
    <n v="0"/>
    <x v="4"/>
    <x v="2"/>
    <x v="0"/>
    <n v="1505.68"/>
  </r>
  <r>
    <n v="3025"/>
    <x v="1999"/>
    <x v="3"/>
    <x v="3"/>
    <n v="2"/>
    <m/>
    <n v="0"/>
    <x v="1"/>
    <n v="0"/>
    <x v="184"/>
    <x v="3"/>
    <x v="0"/>
    <n v="2275.0700000000002"/>
  </r>
  <r>
    <n v="3026"/>
    <x v="2000"/>
    <x v="0"/>
    <x v="9"/>
    <n v="2"/>
    <n v="3345.45"/>
    <n v="6690.9"/>
    <x v="1"/>
    <n v="6690.9"/>
    <x v="119"/>
    <x v="4"/>
    <x v="0"/>
    <n v="2896.95"/>
  </r>
  <r>
    <n v="3027"/>
    <x v="2001"/>
    <x v="3"/>
    <x v="21"/>
    <n v="2"/>
    <m/>
    <n v="0"/>
    <x v="1"/>
    <n v="0"/>
    <x v="135"/>
    <x v="2"/>
    <x v="1"/>
    <n v="1256.47"/>
  </r>
  <r>
    <n v="3028"/>
    <x v="2002"/>
    <x v="2"/>
    <x v="13"/>
    <n v="2"/>
    <m/>
    <n v="0"/>
    <x v="123"/>
    <n v="0"/>
    <x v="52"/>
    <x v="3"/>
    <x v="0"/>
    <n v="-436.73"/>
  </r>
  <r>
    <n v="1031"/>
    <x v="2003"/>
    <x v="0"/>
    <x v="0"/>
    <n v="2"/>
    <n v="2267.3000000000002"/>
    <n v="4534.6000000000004"/>
    <x v="53"/>
    <n v="408.11399999999992"/>
    <x v="57"/>
    <x v="3"/>
    <x v="0"/>
    <n v="1673.55"/>
  </r>
  <r>
    <n v="3030"/>
    <x v="225"/>
    <x v="3"/>
    <x v="21"/>
    <n v="2"/>
    <n v="4101.8900000000003"/>
    <n v="8203.7800000000007"/>
    <x v="1"/>
    <n v="8203.7800000000007"/>
    <x v="528"/>
    <x v="0"/>
    <x v="0"/>
    <n v="1196.03"/>
  </r>
  <r>
    <n v="3031"/>
    <x v="2004"/>
    <x v="1"/>
    <x v="22"/>
    <n v="-1"/>
    <m/>
    <n v="0"/>
    <x v="1"/>
    <n v="0"/>
    <x v="416"/>
    <x v="4"/>
    <x v="0"/>
    <n v="-970.17"/>
  </r>
  <r>
    <n v="3032"/>
    <x v="2005"/>
    <x v="2"/>
    <x v="13"/>
    <n v="5"/>
    <n v="3654.9"/>
    <n v="18274.5"/>
    <x v="1"/>
    <n v="18274.5"/>
    <x v="4"/>
    <x v="1"/>
    <x v="0"/>
    <n v="1069.81"/>
  </r>
  <r>
    <n v="3033"/>
    <x v="2006"/>
    <x v="4"/>
    <x v="14"/>
    <n v="2"/>
    <n v="1787.52"/>
    <n v="3575.04"/>
    <x v="1"/>
    <n v="3575.04"/>
    <x v="154"/>
    <x v="4"/>
    <x v="1"/>
    <n v="2626.27"/>
  </r>
  <r>
    <n v="3034"/>
    <x v="2007"/>
    <x v="4"/>
    <x v="8"/>
    <n v="2"/>
    <m/>
    <n v="0"/>
    <x v="1"/>
    <n v="0"/>
    <x v="4"/>
    <x v="1"/>
    <x v="1"/>
    <n v="2599.13"/>
  </r>
  <r>
    <n v="3035"/>
    <x v="2008"/>
    <x v="5"/>
    <x v="6"/>
    <n v="4"/>
    <m/>
    <n v="0"/>
    <x v="111"/>
    <n v="0"/>
    <x v="4"/>
    <x v="3"/>
    <x v="1"/>
    <n v="2640.01"/>
  </r>
  <r>
    <n v="3036"/>
    <x v="2009"/>
    <x v="5"/>
    <x v="19"/>
    <n v="2"/>
    <n v="3997.83"/>
    <n v="7995.66"/>
    <x v="1"/>
    <n v="7995.66"/>
    <x v="511"/>
    <x v="0"/>
    <x v="1"/>
    <n v="1399.12"/>
  </r>
  <r>
    <n v="3037"/>
    <x v="2010"/>
    <x v="1"/>
    <x v="1"/>
    <n v="2"/>
    <m/>
    <n v="0"/>
    <x v="110"/>
    <n v="0"/>
    <x v="43"/>
    <x v="0"/>
    <x v="0"/>
    <n v="-298.81"/>
  </r>
  <r>
    <n v="3038"/>
    <x v="2011"/>
    <x v="1"/>
    <x v="15"/>
    <n v="2"/>
    <n v="1318.04"/>
    <n v="2636.08"/>
    <x v="1"/>
    <n v="2636.08"/>
    <x v="366"/>
    <x v="1"/>
    <x v="0"/>
    <n v="-19.53"/>
  </r>
  <r>
    <n v="3039"/>
    <x v="2012"/>
    <x v="0"/>
    <x v="0"/>
    <n v="2"/>
    <m/>
    <n v="0"/>
    <x v="1"/>
    <n v="0"/>
    <x v="4"/>
    <x v="5"/>
    <x v="0"/>
    <n v="748.79"/>
  </r>
  <r>
    <n v="3040"/>
    <x v="2013"/>
    <x v="2"/>
    <x v="13"/>
    <n v="-2"/>
    <m/>
    <n v="0"/>
    <x v="1"/>
    <n v="0"/>
    <x v="14"/>
    <x v="4"/>
    <x v="1"/>
    <n v="2991.73"/>
  </r>
  <r>
    <n v="3041"/>
    <x v="2014"/>
    <x v="1"/>
    <x v="15"/>
    <n v="2"/>
    <m/>
    <n v="0"/>
    <x v="1"/>
    <n v="0"/>
    <x v="396"/>
    <x v="4"/>
    <x v="0"/>
    <n v="2179.9299999999998"/>
  </r>
  <r>
    <n v="3042"/>
    <x v="2015"/>
    <x v="1"/>
    <x v="22"/>
    <n v="3"/>
    <n v="848.45"/>
    <n v="2545.3500000000004"/>
    <x v="1"/>
    <n v="2545.3500000000004"/>
    <x v="4"/>
    <x v="3"/>
    <x v="0"/>
    <n v="1334.54"/>
  </r>
  <r>
    <n v="3043"/>
    <x v="2016"/>
    <x v="3"/>
    <x v="23"/>
    <n v="2"/>
    <n v="1137.77"/>
    <n v="2275.54"/>
    <x v="1"/>
    <n v="2275.54"/>
    <x v="529"/>
    <x v="0"/>
    <x v="0"/>
    <n v="-471.37"/>
  </r>
  <r>
    <n v="3044"/>
    <x v="2017"/>
    <x v="4"/>
    <x v="8"/>
    <n v="2"/>
    <n v="431.31"/>
    <n v="862.62"/>
    <x v="120"/>
    <n v="-215.655"/>
    <x v="367"/>
    <x v="2"/>
    <x v="0"/>
    <n v="2866.66"/>
  </r>
  <r>
    <n v="3045"/>
    <x v="2018"/>
    <x v="5"/>
    <x v="6"/>
    <n v="2"/>
    <n v="3180.69"/>
    <n v="6361.38"/>
    <x v="1"/>
    <n v="6361.38"/>
    <x v="271"/>
    <x v="4"/>
    <x v="1"/>
    <n v="2237.56"/>
  </r>
  <r>
    <n v="3046"/>
    <x v="2019"/>
    <x v="0"/>
    <x v="9"/>
    <n v="2"/>
    <m/>
    <n v="0"/>
    <x v="1"/>
    <n v="0"/>
    <x v="4"/>
    <x v="4"/>
    <x v="1"/>
    <n v="372.98"/>
  </r>
  <r>
    <n v="1037"/>
    <x v="2020"/>
    <x v="4"/>
    <x v="8"/>
    <n v="2"/>
    <m/>
    <n v="0"/>
    <x v="1"/>
    <n v="0"/>
    <x v="4"/>
    <x v="2"/>
    <x v="0"/>
    <n v="1396.38"/>
  </r>
  <r>
    <n v="3048"/>
    <x v="2021"/>
    <x v="1"/>
    <x v="1"/>
    <n v="2"/>
    <n v="1136.4100000000001"/>
    <n v="2272.8200000000002"/>
    <x v="1"/>
    <n v="2272.8200000000002"/>
    <x v="460"/>
    <x v="1"/>
    <x v="1"/>
    <n v="2504.79"/>
  </r>
  <r>
    <n v="3049"/>
    <x v="2022"/>
    <x v="5"/>
    <x v="12"/>
    <n v="-2"/>
    <m/>
    <n v="0"/>
    <x v="1"/>
    <n v="0"/>
    <x v="481"/>
    <x v="2"/>
    <x v="0"/>
    <n v="2001.07"/>
  </r>
  <r>
    <n v="3050"/>
    <x v="2023"/>
    <x v="0"/>
    <x v="20"/>
    <n v="2"/>
    <n v="3177.78"/>
    <n v="6355.56"/>
    <x v="1"/>
    <n v="6355.56"/>
    <x v="88"/>
    <x v="1"/>
    <x v="0"/>
    <n v="407.14"/>
  </r>
  <r>
    <n v="3051"/>
    <x v="2024"/>
    <x v="2"/>
    <x v="2"/>
    <n v="0"/>
    <m/>
    <n v="0"/>
    <x v="1"/>
    <n v="0"/>
    <x v="4"/>
    <x v="3"/>
    <x v="1"/>
    <n v="1877.82"/>
  </r>
  <r>
    <n v="3052"/>
    <x v="2025"/>
    <x v="3"/>
    <x v="3"/>
    <n v="-1"/>
    <n v="1290.42"/>
    <n v="-1290.42"/>
    <x v="1"/>
    <n v="-1290.42"/>
    <x v="530"/>
    <x v="1"/>
    <x v="1"/>
    <n v="-196.63"/>
  </r>
  <r>
    <n v="3053"/>
    <x v="2026"/>
    <x v="2"/>
    <x v="10"/>
    <n v="5"/>
    <m/>
    <n v="0"/>
    <x v="1"/>
    <n v="0"/>
    <x v="4"/>
    <x v="1"/>
    <x v="0"/>
    <n v="612.53"/>
  </r>
  <r>
    <n v="3054"/>
    <x v="2027"/>
    <x v="5"/>
    <x v="12"/>
    <n v="5"/>
    <n v="1722.34"/>
    <n v="8611.6999999999989"/>
    <x v="130"/>
    <n v="-344.46800000000025"/>
    <x v="362"/>
    <x v="0"/>
    <x v="1"/>
    <n v="2459.2800000000002"/>
  </r>
  <r>
    <n v="3055"/>
    <x v="2028"/>
    <x v="5"/>
    <x v="6"/>
    <n v="1"/>
    <m/>
    <n v="0"/>
    <x v="1"/>
    <n v="0"/>
    <x v="272"/>
    <x v="2"/>
    <x v="0"/>
    <n v="2024.8"/>
  </r>
  <r>
    <n v="3056"/>
    <x v="2029"/>
    <x v="2"/>
    <x v="10"/>
    <n v="4"/>
    <m/>
    <n v="0"/>
    <x v="1"/>
    <n v="0"/>
    <x v="93"/>
    <x v="2"/>
    <x v="0"/>
    <n v="2126.75"/>
  </r>
  <r>
    <n v="3057"/>
    <x v="2030"/>
    <x v="1"/>
    <x v="15"/>
    <n v="2"/>
    <m/>
    <n v="0"/>
    <x v="65"/>
    <n v="0"/>
    <x v="200"/>
    <x v="1"/>
    <x v="0"/>
    <n v="2241.83"/>
  </r>
  <r>
    <n v="3058"/>
    <x v="2031"/>
    <x v="4"/>
    <x v="16"/>
    <n v="2"/>
    <n v="2948.36"/>
    <n v="5896.72"/>
    <x v="1"/>
    <n v="5896.72"/>
    <x v="4"/>
    <x v="5"/>
    <x v="1"/>
    <n v="1074.3499999999999"/>
  </r>
  <r>
    <n v="3059"/>
    <x v="2032"/>
    <x v="4"/>
    <x v="4"/>
    <n v="-2"/>
    <n v="4949.17"/>
    <n v="-9898.34"/>
    <x v="1"/>
    <n v="-9898.34"/>
    <x v="58"/>
    <x v="3"/>
    <x v="1"/>
    <n v="1267.49"/>
  </r>
  <r>
    <n v="3060"/>
    <x v="2033"/>
    <x v="3"/>
    <x v="21"/>
    <n v="2"/>
    <m/>
    <n v="0"/>
    <x v="58"/>
    <n v="0"/>
    <x v="217"/>
    <x v="2"/>
    <x v="0"/>
    <n v="1011.23"/>
  </r>
  <r>
    <n v="3061"/>
    <x v="2034"/>
    <x v="4"/>
    <x v="4"/>
    <n v="-1"/>
    <n v="1873.39"/>
    <n v="-1873.39"/>
    <x v="123"/>
    <n v="-487.08140000000003"/>
    <x v="528"/>
    <x v="4"/>
    <x v="1"/>
    <n v="1596.53"/>
  </r>
  <r>
    <n v="3062"/>
    <x v="2035"/>
    <x v="4"/>
    <x v="14"/>
    <n v="2"/>
    <n v="4312.55"/>
    <n v="8625.1"/>
    <x v="1"/>
    <n v="8625.1"/>
    <x v="107"/>
    <x v="4"/>
    <x v="0"/>
    <n v="496.16"/>
  </r>
  <r>
    <n v="3063"/>
    <x v="2036"/>
    <x v="4"/>
    <x v="16"/>
    <n v="2"/>
    <n v="4971.93"/>
    <n v="9943.86"/>
    <x v="115"/>
    <n v="4872.4913999999999"/>
    <x v="457"/>
    <x v="4"/>
    <x v="0"/>
    <n v="1941.61"/>
  </r>
  <r>
    <n v="3064"/>
    <x v="2037"/>
    <x v="1"/>
    <x v="1"/>
    <n v="2"/>
    <m/>
    <n v="0"/>
    <x v="72"/>
    <n v="0"/>
    <x v="74"/>
    <x v="4"/>
    <x v="0"/>
    <n v="2520.12"/>
  </r>
  <r>
    <n v="3065"/>
    <x v="2038"/>
    <x v="4"/>
    <x v="4"/>
    <n v="-1"/>
    <n v="873.64"/>
    <n v="-873.64"/>
    <x v="91"/>
    <n v="-725.12119999999993"/>
    <x v="422"/>
    <x v="5"/>
    <x v="0"/>
    <n v="1107.8499999999999"/>
  </r>
  <r>
    <n v="3066"/>
    <x v="2039"/>
    <x v="2"/>
    <x v="17"/>
    <n v="2"/>
    <m/>
    <n v="0"/>
    <x v="25"/>
    <n v="0"/>
    <x v="183"/>
    <x v="2"/>
    <x v="0"/>
    <n v="80.290000000000006"/>
  </r>
  <r>
    <n v="3067"/>
    <x v="2040"/>
    <x v="4"/>
    <x v="8"/>
    <n v="0"/>
    <m/>
    <n v="0"/>
    <x v="1"/>
    <n v="0"/>
    <x v="100"/>
    <x v="3"/>
    <x v="0"/>
    <n v="2711.03"/>
  </r>
  <r>
    <n v="3068"/>
    <x v="2041"/>
    <x v="2"/>
    <x v="10"/>
    <n v="2"/>
    <m/>
    <n v="0"/>
    <x v="38"/>
    <n v="0"/>
    <x v="4"/>
    <x v="5"/>
    <x v="0"/>
    <n v="1886.51"/>
  </r>
  <r>
    <n v="3069"/>
    <x v="2042"/>
    <x v="1"/>
    <x v="1"/>
    <n v="2"/>
    <m/>
    <n v="0"/>
    <x v="1"/>
    <n v="0"/>
    <x v="11"/>
    <x v="3"/>
    <x v="0"/>
    <n v="-524.33000000000004"/>
  </r>
  <r>
    <n v="3070"/>
    <x v="2043"/>
    <x v="1"/>
    <x v="22"/>
    <n v="2"/>
    <m/>
    <n v="0"/>
    <x v="1"/>
    <n v="0"/>
    <x v="169"/>
    <x v="0"/>
    <x v="1"/>
    <n v="1136.04"/>
  </r>
  <r>
    <n v="3071"/>
    <x v="2044"/>
    <x v="2"/>
    <x v="10"/>
    <n v="2"/>
    <n v="4617.8500000000004"/>
    <n v="9235.7000000000007"/>
    <x v="79"/>
    <n v="-184.71400000000017"/>
    <x v="531"/>
    <x v="0"/>
    <x v="0"/>
    <n v="1778.15"/>
  </r>
  <r>
    <n v="3072"/>
    <x v="2045"/>
    <x v="2"/>
    <x v="17"/>
    <n v="6"/>
    <m/>
    <n v="0"/>
    <x v="1"/>
    <n v="0"/>
    <x v="52"/>
    <x v="1"/>
    <x v="0"/>
    <n v="1650.33"/>
  </r>
  <r>
    <n v="3073"/>
    <x v="2046"/>
    <x v="3"/>
    <x v="7"/>
    <n v="1"/>
    <n v="478.6"/>
    <n v="478.6"/>
    <x v="68"/>
    <n v="-86.147999999999968"/>
    <x v="51"/>
    <x v="3"/>
    <x v="1"/>
    <n v="1139.8399999999999"/>
  </r>
  <r>
    <n v="3074"/>
    <x v="2047"/>
    <x v="3"/>
    <x v="23"/>
    <n v="2"/>
    <m/>
    <n v="0"/>
    <x v="1"/>
    <n v="0"/>
    <x v="532"/>
    <x v="2"/>
    <x v="1"/>
    <n v="-906.63"/>
  </r>
  <r>
    <n v="3075"/>
    <x v="2048"/>
    <x v="3"/>
    <x v="21"/>
    <n v="2"/>
    <n v="1501.49"/>
    <n v="3002.98"/>
    <x v="36"/>
    <n v="1711.6986000000002"/>
    <x v="385"/>
    <x v="4"/>
    <x v="0"/>
    <n v="-100.14"/>
  </r>
  <r>
    <n v="3076"/>
    <x v="2049"/>
    <x v="4"/>
    <x v="4"/>
    <n v="0"/>
    <m/>
    <n v="0"/>
    <x v="1"/>
    <n v="0"/>
    <x v="293"/>
    <x v="5"/>
    <x v="0"/>
    <n v="1933.72"/>
  </r>
  <r>
    <n v="3077"/>
    <x v="2050"/>
    <x v="5"/>
    <x v="6"/>
    <n v="4"/>
    <m/>
    <n v="0"/>
    <x v="11"/>
    <n v="0"/>
    <x v="533"/>
    <x v="1"/>
    <x v="0"/>
    <n v="-528.22"/>
  </r>
  <r>
    <n v="3078"/>
    <x v="2051"/>
    <x v="1"/>
    <x v="1"/>
    <n v="2"/>
    <n v="2563.2399999999998"/>
    <n v="5126.4799999999996"/>
    <x v="1"/>
    <n v="5126.4799999999996"/>
    <x v="4"/>
    <x v="1"/>
    <x v="1"/>
    <n v="195.81"/>
  </r>
  <r>
    <n v="3079"/>
    <x v="2052"/>
    <x v="2"/>
    <x v="17"/>
    <n v="2"/>
    <n v="2839.98"/>
    <n v="5679.96"/>
    <x v="1"/>
    <n v="5679.96"/>
    <x v="247"/>
    <x v="2"/>
    <x v="1"/>
    <n v="-48.25"/>
  </r>
  <r>
    <n v="3080"/>
    <x v="2053"/>
    <x v="4"/>
    <x v="4"/>
    <n v="2"/>
    <m/>
    <n v="0"/>
    <x v="1"/>
    <n v="0"/>
    <x v="281"/>
    <x v="3"/>
    <x v="1"/>
    <n v="2067.89"/>
  </r>
  <r>
    <n v="3081"/>
    <x v="2054"/>
    <x v="4"/>
    <x v="8"/>
    <n v="2"/>
    <m/>
    <n v="0"/>
    <x v="1"/>
    <n v="0"/>
    <x v="4"/>
    <x v="1"/>
    <x v="0"/>
    <n v="-245.42"/>
  </r>
  <r>
    <n v="3082"/>
    <x v="2055"/>
    <x v="5"/>
    <x v="11"/>
    <n v="5"/>
    <m/>
    <n v="0"/>
    <x v="1"/>
    <n v="0"/>
    <x v="26"/>
    <x v="5"/>
    <x v="0"/>
    <n v="664.73"/>
  </r>
  <r>
    <n v="3083"/>
    <x v="2056"/>
    <x v="4"/>
    <x v="4"/>
    <n v="2"/>
    <n v="1573.64"/>
    <n v="3147.28"/>
    <x v="1"/>
    <n v="3147.28"/>
    <x v="35"/>
    <x v="0"/>
    <x v="0"/>
    <n v="792.35"/>
  </r>
  <r>
    <n v="3084"/>
    <x v="2057"/>
    <x v="4"/>
    <x v="8"/>
    <n v="2"/>
    <n v="2316.64"/>
    <n v="4633.28"/>
    <x v="5"/>
    <n v="1389.9840000000002"/>
    <x v="429"/>
    <x v="1"/>
    <x v="1"/>
    <n v="-657.76"/>
  </r>
  <r>
    <n v="3085"/>
    <x v="2058"/>
    <x v="4"/>
    <x v="4"/>
    <n v="4"/>
    <m/>
    <n v="0"/>
    <x v="1"/>
    <n v="0"/>
    <x v="348"/>
    <x v="2"/>
    <x v="0"/>
    <n v="2563.31"/>
  </r>
  <r>
    <n v="3086"/>
    <x v="2059"/>
    <x v="3"/>
    <x v="21"/>
    <n v="-1"/>
    <m/>
    <n v="0"/>
    <x v="1"/>
    <n v="0"/>
    <x v="233"/>
    <x v="0"/>
    <x v="1"/>
    <n v="918.53"/>
  </r>
  <r>
    <n v="3087"/>
    <x v="2060"/>
    <x v="0"/>
    <x v="0"/>
    <n v="2"/>
    <n v="692.46"/>
    <n v="1384.92"/>
    <x v="61"/>
    <n v="-276.98399999999998"/>
    <x v="494"/>
    <x v="3"/>
    <x v="0"/>
    <n v="-901.21"/>
  </r>
  <r>
    <n v="1028"/>
    <x v="2061"/>
    <x v="0"/>
    <x v="0"/>
    <n v="-2"/>
    <n v="3344.74"/>
    <n v="-6689.48"/>
    <x v="9"/>
    <n v="668.94800000000055"/>
    <x v="152"/>
    <x v="1"/>
    <x v="1"/>
    <n v="2728.08"/>
  </r>
  <r>
    <n v="3089"/>
    <x v="2062"/>
    <x v="3"/>
    <x v="3"/>
    <n v="-2"/>
    <n v="3153.72"/>
    <n v="-6307.44"/>
    <x v="1"/>
    <n v="-6307.44"/>
    <x v="152"/>
    <x v="4"/>
    <x v="1"/>
    <n v="2686.96"/>
  </r>
  <r>
    <n v="3090"/>
    <x v="2063"/>
    <x v="5"/>
    <x v="12"/>
    <n v="-2"/>
    <n v="3033.2"/>
    <n v="-6066.4"/>
    <x v="1"/>
    <n v="-6066.4"/>
    <x v="498"/>
    <x v="5"/>
    <x v="1"/>
    <n v="490.69"/>
  </r>
  <r>
    <n v="3091"/>
    <x v="2064"/>
    <x v="3"/>
    <x v="21"/>
    <n v="2"/>
    <n v="1091.76"/>
    <n v="2183.52"/>
    <x v="96"/>
    <n v="1004.4191999999999"/>
    <x v="374"/>
    <x v="4"/>
    <x v="0"/>
    <n v="2584.69"/>
  </r>
  <r>
    <n v="3092"/>
    <x v="2065"/>
    <x v="1"/>
    <x v="1"/>
    <n v="2"/>
    <m/>
    <n v="0"/>
    <x v="1"/>
    <n v="0"/>
    <x v="311"/>
    <x v="3"/>
    <x v="0"/>
    <n v="250.05"/>
  </r>
  <r>
    <n v="3093"/>
    <x v="2066"/>
    <x v="2"/>
    <x v="17"/>
    <n v="2"/>
    <n v="1551.41"/>
    <n v="3102.82"/>
    <x v="96"/>
    <n v="1427.2972"/>
    <x v="528"/>
    <x v="0"/>
    <x v="0"/>
    <n v="763.37"/>
  </r>
  <r>
    <n v="3094"/>
    <x v="2067"/>
    <x v="5"/>
    <x v="12"/>
    <n v="2"/>
    <n v="4382.8599999999997"/>
    <n v="8765.7199999999993"/>
    <x v="1"/>
    <n v="8765.7199999999993"/>
    <x v="140"/>
    <x v="5"/>
    <x v="0"/>
    <n v="1172.7"/>
  </r>
  <r>
    <n v="3095"/>
    <x v="2068"/>
    <x v="3"/>
    <x v="21"/>
    <n v="1"/>
    <m/>
    <n v="0"/>
    <x v="1"/>
    <n v="0"/>
    <x v="200"/>
    <x v="5"/>
    <x v="0"/>
    <n v="2699.57"/>
  </r>
  <r>
    <n v="3096"/>
    <x v="2069"/>
    <x v="2"/>
    <x v="17"/>
    <n v="2"/>
    <n v="2312.09"/>
    <n v="4624.18"/>
    <x v="1"/>
    <n v="4624.18"/>
    <x v="272"/>
    <x v="3"/>
    <x v="0"/>
    <n v="508.96"/>
  </r>
  <r>
    <n v="3097"/>
    <x v="2070"/>
    <x v="2"/>
    <x v="17"/>
    <n v="2"/>
    <n v="3111.65"/>
    <n v="6223.3"/>
    <x v="1"/>
    <n v="6223.3"/>
    <x v="293"/>
    <x v="4"/>
    <x v="1"/>
    <n v="2868.09"/>
  </r>
  <r>
    <n v="1028"/>
    <x v="2071"/>
    <x v="5"/>
    <x v="11"/>
    <n v="2"/>
    <n v="2996.43"/>
    <n v="5992.86"/>
    <x v="1"/>
    <n v="5992.86"/>
    <x v="4"/>
    <x v="5"/>
    <x v="0"/>
    <n v="2205.5700000000002"/>
  </r>
  <r>
    <n v="3099"/>
    <x v="2072"/>
    <x v="3"/>
    <x v="21"/>
    <n v="2"/>
    <n v="4426.87"/>
    <n v="8853.74"/>
    <x v="1"/>
    <n v="8853.74"/>
    <x v="18"/>
    <x v="5"/>
    <x v="1"/>
    <n v="2480.9499999999998"/>
  </r>
  <r>
    <n v="3100"/>
    <x v="2073"/>
    <x v="1"/>
    <x v="22"/>
    <n v="2"/>
    <m/>
    <n v="0"/>
    <x v="1"/>
    <n v="0"/>
    <x v="231"/>
    <x v="1"/>
    <x v="1"/>
    <n v="2379.7399999999998"/>
  </r>
  <r>
    <n v="3101"/>
    <x v="2074"/>
    <x v="3"/>
    <x v="3"/>
    <n v="1"/>
    <m/>
    <n v="0"/>
    <x v="1"/>
    <n v="0"/>
    <x v="17"/>
    <x v="2"/>
    <x v="1"/>
    <n v="478.53"/>
  </r>
  <r>
    <n v="1025"/>
    <x v="2075"/>
    <x v="5"/>
    <x v="11"/>
    <n v="0"/>
    <m/>
    <n v="0"/>
    <x v="1"/>
    <n v="0"/>
    <x v="104"/>
    <x v="1"/>
    <x v="1"/>
    <n v="-861.84"/>
  </r>
  <r>
    <n v="3103"/>
    <x v="2076"/>
    <x v="4"/>
    <x v="16"/>
    <n v="5"/>
    <m/>
    <n v="0"/>
    <x v="1"/>
    <n v="0"/>
    <x v="155"/>
    <x v="3"/>
    <x v="0"/>
    <n v="654.74"/>
  </r>
  <r>
    <n v="3104"/>
    <x v="2077"/>
    <x v="5"/>
    <x v="6"/>
    <n v="2"/>
    <n v="4274.01"/>
    <n v="8548.02"/>
    <x v="103"/>
    <n v="6154.5744000000004"/>
    <x v="288"/>
    <x v="1"/>
    <x v="1"/>
    <n v="2263.5700000000002"/>
  </r>
  <r>
    <n v="3105"/>
    <x v="2078"/>
    <x v="3"/>
    <x v="3"/>
    <n v="2"/>
    <m/>
    <n v="0"/>
    <x v="1"/>
    <n v="0"/>
    <x v="407"/>
    <x v="4"/>
    <x v="0"/>
    <n v="1488.64"/>
  </r>
  <r>
    <n v="3106"/>
    <x v="2079"/>
    <x v="3"/>
    <x v="7"/>
    <n v="6"/>
    <m/>
    <n v="0"/>
    <x v="1"/>
    <n v="0"/>
    <x v="141"/>
    <x v="0"/>
    <x v="0"/>
    <n v="-521.15"/>
  </r>
  <r>
    <n v="3107"/>
    <x v="2080"/>
    <x v="0"/>
    <x v="0"/>
    <n v="2"/>
    <n v="2068.64"/>
    <n v="4137.28"/>
    <x v="1"/>
    <n v="4137.28"/>
    <x v="4"/>
    <x v="2"/>
    <x v="0"/>
    <n v="2447.29"/>
  </r>
  <r>
    <n v="3108"/>
    <x v="2081"/>
    <x v="5"/>
    <x v="12"/>
    <n v="2"/>
    <m/>
    <n v="0"/>
    <x v="1"/>
    <n v="0"/>
    <x v="120"/>
    <x v="2"/>
    <x v="0"/>
    <n v="-815.76"/>
  </r>
  <r>
    <n v="3109"/>
    <x v="2082"/>
    <x v="4"/>
    <x v="4"/>
    <n v="5"/>
    <m/>
    <n v="0"/>
    <x v="90"/>
    <n v="0"/>
    <x v="4"/>
    <x v="1"/>
    <x v="0"/>
    <n v="445.05"/>
  </r>
  <r>
    <n v="3110"/>
    <x v="2083"/>
    <x v="0"/>
    <x v="5"/>
    <n v="2"/>
    <n v="4103.32"/>
    <n v="8206.64"/>
    <x v="1"/>
    <n v="8206.64"/>
    <x v="358"/>
    <x v="0"/>
    <x v="0"/>
    <n v="-828.25"/>
  </r>
  <r>
    <n v="3111"/>
    <x v="2084"/>
    <x v="4"/>
    <x v="14"/>
    <n v="-1"/>
    <n v="839.87"/>
    <n v="-839.87"/>
    <x v="1"/>
    <n v="-839.87"/>
    <x v="4"/>
    <x v="3"/>
    <x v="0"/>
    <n v="-286.10000000000002"/>
  </r>
  <r>
    <n v="3112"/>
    <x v="2085"/>
    <x v="2"/>
    <x v="2"/>
    <n v="2"/>
    <n v="3026.75"/>
    <n v="6053.5"/>
    <x v="1"/>
    <n v="6053.5"/>
    <x v="348"/>
    <x v="0"/>
    <x v="1"/>
    <n v="-565.91999999999996"/>
  </r>
  <r>
    <n v="3113"/>
    <x v="2086"/>
    <x v="2"/>
    <x v="2"/>
    <n v="4"/>
    <n v="3256.86"/>
    <n v="13027.44"/>
    <x v="49"/>
    <n v="2996.3112000000001"/>
    <x v="486"/>
    <x v="3"/>
    <x v="1"/>
    <n v="-109.08"/>
  </r>
  <r>
    <n v="3114"/>
    <x v="2087"/>
    <x v="0"/>
    <x v="0"/>
    <n v="2"/>
    <n v="4082.61"/>
    <n v="8165.22"/>
    <x v="1"/>
    <n v="8165.22"/>
    <x v="4"/>
    <x v="5"/>
    <x v="0"/>
    <n v="-454.61"/>
  </r>
  <r>
    <n v="3115"/>
    <x v="2088"/>
    <x v="3"/>
    <x v="23"/>
    <n v="2"/>
    <m/>
    <n v="0"/>
    <x v="1"/>
    <n v="0"/>
    <x v="451"/>
    <x v="4"/>
    <x v="0"/>
    <n v="-546.69000000000005"/>
  </r>
  <r>
    <n v="3116"/>
    <x v="2089"/>
    <x v="5"/>
    <x v="12"/>
    <n v="2"/>
    <n v="1237.1500000000001"/>
    <n v="2474.3000000000002"/>
    <x v="1"/>
    <n v="2474.3000000000002"/>
    <x v="160"/>
    <x v="3"/>
    <x v="1"/>
    <n v="1357.42"/>
  </r>
  <r>
    <n v="3117"/>
    <x v="2090"/>
    <x v="1"/>
    <x v="18"/>
    <n v="4"/>
    <m/>
    <n v="0"/>
    <x v="69"/>
    <n v="0"/>
    <x v="134"/>
    <x v="3"/>
    <x v="1"/>
    <n v="-706.51"/>
  </r>
  <r>
    <n v="3118"/>
    <x v="2091"/>
    <x v="1"/>
    <x v="1"/>
    <n v="2"/>
    <n v="948.06"/>
    <n v="1896.12"/>
    <x v="0"/>
    <n v="758.44799999999998"/>
    <x v="27"/>
    <x v="5"/>
    <x v="1"/>
    <n v="69.349999999999994"/>
  </r>
  <r>
    <n v="3119"/>
    <x v="2092"/>
    <x v="0"/>
    <x v="0"/>
    <n v="2"/>
    <n v="722.74"/>
    <n v="1445.48"/>
    <x v="1"/>
    <n v="1445.48"/>
    <x v="288"/>
    <x v="5"/>
    <x v="0"/>
    <n v="1610.64"/>
  </r>
  <r>
    <n v="3120"/>
    <x v="2093"/>
    <x v="3"/>
    <x v="7"/>
    <n v="2"/>
    <n v="824.59"/>
    <n v="1649.18"/>
    <x v="77"/>
    <n v="1434.7866000000001"/>
    <x v="212"/>
    <x v="4"/>
    <x v="0"/>
    <n v="-276.22000000000003"/>
  </r>
  <r>
    <n v="3121"/>
    <x v="2094"/>
    <x v="1"/>
    <x v="15"/>
    <n v="2"/>
    <n v="1049.27"/>
    <n v="2098.54"/>
    <x v="1"/>
    <n v="2098.54"/>
    <x v="534"/>
    <x v="4"/>
    <x v="0"/>
    <n v="-648.45000000000005"/>
  </r>
  <r>
    <n v="3122"/>
    <x v="2095"/>
    <x v="3"/>
    <x v="3"/>
    <n v="2"/>
    <m/>
    <n v="0"/>
    <x v="7"/>
    <n v="0"/>
    <x v="42"/>
    <x v="5"/>
    <x v="0"/>
    <n v="551.79"/>
  </r>
  <r>
    <n v="3123"/>
    <x v="2096"/>
    <x v="1"/>
    <x v="15"/>
    <n v="5"/>
    <m/>
    <n v="0"/>
    <x v="1"/>
    <n v="0"/>
    <x v="357"/>
    <x v="4"/>
    <x v="0"/>
    <n v="1980.42"/>
  </r>
  <r>
    <n v="3124"/>
    <x v="2097"/>
    <x v="4"/>
    <x v="4"/>
    <n v="2"/>
    <m/>
    <n v="0"/>
    <x v="57"/>
    <n v="0"/>
    <x v="432"/>
    <x v="5"/>
    <x v="1"/>
    <n v="-399.81"/>
  </r>
  <r>
    <n v="3125"/>
    <x v="2098"/>
    <x v="5"/>
    <x v="6"/>
    <n v="5"/>
    <n v="4264.79"/>
    <n v="21323.95"/>
    <x v="1"/>
    <n v="21323.95"/>
    <x v="237"/>
    <x v="1"/>
    <x v="0"/>
    <n v="2388.91"/>
  </r>
  <r>
    <n v="3126"/>
    <x v="2099"/>
    <x v="4"/>
    <x v="16"/>
    <n v="4"/>
    <m/>
    <n v="0"/>
    <x v="1"/>
    <n v="0"/>
    <x v="22"/>
    <x v="2"/>
    <x v="1"/>
    <n v="2624.13"/>
  </r>
  <r>
    <n v="3127"/>
    <x v="2100"/>
    <x v="2"/>
    <x v="17"/>
    <n v="2"/>
    <n v="491.77"/>
    <n v="983.54"/>
    <x v="55"/>
    <n v="98.353999999999971"/>
    <x v="291"/>
    <x v="5"/>
    <x v="1"/>
    <n v="2069.0500000000002"/>
  </r>
  <r>
    <n v="3128"/>
    <x v="2101"/>
    <x v="5"/>
    <x v="6"/>
    <n v="2"/>
    <n v="3216.9"/>
    <n v="6433.8"/>
    <x v="1"/>
    <n v="6433.8"/>
    <x v="367"/>
    <x v="4"/>
    <x v="0"/>
    <n v="192.22"/>
  </r>
  <r>
    <n v="3129"/>
    <x v="2102"/>
    <x v="0"/>
    <x v="9"/>
    <n v="2"/>
    <n v="3201.09"/>
    <n v="6402.18"/>
    <x v="1"/>
    <n v="6402.18"/>
    <x v="251"/>
    <x v="5"/>
    <x v="0"/>
    <n v="2989.88"/>
  </r>
  <r>
    <n v="3130"/>
    <x v="2103"/>
    <x v="5"/>
    <x v="6"/>
    <n v="2"/>
    <n v="3742.62"/>
    <n v="7485.24"/>
    <x v="1"/>
    <n v="7485.24"/>
    <x v="142"/>
    <x v="2"/>
    <x v="0"/>
    <n v="2886.26"/>
  </r>
  <r>
    <n v="3131"/>
    <x v="2104"/>
    <x v="3"/>
    <x v="3"/>
    <n v="2"/>
    <n v="4938.03"/>
    <n v="9876.06"/>
    <x v="1"/>
    <n v="9876.06"/>
    <x v="535"/>
    <x v="0"/>
    <x v="1"/>
    <n v="878.99"/>
  </r>
  <r>
    <n v="3132"/>
    <x v="2105"/>
    <x v="1"/>
    <x v="18"/>
    <n v="6"/>
    <n v="2940.45"/>
    <n v="17642.699999999997"/>
    <x v="1"/>
    <n v="17642.699999999997"/>
    <x v="4"/>
    <x v="4"/>
    <x v="0"/>
    <n v="-583.80999999999995"/>
  </r>
  <r>
    <n v="3133"/>
    <x v="2106"/>
    <x v="1"/>
    <x v="18"/>
    <n v="1"/>
    <n v="974.54"/>
    <n v="974.54"/>
    <x v="87"/>
    <n v="545.74239999999998"/>
    <x v="95"/>
    <x v="4"/>
    <x v="1"/>
    <n v="2655.22"/>
  </r>
  <r>
    <n v="3134"/>
    <x v="2107"/>
    <x v="1"/>
    <x v="15"/>
    <n v="2"/>
    <m/>
    <n v="0"/>
    <x v="26"/>
    <n v="0"/>
    <x v="4"/>
    <x v="1"/>
    <x v="1"/>
    <n v="1130.74"/>
  </r>
  <r>
    <n v="3135"/>
    <x v="2108"/>
    <x v="1"/>
    <x v="1"/>
    <n v="1"/>
    <m/>
    <n v="0"/>
    <x v="93"/>
    <n v="0"/>
    <x v="4"/>
    <x v="4"/>
    <x v="1"/>
    <n v="2619.5"/>
  </r>
  <r>
    <n v="3136"/>
    <x v="2109"/>
    <x v="4"/>
    <x v="16"/>
    <n v="2"/>
    <n v="3622.93"/>
    <n v="7245.86"/>
    <x v="1"/>
    <n v="7245.86"/>
    <x v="458"/>
    <x v="0"/>
    <x v="0"/>
    <n v="813.36"/>
  </r>
  <r>
    <n v="3137"/>
    <x v="2110"/>
    <x v="1"/>
    <x v="1"/>
    <n v="2"/>
    <m/>
    <n v="0"/>
    <x v="1"/>
    <n v="0"/>
    <x v="374"/>
    <x v="3"/>
    <x v="0"/>
    <n v="-122.35"/>
  </r>
  <r>
    <n v="3138"/>
    <x v="2111"/>
    <x v="3"/>
    <x v="23"/>
    <n v="0"/>
    <n v="855.81"/>
    <n v="0"/>
    <x v="114"/>
    <n v="0"/>
    <x v="375"/>
    <x v="0"/>
    <x v="0"/>
    <n v="1801"/>
  </r>
  <r>
    <n v="3139"/>
    <x v="2112"/>
    <x v="4"/>
    <x v="8"/>
    <n v="6"/>
    <m/>
    <n v="0"/>
    <x v="1"/>
    <n v="0"/>
    <x v="4"/>
    <x v="4"/>
    <x v="1"/>
    <n v="563.12"/>
  </r>
  <r>
    <n v="3140"/>
    <x v="2113"/>
    <x v="0"/>
    <x v="20"/>
    <n v="2"/>
    <m/>
    <n v="0"/>
    <x v="1"/>
    <n v="0"/>
    <x v="4"/>
    <x v="1"/>
    <x v="1"/>
    <n v="2551.31"/>
  </r>
  <r>
    <n v="3141"/>
    <x v="2114"/>
    <x v="1"/>
    <x v="18"/>
    <n v="2"/>
    <m/>
    <n v="0"/>
    <x v="1"/>
    <n v="0"/>
    <x v="173"/>
    <x v="2"/>
    <x v="0"/>
    <n v="2279.1799999999998"/>
  </r>
  <r>
    <n v="3142"/>
    <x v="2115"/>
    <x v="5"/>
    <x v="19"/>
    <n v="1"/>
    <n v="4887.3599999999997"/>
    <n v="4887.3599999999997"/>
    <x v="1"/>
    <n v="4887.3599999999997"/>
    <x v="525"/>
    <x v="4"/>
    <x v="1"/>
    <n v="-243.32"/>
  </r>
  <r>
    <n v="3143"/>
    <x v="2116"/>
    <x v="4"/>
    <x v="8"/>
    <n v="2"/>
    <m/>
    <n v="0"/>
    <x v="1"/>
    <n v="0"/>
    <x v="4"/>
    <x v="4"/>
    <x v="1"/>
    <n v="-525.49"/>
  </r>
  <r>
    <n v="3144"/>
    <x v="2117"/>
    <x v="5"/>
    <x v="6"/>
    <n v="2"/>
    <n v="2664.43"/>
    <n v="5328.86"/>
    <x v="1"/>
    <n v="5328.86"/>
    <x v="266"/>
    <x v="4"/>
    <x v="0"/>
    <n v="1324.18"/>
  </r>
  <r>
    <n v="3145"/>
    <x v="2118"/>
    <x v="1"/>
    <x v="15"/>
    <n v="2"/>
    <n v="4414.97"/>
    <n v="8829.94"/>
    <x v="1"/>
    <n v="8829.94"/>
    <x v="4"/>
    <x v="4"/>
    <x v="1"/>
    <n v="2754.74"/>
  </r>
  <r>
    <n v="3146"/>
    <x v="2119"/>
    <x v="1"/>
    <x v="15"/>
    <n v="2"/>
    <m/>
    <n v="0"/>
    <x v="1"/>
    <n v="0"/>
    <x v="4"/>
    <x v="4"/>
    <x v="1"/>
    <n v="146.19"/>
  </r>
  <r>
    <n v="3147"/>
    <x v="517"/>
    <x v="5"/>
    <x v="6"/>
    <n v="2"/>
    <m/>
    <n v="0"/>
    <x v="1"/>
    <n v="0"/>
    <x v="1"/>
    <x v="3"/>
    <x v="0"/>
    <n v="2987.89"/>
  </r>
  <r>
    <n v="3148"/>
    <x v="2120"/>
    <x v="5"/>
    <x v="6"/>
    <n v="6"/>
    <m/>
    <n v="0"/>
    <x v="126"/>
    <n v="0"/>
    <x v="115"/>
    <x v="1"/>
    <x v="0"/>
    <n v="605.46"/>
  </r>
  <r>
    <n v="3149"/>
    <x v="2121"/>
    <x v="2"/>
    <x v="2"/>
    <n v="5"/>
    <m/>
    <n v="0"/>
    <x v="1"/>
    <n v="0"/>
    <x v="4"/>
    <x v="3"/>
    <x v="0"/>
    <n v="-681.76"/>
  </r>
  <r>
    <n v="3150"/>
    <x v="2122"/>
    <x v="4"/>
    <x v="16"/>
    <n v="0"/>
    <n v="850.69"/>
    <n v="0"/>
    <x v="12"/>
    <n v="0"/>
    <x v="151"/>
    <x v="3"/>
    <x v="0"/>
    <n v="2291.9299999999998"/>
  </r>
  <r>
    <n v="3151"/>
    <x v="2123"/>
    <x v="0"/>
    <x v="0"/>
    <n v="2"/>
    <m/>
    <n v="0"/>
    <x v="17"/>
    <n v="0"/>
    <x v="46"/>
    <x v="2"/>
    <x v="1"/>
    <n v="-858.13"/>
  </r>
  <r>
    <n v="3152"/>
    <x v="2124"/>
    <x v="4"/>
    <x v="16"/>
    <n v="-2"/>
    <n v="2116.65"/>
    <n v="-4233.3"/>
    <x v="3"/>
    <n v="-3344.3070000000002"/>
    <x v="134"/>
    <x v="2"/>
    <x v="0"/>
    <n v="385.42"/>
  </r>
  <r>
    <n v="3153"/>
    <x v="2125"/>
    <x v="5"/>
    <x v="6"/>
    <n v="2"/>
    <n v="4723.0200000000004"/>
    <n v="9446.0400000000009"/>
    <x v="73"/>
    <n v="4534.0992000000006"/>
    <x v="4"/>
    <x v="1"/>
    <x v="1"/>
    <n v="316.63"/>
  </r>
  <r>
    <n v="1047"/>
    <x v="2126"/>
    <x v="4"/>
    <x v="8"/>
    <n v="1"/>
    <n v="3154.48"/>
    <n v="3154.48"/>
    <x v="1"/>
    <n v="3154.48"/>
    <x v="416"/>
    <x v="1"/>
    <x v="0"/>
    <n v="-243.92"/>
  </r>
  <r>
    <n v="3155"/>
    <x v="2127"/>
    <x v="3"/>
    <x v="23"/>
    <n v="2"/>
    <m/>
    <n v="0"/>
    <x v="2"/>
    <n v="0"/>
    <x v="4"/>
    <x v="2"/>
    <x v="0"/>
    <n v="2621.96"/>
  </r>
  <r>
    <n v="3156"/>
    <x v="2128"/>
    <x v="2"/>
    <x v="2"/>
    <n v="1"/>
    <m/>
    <n v="0"/>
    <x v="73"/>
    <n v="0"/>
    <x v="4"/>
    <x v="1"/>
    <x v="0"/>
    <n v="2568.9"/>
  </r>
  <r>
    <n v="3157"/>
    <x v="2129"/>
    <x v="3"/>
    <x v="23"/>
    <n v="6"/>
    <n v="1768.88"/>
    <n v="10613.28"/>
    <x v="1"/>
    <n v="10613.28"/>
    <x v="536"/>
    <x v="5"/>
    <x v="1"/>
    <n v="-750.14"/>
  </r>
  <r>
    <n v="3158"/>
    <x v="2130"/>
    <x v="2"/>
    <x v="17"/>
    <n v="2"/>
    <m/>
    <n v="0"/>
    <x v="1"/>
    <n v="0"/>
    <x v="216"/>
    <x v="5"/>
    <x v="0"/>
    <n v="-274.08999999999997"/>
  </r>
  <r>
    <n v="3159"/>
    <x v="2131"/>
    <x v="4"/>
    <x v="16"/>
    <n v="2"/>
    <m/>
    <n v="0"/>
    <x v="1"/>
    <n v="0"/>
    <x v="156"/>
    <x v="0"/>
    <x v="1"/>
    <n v="1668.66"/>
  </r>
  <r>
    <n v="3160"/>
    <x v="2132"/>
    <x v="0"/>
    <x v="20"/>
    <n v="6"/>
    <n v="4976.8100000000004"/>
    <n v="29860.86"/>
    <x v="1"/>
    <n v="29860.86"/>
    <x v="481"/>
    <x v="1"/>
    <x v="0"/>
    <n v="845.06"/>
  </r>
  <r>
    <n v="3161"/>
    <x v="2133"/>
    <x v="3"/>
    <x v="3"/>
    <n v="2"/>
    <m/>
    <n v="0"/>
    <x v="1"/>
    <n v="0"/>
    <x v="537"/>
    <x v="2"/>
    <x v="0"/>
    <n v="1399.1"/>
  </r>
  <r>
    <n v="3162"/>
    <x v="2134"/>
    <x v="3"/>
    <x v="7"/>
    <n v="2"/>
    <m/>
    <n v="0"/>
    <x v="1"/>
    <n v="0"/>
    <x v="268"/>
    <x v="3"/>
    <x v="0"/>
    <n v="344.06"/>
  </r>
  <r>
    <n v="3163"/>
    <x v="2135"/>
    <x v="0"/>
    <x v="20"/>
    <n v="2"/>
    <m/>
    <n v="0"/>
    <x v="1"/>
    <n v="0"/>
    <x v="205"/>
    <x v="1"/>
    <x v="0"/>
    <n v="-13.76"/>
  </r>
  <r>
    <n v="3164"/>
    <x v="2136"/>
    <x v="1"/>
    <x v="15"/>
    <n v="3"/>
    <m/>
    <n v="0"/>
    <x v="48"/>
    <n v="0"/>
    <x v="153"/>
    <x v="3"/>
    <x v="0"/>
    <n v="-750.61"/>
  </r>
  <r>
    <n v="3165"/>
    <x v="2137"/>
    <x v="5"/>
    <x v="19"/>
    <n v="2"/>
    <n v="2994.31"/>
    <n v="5988.62"/>
    <x v="1"/>
    <n v="5988.62"/>
    <x v="4"/>
    <x v="3"/>
    <x v="0"/>
    <n v="-990.57"/>
  </r>
  <r>
    <n v="3166"/>
    <x v="2138"/>
    <x v="5"/>
    <x v="19"/>
    <n v="-2"/>
    <m/>
    <n v="0"/>
    <x v="1"/>
    <n v="0"/>
    <x v="474"/>
    <x v="5"/>
    <x v="1"/>
    <n v="1384.25"/>
  </r>
  <r>
    <n v="3167"/>
    <x v="2139"/>
    <x v="0"/>
    <x v="20"/>
    <n v="2"/>
    <m/>
    <n v="0"/>
    <x v="1"/>
    <n v="0"/>
    <x v="168"/>
    <x v="2"/>
    <x v="1"/>
    <n v="1078.74"/>
  </r>
  <r>
    <n v="3168"/>
    <x v="2140"/>
    <x v="0"/>
    <x v="20"/>
    <n v="-1"/>
    <n v="1845.75"/>
    <n v="-1845.75"/>
    <x v="1"/>
    <n v="-1845.75"/>
    <x v="198"/>
    <x v="3"/>
    <x v="1"/>
    <n v="268.45"/>
  </r>
  <r>
    <n v="3169"/>
    <x v="2141"/>
    <x v="1"/>
    <x v="1"/>
    <n v="-2"/>
    <m/>
    <n v="0"/>
    <x v="1"/>
    <n v="0"/>
    <x v="303"/>
    <x v="4"/>
    <x v="0"/>
    <n v="796.19"/>
  </r>
  <r>
    <n v="3170"/>
    <x v="2142"/>
    <x v="1"/>
    <x v="18"/>
    <n v="2"/>
    <n v="2229.77"/>
    <n v="4459.54"/>
    <x v="1"/>
    <n v="4459.54"/>
    <x v="4"/>
    <x v="1"/>
    <x v="0"/>
    <n v="2733.99"/>
  </r>
  <r>
    <n v="3171"/>
    <x v="2143"/>
    <x v="4"/>
    <x v="14"/>
    <n v="2"/>
    <n v="3618.17"/>
    <n v="7236.34"/>
    <x v="1"/>
    <n v="7236.34"/>
    <x v="205"/>
    <x v="1"/>
    <x v="1"/>
    <n v="726.81"/>
  </r>
  <r>
    <n v="3172"/>
    <x v="2144"/>
    <x v="2"/>
    <x v="10"/>
    <n v="3"/>
    <n v="4433.3500000000004"/>
    <n v="13300.050000000001"/>
    <x v="1"/>
    <n v="13300.050000000001"/>
    <x v="133"/>
    <x v="5"/>
    <x v="0"/>
    <n v="329.75"/>
  </r>
  <r>
    <n v="1050"/>
    <x v="2145"/>
    <x v="2"/>
    <x v="10"/>
    <n v="4"/>
    <n v="1205.98"/>
    <n v="4823.92"/>
    <x v="1"/>
    <n v="4823.92"/>
    <x v="4"/>
    <x v="0"/>
    <x v="0"/>
    <n v="-794.73"/>
  </r>
  <r>
    <n v="3174"/>
    <x v="2146"/>
    <x v="1"/>
    <x v="1"/>
    <n v="4"/>
    <n v="4345.79"/>
    <n v="17383.16"/>
    <x v="119"/>
    <n v="-2433.6423999999984"/>
    <x v="202"/>
    <x v="5"/>
    <x v="0"/>
    <n v="2747.47"/>
  </r>
  <r>
    <n v="3175"/>
    <x v="2147"/>
    <x v="0"/>
    <x v="9"/>
    <n v="3"/>
    <n v="2937.09"/>
    <n v="8811.27"/>
    <x v="1"/>
    <n v="8811.27"/>
    <x v="115"/>
    <x v="5"/>
    <x v="0"/>
    <n v="2471.63"/>
  </r>
  <r>
    <n v="3176"/>
    <x v="2148"/>
    <x v="5"/>
    <x v="12"/>
    <n v="2"/>
    <n v="4473.84"/>
    <n v="8947.68"/>
    <x v="118"/>
    <n v="6263.3760000000002"/>
    <x v="234"/>
    <x v="5"/>
    <x v="1"/>
    <n v="2874.33"/>
  </r>
  <r>
    <n v="3177"/>
    <x v="2149"/>
    <x v="0"/>
    <x v="0"/>
    <n v="-1"/>
    <m/>
    <n v="0"/>
    <x v="1"/>
    <n v="0"/>
    <x v="338"/>
    <x v="1"/>
    <x v="0"/>
    <n v="2693.49"/>
  </r>
  <r>
    <n v="3178"/>
    <x v="2150"/>
    <x v="1"/>
    <x v="18"/>
    <n v="2"/>
    <m/>
    <n v="0"/>
    <x v="129"/>
    <n v="0"/>
    <x v="4"/>
    <x v="4"/>
    <x v="0"/>
    <n v="-174.17"/>
  </r>
  <r>
    <n v="3179"/>
    <x v="976"/>
    <x v="1"/>
    <x v="1"/>
    <n v="1"/>
    <n v="2057.88"/>
    <n v="2057.88"/>
    <x v="1"/>
    <n v="2057.88"/>
    <x v="85"/>
    <x v="1"/>
    <x v="0"/>
    <n v="932.33"/>
  </r>
  <r>
    <n v="3180"/>
    <x v="2151"/>
    <x v="2"/>
    <x v="17"/>
    <n v="5"/>
    <n v="1981.32"/>
    <n v="9906.6"/>
    <x v="1"/>
    <n v="9906.6"/>
    <x v="247"/>
    <x v="3"/>
    <x v="0"/>
    <n v="1113.19"/>
  </r>
  <r>
    <n v="3181"/>
    <x v="2152"/>
    <x v="2"/>
    <x v="2"/>
    <n v="2"/>
    <m/>
    <n v="0"/>
    <x v="1"/>
    <n v="0"/>
    <x v="476"/>
    <x v="1"/>
    <x v="0"/>
    <n v="1727.03"/>
  </r>
  <r>
    <n v="3182"/>
    <x v="1025"/>
    <x v="5"/>
    <x v="12"/>
    <n v="2"/>
    <n v="3078.92"/>
    <n v="6157.84"/>
    <x v="1"/>
    <n v="6157.84"/>
    <x v="4"/>
    <x v="4"/>
    <x v="1"/>
    <n v="1935.04"/>
  </r>
  <r>
    <n v="3183"/>
    <x v="2153"/>
    <x v="3"/>
    <x v="21"/>
    <n v="2"/>
    <m/>
    <n v="0"/>
    <x v="1"/>
    <n v="0"/>
    <x v="538"/>
    <x v="3"/>
    <x v="0"/>
    <n v="2332.84"/>
  </r>
  <r>
    <n v="3184"/>
    <x v="2154"/>
    <x v="2"/>
    <x v="13"/>
    <n v="3"/>
    <m/>
    <n v="0"/>
    <x v="111"/>
    <n v="0"/>
    <x v="61"/>
    <x v="5"/>
    <x v="0"/>
    <n v="386.15"/>
  </r>
  <r>
    <n v="3185"/>
    <x v="2155"/>
    <x v="0"/>
    <x v="20"/>
    <n v="2"/>
    <m/>
    <n v="0"/>
    <x v="1"/>
    <n v="0"/>
    <x v="45"/>
    <x v="1"/>
    <x v="0"/>
    <n v="-726.08"/>
  </r>
  <r>
    <n v="3186"/>
    <x v="2156"/>
    <x v="0"/>
    <x v="20"/>
    <n v="5"/>
    <m/>
    <n v="0"/>
    <x v="1"/>
    <n v="0"/>
    <x v="4"/>
    <x v="4"/>
    <x v="1"/>
    <n v="-637.71"/>
  </r>
  <r>
    <n v="3187"/>
    <x v="2157"/>
    <x v="5"/>
    <x v="11"/>
    <n v="6"/>
    <n v="3998.97"/>
    <n v="23993.82"/>
    <x v="1"/>
    <n v="23993.82"/>
    <x v="443"/>
    <x v="2"/>
    <x v="0"/>
    <n v="716.49"/>
  </r>
  <r>
    <n v="3188"/>
    <x v="2158"/>
    <x v="3"/>
    <x v="3"/>
    <n v="2"/>
    <n v="936.76"/>
    <n v="1873.52"/>
    <x v="1"/>
    <n v="1873.52"/>
    <x v="4"/>
    <x v="4"/>
    <x v="1"/>
    <n v="1308.49"/>
  </r>
  <r>
    <n v="3189"/>
    <x v="2159"/>
    <x v="2"/>
    <x v="17"/>
    <n v="2"/>
    <n v="1299.74"/>
    <n v="2599.48"/>
    <x v="48"/>
    <n v="2365.5268000000001"/>
    <x v="488"/>
    <x v="3"/>
    <x v="0"/>
    <n v="1607.44"/>
  </r>
  <r>
    <n v="3190"/>
    <x v="2160"/>
    <x v="2"/>
    <x v="10"/>
    <n v="2"/>
    <m/>
    <n v="0"/>
    <x v="87"/>
    <n v="0"/>
    <x v="4"/>
    <x v="4"/>
    <x v="1"/>
    <n v="620.19000000000005"/>
  </r>
  <r>
    <n v="3191"/>
    <x v="2161"/>
    <x v="1"/>
    <x v="18"/>
    <n v="2"/>
    <m/>
    <n v="0"/>
    <x v="1"/>
    <n v="0"/>
    <x v="339"/>
    <x v="0"/>
    <x v="0"/>
    <n v="173.16"/>
  </r>
  <r>
    <n v="3192"/>
    <x v="2162"/>
    <x v="0"/>
    <x v="9"/>
    <n v="-2"/>
    <n v="3568.45"/>
    <n v="-7136.9"/>
    <x v="62"/>
    <n v="-4496.2469999999994"/>
    <x v="145"/>
    <x v="0"/>
    <x v="0"/>
    <n v="1683.74"/>
  </r>
  <r>
    <n v="3193"/>
    <x v="2163"/>
    <x v="0"/>
    <x v="5"/>
    <n v="3"/>
    <m/>
    <n v="0"/>
    <x v="1"/>
    <n v="0"/>
    <x v="146"/>
    <x v="1"/>
    <x v="0"/>
    <n v="1236.54"/>
  </r>
  <r>
    <n v="1022"/>
    <x v="2164"/>
    <x v="2"/>
    <x v="10"/>
    <n v="2"/>
    <n v="3611.35"/>
    <n v="7222.7"/>
    <x v="1"/>
    <n v="7222.7"/>
    <x v="390"/>
    <x v="1"/>
    <x v="0"/>
    <n v="-200.64"/>
  </r>
  <r>
    <n v="3195"/>
    <x v="2165"/>
    <x v="1"/>
    <x v="18"/>
    <n v="2"/>
    <n v="958.16"/>
    <n v="1916.32"/>
    <x v="1"/>
    <n v="1916.32"/>
    <x v="501"/>
    <x v="0"/>
    <x v="0"/>
    <n v="2567.6999999999998"/>
  </r>
  <r>
    <n v="3196"/>
    <x v="2166"/>
    <x v="5"/>
    <x v="12"/>
    <n v="2"/>
    <n v="4897.24"/>
    <n v="9794.48"/>
    <x v="1"/>
    <n v="9794.48"/>
    <x v="43"/>
    <x v="5"/>
    <x v="1"/>
    <n v="2989.6"/>
  </r>
  <r>
    <n v="3197"/>
    <x v="2167"/>
    <x v="3"/>
    <x v="23"/>
    <n v="5"/>
    <m/>
    <n v="0"/>
    <x v="74"/>
    <n v="0"/>
    <x v="167"/>
    <x v="4"/>
    <x v="0"/>
    <n v="2348.85"/>
  </r>
  <r>
    <n v="3198"/>
    <x v="2168"/>
    <x v="1"/>
    <x v="1"/>
    <n v="2"/>
    <m/>
    <n v="0"/>
    <x v="1"/>
    <n v="0"/>
    <x v="72"/>
    <x v="5"/>
    <x v="0"/>
    <n v="816.72"/>
  </r>
  <r>
    <n v="1003"/>
    <x v="2169"/>
    <x v="0"/>
    <x v="0"/>
    <n v="2"/>
    <m/>
    <n v="0"/>
    <x v="1"/>
    <n v="0"/>
    <x v="539"/>
    <x v="2"/>
    <x v="0"/>
    <n v="-756.14"/>
  </r>
  <r>
    <n v="3200"/>
    <x v="2170"/>
    <x v="3"/>
    <x v="23"/>
    <n v="2"/>
    <m/>
    <n v="0"/>
    <x v="1"/>
    <n v="0"/>
    <x v="403"/>
    <x v="2"/>
    <x v="1"/>
    <n v="2779.48"/>
  </r>
  <r>
    <n v="3201"/>
    <x v="2171"/>
    <x v="2"/>
    <x v="10"/>
    <n v="2"/>
    <n v="3494.89"/>
    <n v="6989.78"/>
    <x v="1"/>
    <n v="6989.78"/>
    <x v="203"/>
    <x v="4"/>
    <x v="0"/>
    <n v="1036.32"/>
  </r>
  <r>
    <n v="1006"/>
    <x v="2172"/>
    <x v="2"/>
    <x v="2"/>
    <n v="2"/>
    <n v="2520.44"/>
    <n v="5040.88"/>
    <x v="6"/>
    <n v="4284.7479999999996"/>
    <x v="32"/>
    <x v="3"/>
    <x v="0"/>
    <n v="2408.2800000000002"/>
  </r>
  <r>
    <n v="3203"/>
    <x v="2173"/>
    <x v="1"/>
    <x v="18"/>
    <n v="-1"/>
    <n v="4883.5200000000004"/>
    <n v="-4883.5200000000004"/>
    <x v="1"/>
    <n v="-4883.5200000000004"/>
    <x v="4"/>
    <x v="5"/>
    <x v="0"/>
    <n v="1510.55"/>
  </r>
  <r>
    <n v="3204"/>
    <x v="2174"/>
    <x v="3"/>
    <x v="7"/>
    <n v="0"/>
    <n v="781.13"/>
    <n v="0"/>
    <x v="1"/>
    <n v="0"/>
    <x v="416"/>
    <x v="2"/>
    <x v="0"/>
    <n v="2822.85"/>
  </r>
  <r>
    <n v="3205"/>
    <x v="2175"/>
    <x v="2"/>
    <x v="10"/>
    <n v="2"/>
    <m/>
    <n v="0"/>
    <x v="1"/>
    <n v="0"/>
    <x v="528"/>
    <x v="4"/>
    <x v="0"/>
    <n v="1723.22"/>
  </r>
  <r>
    <n v="3206"/>
    <x v="2176"/>
    <x v="5"/>
    <x v="19"/>
    <n v="-1"/>
    <m/>
    <n v="0"/>
    <x v="96"/>
    <n v="0"/>
    <x v="376"/>
    <x v="0"/>
    <x v="0"/>
    <n v="550.46"/>
  </r>
  <r>
    <n v="3207"/>
    <x v="2177"/>
    <x v="0"/>
    <x v="9"/>
    <n v="2"/>
    <m/>
    <n v="0"/>
    <x v="1"/>
    <n v="0"/>
    <x v="4"/>
    <x v="1"/>
    <x v="0"/>
    <n v="-547.29"/>
  </r>
  <r>
    <n v="3208"/>
    <x v="2178"/>
    <x v="3"/>
    <x v="21"/>
    <n v="4"/>
    <n v="4280.7"/>
    <n v="17122.8"/>
    <x v="1"/>
    <n v="17122.8"/>
    <x v="420"/>
    <x v="5"/>
    <x v="1"/>
    <n v="68.36"/>
  </r>
  <r>
    <n v="3209"/>
    <x v="2179"/>
    <x v="2"/>
    <x v="17"/>
    <n v="2"/>
    <n v="3221.55"/>
    <n v="6443.1"/>
    <x v="1"/>
    <n v="6443.1"/>
    <x v="473"/>
    <x v="1"/>
    <x v="1"/>
    <n v="1996.4"/>
  </r>
  <r>
    <n v="3210"/>
    <x v="2180"/>
    <x v="0"/>
    <x v="20"/>
    <n v="0"/>
    <m/>
    <n v="0"/>
    <x v="1"/>
    <n v="0"/>
    <x v="172"/>
    <x v="2"/>
    <x v="1"/>
    <n v="1580.66"/>
  </r>
  <r>
    <n v="3211"/>
    <x v="2181"/>
    <x v="4"/>
    <x v="4"/>
    <n v="2"/>
    <n v="1624.28"/>
    <n v="3248.56"/>
    <x v="14"/>
    <n v="-942.08240000000012"/>
    <x v="338"/>
    <x v="3"/>
    <x v="1"/>
    <n v="1863.17"/>
  </r>
  <r>
    <n v="3212"/>
    <x v="1882"/>
    <x v="1"/>
    <x v="1"/>
    <n v="2"/>
    <n v="4606.8500000000004"/>
    <n v="9213.7000000000007"/>
    <x v="103"/>
    <n v="6633.8640000000005"/>
    <x v="274"/>
    <x v="1"/>
    <x v="0"/>
    <n v="188.97"/>
  </r>
  <r>
    <n v="3213"/>
    <x v="2182"/>
    <x v="1"/>
    <x v="15"/>
    <n v="6"/>
    <n v="1213.25"/>
    <n v="7279.5"/>
    <x v="44"/>
    <n v="-800.74500000000069"/>
    <x v="159"/>
    <x v="1"/>
    <x v="0"/>
    <n v="-82.79"/>
  </r>
  <r>
    <n v="3214"/>
    <x v="1067"/>
    <x v="0"/>
    <x v="20"/>
    <n v="2"/>
    <m/>
    <n v="0"/>
    <x v="1"/>
    <n v="0"/>
    <x v="266"/>
    <x v="2"/>
    <x v="0"/>
    <n v="1084.99"/>
  </r>
  <r>
    <n v="3215"/>
    <x v="2183"/>
    <x v="0"/>
    <x v="20"/>
    <n v="1"/>
    <n v="552.80999999999995"/>
    <n v="552.80999999999995"/>
    <x v="13"/>
    <n v="237.70830000000001"/>
    <x v="4"/>
    <x v="0"/>
    <x v="0"/>
    <n v="206.75"/>
  </r>
  <r>
    <n v="3216"/>
    <x v="2184"/>
    <x v="2"/>
    <x v="10"/>
    <n v="0"/>
    <m/>
    <n v="0"/>
    <x v="35"/>
    <n v="0"/>
    <x v="226"/>
    <x v="5"/>
    <x v="0"/>
    <n v="1989.05"/>
  </r>
  <r>
    <n v="3217"/>
    <x v="2185"/>
    <x v="5"/>
    <x v="12"/>
    <n v="2"/>
    <n v="1039.75"/>
    <n v="2079.5"/>
    <x v="1"/>
    <n v="2079.5"/>
    <x v="145"/>
    <x v="5"/>
    <x v="0"/>
    <n v="902.04"/>
  </r>
  <r>
    <n v="3218"/>
    <x v="2186"/>
    <x v="4"/>
    <x v="4"/>
    <n v="0"/>
    <m/>
    <n v="0"/>
    <x v="117"/>
    <n v="0"/>
    <x v="320"/>
    <x v="5"/>
    <x v="1"/>
    <n v="946.6"/>
  </r>
  <r>
    <n v="3219"/>
    <x v="2187"/>
    <x v="2"/>
    <x v="17"/>
    <n v="5"/>
    <m/>
    <n v="0"/>
    <x v="1"/>
    <n v="0"/>
    <x v="540"/>
    <x v="3"/>
    <x v="0"/>
    <n v="908.45"/>
  </r>
  <r>
    <n v="1006"/>
    <x v="1539"/>
    <x v="0"/>
    <x v="20"/>
    <n v="2"/>
    <n v="732.96"/>
    <n v="1465.92"/>
    <x v="3"/>
    <n v="1158.0768"/>
    <x v="4"/>
    <x v="4"/>
    <x v="1"/>
    <n v="-702.58"/>
  </r>
  <r>
    <n v="3221"/>
    <x v="2188"/>
    <x v="3"/>
    <x v="3"/>
    <n v="-2"/>
    <m/>
    <n v="0"/>
    <x v="1"/>
    <n v="0"/>
    <x v="97"/>
    <x v="5"/>
    <x v="0"/>
    <n v="2141.34"/>
  </r>
  <r>
    <n v="3222"/>
    <x v="2189"/>
    <x v="5"/>
    <x v="19"/>
    <n v="-2"/>
    <m/>
    <n v="0"/>
    <x v="1"/>
    <n v="0"/>
    <x v="241"/>
    <x v="5"/>
    <x v="1"/>
    <n v="-545.96"/>
  </r>
  <r>
    <n v="3223"/>
    <x v="2190"/>
    <x v="4"/>
    <x v="16"/>
    <n v="2"/>
    <m/>
    <n v="0"/>
    <x v="1"/>
    <n v="0"/>
    <x v="137"/>
    <x v="2"/>
    <x v="0"/>
    <n v="1477.87"/>
  </r>
  <r>
    <n v="3224"/>
    <x v="2191"/>
    <x v="0"/>
    <x v="0"/>
    <n v="6"/>
    <n v="878.95"/>
    <n v="5273.7000000000007"/>
    <x v="86"/>
    <n v="5220.9630000000006"/>
    <x v="187"/>
    <x v="2"/>
    <x v="0"/>
    <n v="2099.52"/>
  </r>
  <r>
    <n v="3225"/>
    <x v="2192"/>
    <x v="5"/>
    <x v="6"/>
    <n v="6"/>
    <m/>
    <n v="0"/>
    <x v="1"/>
    <n v="0"/>
    <x v="4"/>
    <x v="5"/>
    <x v="0"/>
    <n v="2666.58"/>
  </r>
  <r>
    <n v="3226"/>
    <x v="2193"/>
    <x v="5"/>
    <x v="12"/>
    <n v="2"/>
    <m/>
    <n v="0"/>
    <x v="1"/>
    <n v="0"/>
    <x v="541"/>
    <x v="3"/>
    <x v="0"/>
    <n v="2715.65"/>
  </r>
  <r>
    <n v="3227"/>
    <x v="2194"/>
    <x v="3"/>
    <x v="3"/>
    <n v="2"/>
    <m/>
    <n v="0"/>
    <x v="1"/>
    <n v="0"/>
    <x v="362"/>
    <x v="2"/>
    <x v="0"/>
    <n v="2498.2199999999998"/>
  </r>
  <r>
    <n v="3228"/>
    <x v="2195"/>
    <x v="4"/>
    <x v="16"/>
    <n v="2"/>
    <n v="2125.02"/>
    <n v="4250.04"/>
    <x v="1"/>
    <n v="4250.04"/>
    <x v="134"/>
    <x v="4"/>
    <x v="0"/>
    <n v="1154.25"/>
  </r>
  <r>
    <n v="3229"/>
    <x v="2196"/>
    <x v="3"/>
    <x v="23"/>
    <n v="-1"/>
    <m/>
    <n v="0"/>
    <x v="1"/>
    <n v="0"/>
    <x v="4"/>
    <x v="0"/>
    <x v="0"/>
    <n v="1178.45"/>
  </r>
  <r>
    <n v="3230"/>
    <x v="2197"/>
    <x v="1"/>
    <x v="1"/>
    <n v="3"/>
    <n v="4694.3100000000004"/>
    <n v="14082.93"/>
    <x v="48"/>
    <n v="12815.4663"/>
    <x v="4"/>
    <x v="3"/>
    <x v="1"/>
    <n v="-215.18"/>
  </r>
  <r>
    <n v="3231"/>
    <x v="2198"/>
    <x v="2"/>
    <x v="2"/>
    <n v="2"/>
    <m/>
    <n v="0"/>
    <x v="1"/>
    <n v="0"/>
    <x v="542"/>
    <x v="5"/>
    <x v="1"/>
    <n v="2837.72"/>
  </r>
  <r>
    <n v="3232"/>
    <x v="2199"/>
    <x v="1"/>
    <x v="1"/>
    <n v="-2"/>
    <m/>
    <n v="0"/>
    <x v="118"/>
    <n v="0"/>
    <x v="185"/>
    <x v="3"/>
    <x v="0"/>
    <n v="1045.42"/>
  </r>
  <r>
    <n v="3233"/>
    <x v="2200"/>
    <x v="4"/>
    <x v="4"/>
    <n v="2"/>
    <n v="2654.66"/>
    <n v="5309.32"/>
    <x v="1"/>
    <n v="5309.32"/>
    <x v="262"/>
    <x v="3"/>
    <x v="1"/>
    <n v="2008.66"/>
  </r>
  <r>
    <n v="3234"/>
    <x v="2201"/>
    <x v="0"/>
    <x v="20"/>
    <n v="2"/>
    <n v="2068.3000000000002"/>
    <n v="4136.6000000000004"/>
    <x v="1"/>
    <n v="4136.6000000000004"/>
    <x v="372"/>
    <x v="4"/>
    <x v="0"/>
    <n v="-896.79"/>
  </r>
  <r>
    <n v="3235"/>
    <x v="2202"/>
    <x v="2"/>
    <x v="2"/>
    <n v="2"/>
    <n v="3466.1"/>
    <n v="6932.2"/>
    <x v="1"/>
    <n v="6932.2"/>
    <x v="8"/>
    <x v="3"/>
    <x v="0"/>
    <n v="1011.48"/>
  </r>
  <r>
    <n v="3236"/>
    <x v="2203"/>
    <x v="1"/>
    <x v="22"/>
    <n v="2"/>
    <n v="3253.51"/>
    <n v="6507.02"/>
    <x v="97"/>
    <n v="2928.1590000000001"/>
    <x v="332"/>
    <x v="5"/>
    <x v="0"/>
    <n v="713.71"/>
  </r>
  <r>
    <n v="3237"/>
    <x v="2204"/>
    <x v="1"/>
    <x v="1"/>
    <n v="3"/>
    <m/>
    <n v="0"/>
    <x v="1"/>
    <n v="0"/>
    <x v="336"/>
    <x v="1"/>
    <x v="0"/>
    <n v="1866.05"/>
  </r>
  <r>
    <n v="3238"/>
    <x v="2205"/>
    <x v="4"/>
    <x v="14"/>
    <n v="2"/>
    <m/>
    <n v="0"/>
    <x v="57"/>
    <n v="0"/>
    <x v="273"/>
    <x v="0"/>
    <x v="0"/>
    <n v="744.17"/>
  </r>
  <r>
    <n v="3239"/>
    <x v="2206"/>
    <x v="0"/>
    <x v="9"/>
    <n v="1"/>
    <n v="4585.71"/>
    <n v="4585.71"/>
    <x v="1"/>
    <n v="4585.71"/>
    <x v="270"/>
    <x v="1"/>
    <x v="1"/>
    <n v="1277.56"/>
  </r>
  <r>
    <n v="3240"/>
    <x v="2207"/>
    <x v="5"/>
    <x v="6"/>
    <n v="2"/>
    <m/>
    <n v="0"/>
    <x v="1"/>
    <n v="0"/>
    <x v="100"/>
    <x v="3"/>
    <x v="1"/>
    <n v="940.05"/>
  </r>
  <r>
    <n v="1026"/>
    <x v="2208"/>
    <x v="4"/>
    <x v="4"/>
    <n v="0"/>
    <n v="3186.11"/>
    <n v="0"/>
    <x v="123"/>
    <n v="0"/>
    <x v="543"/>
    <x v="1"/>
    <x v="0"/>
    <n v="2939.87"/>
  </r>
  <r>
    <n v="3242"/>
    <x v="2209"/>
    <x v="2"/>
    <x v="2"/>
    <n v="2"/>
    <m/>
    <n v="0"/>
    <x v="117"/>
    <n v="0"/>
    <x v="391"/>
    <x v="2"/>
    <x v="1"/>
    <n v="2996.49"/>
  </r>
  <r>
    <n v="3243"/>
    <x v="2210"/>
    <x v="5"/>
    <x v="19"/>
    <n v="4"/>
    <m/>
    <n v="0"/>
    <x v="57"/>
    <n v="0"/>
    <x v="4"/>
    <x v="0"/>
    <x v="1"/>
    <n v="1345.46"/>
  </r>
  <r>
    <n v="3244"/>
    <x v="2211"/>
    <x v="3"/>
    <x v="21"/>
    <n v="-2"/>
    <m/>
    <n v="0"/>
    <x v="41"/>
    <n v="0"/>
    <x v="311"/>
    <x v="1"/>
    <x v="1"/>
    <n v="2205.34"/>
  </r>
  <r>
    <n v="3245"/>
    <x v="2212"/>
    <x v="2"/>
    <x v="10"/>
    <n v="2"/>
    <m/>
    <n v="0"/>
    <x v="1"/>
    <n v="0"/>
    <x v="289"/>
    <x v="4"/>
    <x v="1"/>
    <n v="1403.98"/>
  </r>
  <r>
    <n v="3246"/>
    <x v="2213"/>
    <x v="0"/>
    <x v="5"/>
    <n v="2"/>
    <n v="4842.74"/>
    <n v="9685.48"/>
    <x v="1"/>
    <n v="9685.48"/>
    <x v="4"/>
    <x v="5"/>
    <x v="0"/>
    <n v="2628.24"/>
  </r>
  <r>
    <n v="3247"/>
    <x v="2214"/>
    <x v="5"/>
    <x v="6"/>
    <n v="2"/>
    <m/>
    <n v="0"/>
    <x v="1"/>
    <n v="0"/>
    <x v="396"/>
    <x v="0"/>
    <x v="1"/>
    <n v="2182.4899999999998"/>
  </r>
  <r>
    <n v="3248"/>
    <x v="2215"/>
    <x v="5"/>
    <x v="6"/>
    <n v="2"/>
    <n v="2061.91"/>
    <n v="4123.82"/>
    <x v="1"/>
    <n v="4123.82"/>
    <x v="441"/>
    <x v="1"/>
    <x v="0"/>
    <n v="-729.1"/>
  </r>
  <r>
    <n v="3249"/>
    <x v="2216"/>
    <x v="4"/>
    <x v="4"/>
    <n v="2"/>
    <m/>
    <n v="0"/>
    <x v="1"/>
    <n v="0"/>
    <x v="4"/>
    <x v="0"/>
    <x v="0"/>
    <n v="1787.82"/>
  </r>
  <r>
    <n v="3250"/>
    <x v="2217"/>
    <x v="4"/>
    <x v="4"/>
    <n v="2"/>
    <m/>
    <n v="0"/>
    <x v="1"/>
    <n v="0"/>
    <x v="4"/>
    <x v="3"/>
    <x v="0"/>
    <n v="2200.6"/>
  </r>
  <r>
    <n v="3251"/>
    <x v="2218"/>
    <x v="5"/>
    <x v="11"/>
    <n v="2"/>
    <m/>
    <n v="0"/>
    <x v="1"/>
    <n v="0"/>
    <x v="48"/>
    <x v="0"/>
    <x v="0"/>
    <n v="2977.81"/>
  </r>
  <r>
    <n v="3252"/>
    <x v="2219"/>
    <x v="2"/>
    <x v="13"/>
    <n v="2"/>
    <m/>
    <n v="0"/>
    <x v="1"/>
    <n v="0"/>
    <x v="39"/>
    <x v="1"/>
    <x v="1"/>
    <n v="-544.70000000000005"/>
  </r>
  <r>
    <n v="3253"/>
    <x v="2220"/>
    <x v="1"/>
    <x v="15"/>
    <n v="5"/>
    <n v="4429.95"/>
    <n v="22149.75"/>
    <x v="90"/>
    <n v="14397.3375"/>
    <x v="356"/>
    <x v="4"/>
    <x v="0"/>
    <n v="-746.94"/>
  </r>
  <r>
    <n v="3254"/>
    <x v="2221"/>
    <x v="1"/>
    <x v="15"/>
    <n v="-2"/>
    <m/>
    <n v="0"/>
    <x v="79"/>
    <n v="0"/>
    <x v="437"/>
    <x v="5"/>
    <x v="0"/>
    <n v="2285.19"/>
  </r>
  <r>
    <n v="3255"/>
    <x v="2222"/>
    <x v="3"/>
    <x v="21"/>
    <n v="6"/>
    <n v="3904.86"/>
    <n v="23429.16"/>
    <x v="1"/>
    <n v="23429.16"/>
    <x v="130"/>
    <x v="2"/>
    <x v="0"/>
    <n v="1504.25"/>
  </r>
  <r>
    <n v="3256"/>
    <x v="2223"/>
    <x v="4"/>
    <x v="4"/>
    <n v="2"/>
    <m/>
    <n v="0"/>
    <x v="1"/>
    <n v="0"/>
    <x v="243"/>
    <x v="2"/>
    <x v="1"/>
    <n v="298.94"/>
  </r>
  <r>
    <n v="3257"/>
    <x v="373"/>
    <x v="4"/>
    <x v="16"/>
    <n v="-2"/>
    <m/>
    <n v="0"/>
    <x v="1"/>
    <n v="0"/>
    <x v="267"/>
    <x v="4"/>
    <x v="1"/>
    <n v="-271.48"/>
  </r>
  <r>
    <n v="3258"/>
    <x v="2224"/>
    <x v="2"/>
    <x v="2"/>
    <n v="2"/>
    <m/>
    <n v="0"/>
    <x v="1"/>
    <n v="0"/>
    <x v="357"/>
    <x v="1"/>
    <x v="1"/>
    <n v="682.17"/>
  </r>
  <r>
    <n v="3259"/>
    <x v="2225"/>
    <x v="2"/>
    <x v="17"/>
    <n v="2"/>
    <m/>
    <n v="0"/>
    <x v="1"/>
    <n v="0"/>
    <x v="533"/>
    <x v="2"/>
    <x v="1"/>
    <n v="2448.2199999999998"/>
  </r>
  <r>
    <n v="1024"/>
    <x v="2226"/>
    <x v="3"/>
    <x v="21"/>
    <n v="-2"/>
    <n v="940.64"/>
    <n v="-1881.28"/>
    <x v="93"/>
    <n v="-620.8223999999999"/>
    <x v="123"/>
    <x v="2"/>
    <x v="0"/>
    <n v="1552.9"/>
  </r>
  <r>
    <n v="3261"/>
    <x v="2227"/>
    <x v="1"/>
    <x v="18"/>
    <n v="-1"/>
    <m/>
    <n v="0"/>
    <x v="1"/>
    <n v="0"/>
    <x v="206"/>
    <x v="5"/>
    <x v="0"/>
    <n v="-602.39"/>
  </r>
  <r>
    <n v="3262"/>
    <x v="2228"/>
    <x v="3"/>
    <x v="23"/>
    <n v="2"/>
    <n v="3727.53"/>
    <n v="7455.06"/>
    <x v="1"/>
    <n v="7455.06"/>
    <x v="4"/>
    <x v="1"/>
    <x v="0"/>
    <n v="29.62"/>
  </r>
  <r>
    <n v="3263"/>
    <x v="2229"/>
    <x v="2"/>
    <x v="10"/>
    <n v="6"/>
    <n v="3121.49"/>
    <n v="18728.939999999999"/>
    <x v="1"/>
    <n v="18728.939999999999"/>
    <x v="208"/>
    <x v="3"/>
    <x v="1"/>
    <n v="1156.27"/>
  </r>
  <r>
    <n v="3264"/>
    <x v="2230"/>
    <x v="5"/>
    <x v="12"/>
    <n v="2"/>
    <n v="944.36"/>
    <n v="1888.72"/>
    <x v="35"/>
    <n v="1756.5095999999999"/>
    <x v="280"/>
    <x v="4"/>
    <x v="0"/>
    <n v="1133.74"/>
  </r>
  <r>
    <n v="3265"/>
    <x v="2231"/>
    <x v="1"/>
    <x v="22"/>
    <n v="-1"/>
    <n v="1882.93"/>
    <n v="-1882.93"/>
    <x v="1"/>
    <n v="-1882.93"/>
    <x v="84"/>
    <x v="3"/>
    <x v="1"/>
    <n v="520.85"/>
  </r>
  <r>
    <n v="3266"/>
    <x v="2232"/>
    <x v="4"/>
    <x v="14"/>
    <n v="2"/>
    <n v="3349.58"/>
    <n v="6699.16"/>
    <x v="1"/>
    <n v="6699.16"/>
    <x v="4"/>
    <x v="2"/>
    <x v="1"/>
    <n v="1085.2"/>
  </r>
  <r>
    <n v="3267"/>
    <x v="2233"/>
    <x v="5"/>
    <x v="11"/>
    <n v="1"/>
    <n v="3965.8"/>
    <n v="3965.8"/>
    <x v="54"/>
    <n v="2062.2160000000003"/>
    <x v="13"/>
    <x v="3"/>
    <x v="1"/>
    <n v="1222.8499999999999"/>
  </r>
  <r>
    <n v="1045"/>
    <x v="2234"/>
    <x v="3"/>
    <x v="7"/>
    <n v="-2"/>
    <m/>
    <n v="0"/>
    <x v="1"/>
    <n v="0"/>
    <x v="544"/>
    <x v="5"/>
    <x v="0"/>
    <n v="454.74"/>
  </r>
  <r>
    <n v="3269"/>
    <x v="2235"/>
    <x v="4"/>
    <x v="4"/>
    <n v="2"/>
    <n v="2998.25"/>
    <n v="5996.5"/>
    <x v="7"/>
    <n v="-1139.3349999999996"/>
    <x v="303"/>
    <x v="1"/>
    <x v="0"/>
    <n v="-781.65"/>
  </r>
  <r>
    <n v="3270"/>
    <x v="2236"/>
    <x v="4"/>
    <x v="8"/>
    <n v="3"/>
    <n v="3190.74"/>
    <n v="9572.2199999999993"/>
    <x v="78"/>
    <n v="382.88880000000029"/>
    <x v="4"/>
    <x v="1"/>
    <x v="0"/>
    <n v="2195.96"/>
  </r>
  <r>
    <n v="3271"/>
    <x v="2237"/>
    <x v="3"/>
    <x v="21"/>
    <n v="0"/>
    <n v="2672.26"/>
    <n v="0"/>
    <x v="69"/>
    <n v="0"/>
    <x v="301"/>
    <x v="1"/>
    <x v="0"/>
    <n v="722.57"/>
  </r>
  <r>
    <n v="3272"/>
    <x v="1580"/>
    <x v="2"/>
    <x v="17"/>
    <n v="3"/>
    <n v="4236.45"/>
    <n v="12709.349999999999"/>
    <x v="1"/>
    <n v="12709.349999999999"/>
    <x v="117"/>
    <x v="2"/>
    <x v="0"/>
    <n v="-849.83"/>
  </r>
  <r>
    <n v="3273"/>
    <x v="1248"/>
    <x v="2"/>
    <x v="17"/>
    <n v="2"/>
    <n v="4089.68"/>
    <n v="8179.36"/>
    <x v="1"/>
    <n v="8179.36"/>
    <x v="298"/>
    <x v="3"/>
    <x v="1"/>
    <n v="-713.14"/>
  </r>
  <r>
    <n v="3274"/>
    <x v="2238"/>
    <x v="5"/>
    <x v="6"/>
    <n v="-2"/>
    <n v="4409.22"/>
    <n v="-8818.44"/>
    <x v="1"/>
    <n v="-8818.44"/>
    <x v="545"/>
    <x v="0"/>
    <x v="0"/>
    <n v="2886.62"/>
  </r>
  <r>
    <n v="3275"/>
    <x v="2239"/>
    <x v="3"/>
    <x v="21"/>
    <n v="6"/>
    <m/>
    <n v="0"/>
    <x v="1"/>
    <n v="0"/>
    <x v="320"/>
    <x v="1"/>
    <x v="0"/>
    <n v="-733.06"/>
  </r>
  <r>
    <n v="3276"/>
    <x v="2240"/>
    <x v="4"/>
    <x v="8"/>
    <n v="6"/>
    <m/>
    <n v="0"/>
    <x v="1"/>
    <n v="0"/>
    <x v="52"/>
    <x v="5"/>
    <x v="0"/>
    <n v="-659.65"/>
  </r>
  <r>
    <n v="3277"/>
    <x v="2241"/>
    <x v="1"/>
    <x v="18"/>
    <n v="2"/>
    <n v="3583.06"/>
    <n v="7166.12"/>
    <x v="1"/>
    <n v="7166.12"/>
    <x v="4"/>
    <x v="1"/>
    <x v="0"/>
    <n v="2185.25"/>
  </r>
  <r>
    <n v="3278"/>
    <x v="2242"/>
    <x v="3"/>
    <x v="3"/>
    <n v="2"/>
    <n v="3767.69"/>
    <n v="7535.38"/>
    <x v="28"/>
    <n v="4069.1052000000004"/>
    <x v="10"/>
    <x v="3"/>
    <x v="0"/>
    <n v="746.84"/>
  </r>
  <r>
    <n v="3279"/>
    <x v="2243"/>
    <x v="3"/>
    <x v="21"/>
    <n v="0"/>
    <n v="4643.96"/>
    <n v="0"/>
    <x v="83"/>
    <n v="0"/>
    <x v="429"/>
    <x v="3"/>
    <x v="0"/>
    <n v="2569.86"/>
  </r>
  <r>
    <n v="3280"/>
    <x v="2244"/>
    <x v="5"/>
    <x v="12"/>
    <n v="2"/>
    <m/>
    <n v="0"/>
    <x v="1"/>
    <n v="0"/>
    <x v="546"/>
    <x v="4"/>
    <x v="0"/>
    <n v="601.65"/>
  </r>
  <r>
    <n v="3281"/>
    <x v="2245"/>
    <x v="1"/>
    <x v="15"/>
    <n v="2"/>
    <m/>
    <n v="0"/>
    <x v="37"/>
    <n v="0"/>
    <x v="547"/>
    <x v="3"/>
    <x v="0"/>
    <n v="1469.72"/>
  </r>
  <r>
    <n v="3282"/>
    <x v="2246"/>
    <x v="0"/>
    <x v="20"/>
    <n v="2"/>
    <n v="4405.96"/>
    <n v="8811.92"/>
    <x v="103"/>
    <n v="6344.5824000000002"/>
    <x v="526"/>
    <x v="3"/>
    <x v="1"/>
    <n v="503.27"/>
  </r>
  <r>
    <n v="3283"/>
    <x v="2247"/>
    <x v="5"/>
    <x v="6"/>
    <n v="3"/>
    <m/>
    <n v="0"/>
    <x v="1"/>
    <n v="0"/>
    <x v="4"/>
    <x v="2"/>
    <x v="0"/>
    <n v="1653.09"/>
  </r>
  <r>
    <n v="3284"/>
    <x v="2248"/>
    <x v="3"/>
    <x v="7"/>
    <n v="2"/>
    <m/>
    <n v="0"/>
    <x v="1"/>
    <n v="0"/>
    <x v="14"/>
    <x v="0"/>
    <x v="0"/>
    <n v="1560.64"/>
  </r>
  <r>
    <n v="3285"/>
    <x v="2249"/>
    <x v="4"/>
    <x v="16"/>
    <n v="0"/>
    <n v="4347.43"/>
    <n v="0"/>
    <x v="1"/>
    <n v="0"/>
    <x v="358"/>
    <x v="0"/>
    <x v="0"/>
    <n v="1440.27"/>
  </r>
  <r>
    <n v="3286"/>
    <x v="2250"/>
    <x v="1"/>
    <x v="18"/>
    <n v="-2"/>
    <m/>
    <n v="0"/>
    <x v="1"/>
    <n v="0"/>
    <x v="44"/>
    <x v="4"/>
    <x v="0"/>
    <n v="2616.2800000000002"/>
  </r>
  <r>
    <n v="3287"/>
    <x v="165"/>
    <x v="1"/>
    <x v="22"/>
    <n v="2"/>
    <m/>
    <n v="0"/>
    <x v="3"/>
    <n v="0"/>
    <x v="548"/>
    <x v="3"/>
    <x v="0"/>
    <n v="1684.69"/>
  </r>
  <r>
    <n v="3288"/>
    <x v="2251"/>
    <x v="1"/>
    <x v="15"/>
    <n v="5"/>
    <m/>
    <n v="0"/>
    <x v="1"/>
    <n v="0"/>
    <x v="4"/>
    <x v="3"/>
    <x v="0"/>
    <n v="1657.65"/>
  </r>
  <r>
    <n v="3289"/>
    <x v="2252"/>
    <x v="3"/>
    <x v="7"/>
    <n v="2"/>
    <m/>
    <n v="0"/>
    <x v="16"/>
    <n v="0"/>
    <x v="4"/>
    <x v="1"/>
    <x v="1"/>
    <n v="-272.83999999999997"/>
  </r>
  <r>
    <n v="3290"/>
    <x v="1238"/>
    <x v="1"/>
    <x v="1"/>
    <n v="2"/>
    <m/>
    <n v="0"/>
    <x v="1"/>
    <n v="0"/>
    <x v="228"/>
    <x v="5"/>
    <x v="1"/>
    <n v="1001.31"/>
  </r>
  <r>
    <n v="3291"/>
    <x v="2253"/>
    <x v="3"/>
    <x v="3"/>
    <n v="3"/>
    <m/>
    <n v="0"/>
    <x v="2"/>
    <n v="0"/>
    <x v="409"/>
    <x v="0"/>
    <x v="0"/>
    <n v="1907.94"/>
  </r>
  <r>
    <n v="3292"/>
    <x v="2254"/>
    <x v="4"/>
    <x v="8"/>
    <n v="2"/>
    <m/>
    <n v="0"/>
    <x v="126"/>
    <n v="0"/>
    <x v="115"/>
    <x v="4"/>
    <x v="1"/>
    <n v="-774.38"/>
  </r>
  <r>
    <n v="1045"/>
    <x v="2255"/>
    <x v="4"/>
    <x v="16"/>
    <n v="4"/>
    <m/>
    <n v="0"/>
    <x v="98"/>
    <n v="0"/>
    <x v="69"/>
    <x v="5"/>
    <x v="0"/>
    <n v="1009.78"/>
  </r>
  <r>
    <n v="3294"/>
    <x v="2256"/>
    <x v="4"/>
    <x v="8"/>
    <n v="4"/>
    <n v="1316.9"/>
    <n v="5267.6"/>
    <x v="112"/>
    <n v="4688.1640000000007"/>
    <x v="428"/>
    <x v="0"/>
    <x v="0"/>
    <n v="2743.65"/>
  </r>
  <r>
    <n v="3295"/>
    <x v="2257"/>
    <x v="4"/>
    <x v="4"/>
    <n v="2"/>
    <m/>
    <n v="0"/>
    <x v="1"/>
    <n v="0"/>
    <x v="4"/>
    <x v="4"/>
    <x v="0"/>
    <n v="-623.54999999999995"/>
  </r>
  <r>
    <n v="1022"/>
    <x v="2258"/>
    <x v="4"/>
    <x v="4"/>
    <n v="5"/>
    <m/>
    <n v="0"/>
    <x v="84"/>
    <n v="0"/>
    <x v="4"/>
    <x v="1"/>
    <x v="1"/>
    <n v="-63"/>
  </r>
  <r>
    <n v="3297"/>
    <x v="2259"/>
    <x v="2"/>
    <x v="13"/>
    <n v="2"/>
    <m/>
    <n v="0"/>
    <x v="1"/>
    <n v="0"/>
    <x v="208"/>
    <x v="0"/>
    <x v="0"/>
    <n v="1746.36"/>
  </r>
  <r>
    <n v="3298"/>
    <x v="2260"/>
    <x v="3"/>
    <x v="3"/>
    <n v="1"/>
    <n v="2124.13"/>
    <n v="2124.13"/>
    <x v="110"/>
    <n v="318.61950000000007"/>
    <x v="222"/>
    <x v="4"/>
    <x v="0"/>
    <n v="1126.81"/>
  </r>
  <r>
    <n v="3299"/>
    <x v="2261"/>
    <x v="1"/>
    <x v="22"/>
    <n v="-1"/>
    <n v="4090.34"/>
    <n v="-4090.34"/>
    <x v="38"/>
    <n v="-40.90340000000004"/>
    <x v="326"/>
    <x v="2"/>
    <x v="1"/>
    <n v="1676.64"/>
  </r>
  <r>
    <n v="3300"/>
    <x v="2262"/>
    <x v="3"/>
    <x v="7"/>
    <n v="5"/>
    <m/>
    <n v="0"/>
    <x v="22"/>
    <n v="0"/>
    <x v="4"/>
    <x v="3"/>
    <x v="0"/>
    <n v="525.1"/>
  </r>
  <r>
    <n v="3301"/>
    <x v="2263"/>
    <x v="4"/>
    <x v="16"/>
    <n v="5"/>
    <n v="2590.44"/>
    <n v="12952.2"/>
    <x v="1"/>
    <n v="12952.2"/>
    <x v="327"/>
    <x v="4"/>
    <x v="0"/>
    <n v="-613.96"/>
  </r>
  <r>
    <n v="3302"/>
    <x v="2264"/>
    <x v="0"/>
    <x v="9"/>
    <n v="3"/>
    <m/>
    <n v="0"/>
    <x v="1"/>
    <n v="0"/>
    <x v="8"/>
    <x v="0"/>
    <x v="1"/>
    <n v="2938.26"/>
  </r>
  <r>
    <n v="3303"/>
    <x v="2265"/>
    <x v="2"/>
    <x v="13"/>
    <n v="2"/>
    <m/>
    <n v="0"/>
    <x v="1"/>
    <n v="0"/>
    <x v="463"/>
    <x v="4"/>
    <x v="0"/>
    <n v="295.89"/>
  </r>
  <r>
    <n v="3304"/>
    <x v="2266"/>
    <x v="3"/>
    <x v="21"/>
    <n v="2"/>
    <n v="4452.04"/>
    <n v="8904.08"/>
    <x v="1"/>
    <n v="8904.08"/>
    <x v="115"/>
    <x v="3"/>
    <x v="0"/>
    <n v="2932.37"/>
  </r>
  <r>
    <n v="3305"/>
    <x v="2267"/>
    <x v="0"/>
    <x v="5"/>
    <n v="2"/>
    <m/>
    <n v="0"/>
    <x v="1"/>
    <n v="0"/>
    <x v="372"/>
    <x v="2"/>
    <x v="0"/>
    <n v="1362.42"/>
  </r>
  <r>
    <n v="3306"/>
    <x v="2268"/>
    <x v="4"/>
    <x v="8"/>
    <n v="2"/>
    <n v="4536.09"/>
    <n v="9072.18"/>
    <x v="1"/>
    <n v="9072.18"/>
    <x v="4"/>
    <x v="4"/>
    <x v="0"/>
    <n v="1015.71"/>
  </r>
  <r>
    <n v="3307"/>
    <x v="2269"/>
    <x v="3"/>
    <x v="7"/>
    <n v="2"/>
    <n v="3896.07"/>
    <n v="7792.14"/>
    <x v="1"/>
    <n v="7792.14"/>
    <x v="292"/>
    <x v="5"/>
    <x v="0"/>
    <n v="409.14"/>
  </r>
  <r>
    <n v="3308"/>
    <x v="2270"/>
    <x v="1"/>
    <x v="18"/>
    <n v="2"/>
    <m/>
    <n v="0"/>
    <x v="1"/>
    <n v="0"/>
    <x v="352"/>
    <x v="1"/>
    <x v="0"/>
    <n v="1711.84"/>
  </r>
  <r>
    <n v="3309"/>
    <x v="2271"/>
    <x v="5"/>
    <x v="6"/>
    <n v="-2"/>
    <n v="3944.46"/>
    <n v="-7888.92"/>
    <x v="1"/>
    <n v="-7888.92"/>
    <x v="549"/>
    <x v="1"/>
    <x v="0"/>
    <n v="1392.37"/>
  </r>
  <r>
    <n v="3310"/>
    <x v="2272"/>
    <x v="5"/>
    <x v="12"/>
    <n v="2"/>
    <m/>
    <n v="0"/>
    <x v="1"/>
    <n v="0"/>
    <x v="550"/>
    <x v="5"/>
    <x v="0"/>
    <n v="463.6"/>
  </r>
  <r>
    <n v="3311"/>
    <x v="2273"/>
    <x v="5"/>
    <x v="11"/>
    <n v="-1"/>
    <n v="3108.69"/>
    <n v="-3108.69"/>
    <x v="1"/>
    <n v="-3108.69"/>
    <x v="24"/>
    <x v="0"/>
    <x v="0"/>
    <n v="2986.53"/>
  </r>
  <r>
    <n v="3312"/>
    <x v="2274"/>
    <x v="4"/>
    <x v="14"/>
    <n v="2"/>
    <n v="4878.8100000000004"/>
    <n v="9757.6200000000008"/>
    <x v="1"/>
    <n v="9757.6200000000008"/>
    <x v="498"/>
    <x v="3"/>
    <x v="0"/>
    <n v="327.38"/>
  </r>
  <r>
    <n v="3313"/>
    <x v="2275"/>
    <x v="5"/>
    <x v="19"/>
    <n v="5"/>
    <m/>
    <n v="0"/>
    <x v="75"/>
    <n v="0"/>
    <x v="111"/>
    <x v="3"/>
    <x v="0"/>
    <n v="2022.75"/>
  </r>
  <r>
    <n v="3314"/>
    <x v="2276"/>
    <x v="1"/>
    <x v="18"/>
    <n v="2"/>
    <n v="2537.59"/>
    <n v="5075.18"/>
    <x v="1"/>
    <n v="5075.18"/>
    <x v="190"/>
    <x v="5"/>
    <x v="1"/>
    <n v="2708.81"/>
  </r>
  <r>
    <n v="3315"/>
    <x v="2277"/>
    <x v="5"/>
    <x v="19"/>
    <n v="4"/>
    <m/>
    <n v="0"/>
    <x v="1"/>
    <n v="0"/>
    <x v="4"/>
    <x v="4"/>
    <x v="0"/>
    <n v="2293.04"/>
  </r>
  <r>
    <n v="3316"/>
    <x v="2278"/>
    <x v="0"/>
    <x v="0"/>
    <n v="2"/>
    <m/>
    <n v="0"/>
    <x v="1"/>
    <n v="0"/>
    <x v="305"/>
    <x v="2"/>
    <x v="0"/>
    <n v="1628.03"/>
  </r>
  <r>
    <n v="3317"/>
    <x v="2279"/>
    <x v="1"/>
    <x v="22"/>
    <n v="2"/>
    <n v="2140.2199999999998"/>
    <n v="4280.4399999999996"/>
    <x v="1"/>
    <n v="4280.4399999999996"/>
    <x v="158"/>
    <x v="1"/>
    <x v="1"/>
    <n v="-415.92"/>
  </r>
  <r>
    <n v="3318"/>
    <x v="2280"/>
    <x v="3"/>
    <x v="21"/>
    <n v="2"/>
    <n v="2912.6"/>
    <n v="5825.2"/>
    <x v="1"/>
    <n v="5825.2"/>
    <x v="292"/>
    <x v="0"/>
    <x v="0"/>
    <n v="1847.45"/>
  </r>
  <r>
    <n v="3319"/>
    <x v="2281"/>
    <x v="2"/>
    <x v="2"/>
    <n v="2"/>
    <m/>
    <n v="0"/>
    <x v="1"/>
    <n v="0"/>
    <x v="184"/>
    <x v="1"/>
    <x v="0"/>
    <n v="1419.51"/>
  </r>
  <r>
    <n v="3320"/>
    <x v="2282"/>
    <x v="2"/>
    <x v="13"/>
    <n v="2"/>
    <m/>
    <n v="0"/>
    <x v="1"/>
    <n v="0"/>
    <x v="551"/>
    <x v="5"/>
    <x v="0"/>
    <n v="-251.71"/>
  </r>
  <r>
    <n v="3321"/>
    <x v="2283"/>
    <x v="1"/>
    <x v="15"/>
    <n v="5"/>
    <n v="1804.56"/>
    <n v="9022.7999999999993"/>
    <x v="1"/>
    <n v="9022.7999999999993"/>
    <x v="552"/>
    <x v="4"/>
    <x v="0"/>
    <n v="2534.37"/>
  </r>
  <r>
    <n v="3322"/>
    <x v="2284"/>
    <x v="4"/>
    <x v="8"/>
    <n v="2"/>
    <n v="4480.24"/>
    <n v="8960.48"/>
    <x v="1"/>
    <n v="8960.48"/>
    <x v="445"/>
    <x v="0"/>
    <x v="0"/>
    <n v="397.15"/>
  </r>
  <r>
    <n v="3323"/>
    <x v="2285"/>
    <x v="2"/>
    <x v="17"/>
    <n v="3"/>
    <n v="4009.45"/>
    <n v="12028.349999999999"/>
    <x v="1"/>
    <n v="12028.349999999999"/>
    <x v="4"/>
    <x v="4"/>
    <x v="0"/>
    <n v="-495.81"/>
  </r>
  <r>
    <n v="3324"/>
    <x v="2286"/>
    <x v="5"/>
    <x v="6"/>
    <n v="2"/>
    <m/>
    <n v="0"/>
    <x v="115"/>
    <n v="0"/>
    <x v="4"/>
    <x v="1"/>
    <x v="0"/>
    <n v="-214.24"/>
  </r>
  <r>
    <n v="3325"/>
    <x v="2287"/>
    <x v="5"/>
    <x v="11"/>
    <n v="6"/>
    <m/>
    <n v="0"/>
    <x v="76"/>
    <n v="0"/>
    <x v="102"/>
    <x v="3"/>
    <x v="0"/>
    <n v="686.84"/>
  </r>
  <r>
    <n v="3326"/>
    <x v="2288"/>
    <x v="2"/>
    <x v="17"/>
    <n v="-2"/>
    <n v="3047.68"/>
    <n v="-6095.36"/>
    <x v="1"/>
    <n v="-6095.36"/>
    <x v="9"/>
    <x v="3"/>
    <x v="0"/>
    <n v="827.95"/>
  </r>
  <r>
    <n v="3327"/>
    <x v="2289"/>
    <x v="0"/>
    <x v="9"/>
    <n v="2"/>
    <m/>
    <n v="0"/>
    <x v="78"/>
    <n v="0"/>
    <x v="4"/>
    <x v="3"/>
    <x v="0"/>
    <n v="-361.79"/>
  </r>
  <r>
    <n v="3328"/>
    <x v="2290"/>
    <x v="0"/>
    <x v="5"/>
    <n v="1"/>
    <n v="4390.32"/>
    <n v="4390.32"/>
    <x v="1"/>
    <n v="4390.32"/>
    <x v="435"/>
    <x v="3"/>
    <x v="0"/>
    <n v="2785.75"/>
  </r>
  <r>
    <n v="3329"/>
    <x v="2291"/>
    <x v="1"/>
    <x v="1"/>
    <n v="0"/>
    <m/>
    <n v="0"/>
    <x v="1"/>
    <n v="0"/>
    <x v="47"/>
    <x v="0"/>
    <x v="0"/>
    <n v="1954.02"/>
  </r>
  <r>
    <n v="3330"/>
    <x v="2292"/>
    <x v="2"/>
    <x v="2"/>
    <n v="6"/>
    <n v="2217.9499999999998"/>
    <n v="13307.699999999999"/>
    <x v="1"/>
    <n v="13307.699999999999"/>
    <x v="3"/>
    <x v="4"/>
    <x v="0"/>
    <n v="146.52000000000001"/>
  </r>
  <r>
    <n v="1012"/>
    <x v="2293"/>
    <x v="1"/>
    <x v="18"/>
    <n v="2"/>
    <n v="1364.73"/>
    <n v="2729.46"/>
    <x v="58"/>
    <n v="791.54340000000013"/>
    <x v="236"/>
    <x v="2"/>
    <x v="0"/>
    <n v="-909.85"/>
  </r>
  <r>
    <n v="3332"/>
    <x v="2294"/>
    <x v="2"/>
    <x v="2"/>
    <n v="5"/>
    <n v="1297.04"/>
    <n v="6485.2"/>
    <x v="118"/>
    <n v="4539.6399999999994"/>
    <x v="4"/>
    <x v="4"/>
    <x v="0"/>
    <n v="2887.23"/>
  </r>
  <r>
    <n v="3333"/>
    <x v="2295"/>
    <x v="1"/>
    <x v="22"/>
    <n v="-2"/>
    <m/>
    <n v="0"/>
    <x v="1"/>
    <n v="0"/>
    <x v="553"/>
    <x v="2"/>
    <x v="0"/>
    <n v="617.99"/>
  </r>
  <r>
    <n v="3334"/>
    <x v="2296"/>
    <x v="0"/>
    <x v="5"/>
    <n v="2"/>
    <m/>
    <n v="0"/>
    <x v="1"/>
    <n v="0"/>
    <x v="324"/>
    <x v="4"/>
    <x v="1"/>
    <n v="-933.34"/>
  </r>
  <r>
    <n v="3335"/>
    <x v="2297"/>
    <x v="1"/>
    <x v="15"/>
    <n v="5"/>
    <n v="4289.91"/>
    <n v="21449.55"/>
    <x v="85"/>
    <n v="-4933.3964999999998"/>
    <x v="275"/>
    <x v="5"/>
    <x v="0"/>
    <n v="533.83000000000004"/>
  </r>
  <r>
    <n v="3336"/>
    <x v="2298"/>
    <x v="1"/>
    <x v="18"/>
    <n v="2"/>
    <m/>
    <n v="0"/>
    <x v="1"/>
    <n v="0"/>
    <x v="3"/>
    <x v="1"/>
    <x v="0"/>
    <n v="1872.26"/>
  </r>
  <r>
    <n v="1018"/>
    <x v="2299"/>
    <x v="5"/>
    <x v="11"/>
    <n v="1"/>
    <n v="2847.86"/>
    <n v="2847.86"/>
    <x v="5"/>
    <n v="854.35800000000017"/>
    <x v="554"/>
    <x v="0"/>
    <x v="0"/>
    <n v="2190.67"/>
  </r>
  <r>
    <n v="3338"/>
    <x v="2300"/>
    <x v="5"/>
    <x v="12"/>
    <n v="2"/>
    <m/>
    <n v="0"/>
    <x v="82"/>
    <n v="0"/>
    <x v="17"/>
    <x v="5"/>
    <x v="0"/>
    <n v="1067.6600000000001"/>
  </r>
  <r>
    <n v="3339"/>
    <x v="2301"/>
    <x v="3"/>
    <x v="21"/>
    <n v="2"/>
    <m/>
    <n v="0"/>
    <x v="1"/>
    <n v="0"/>
    <x v="391"/>
    <x v="0"/>
    <x v="0"/>
    <n v="-735.83"/>
  </r>
  <r>
    <n v="3340"/>
    <x v="2302"/>
    <x v="2"/>
    <x v="10"/>
    <n v="6"/>
    <n v="3924.28"/>
    <n v="23545.68"/>
    <x v="6"/>
    <n v="20013.828000000001"/>
    <x v="348"/>
    <x v="3"/>
    <x v="0"/>
    <n v="-831.93"/>
  </r>
  <r>
    <n v="3341"/>
    <x v="2303"/>
    <x v="3"/>
    <x v="21"/>
    <n v="2"/>
    <n v="2080.09"/>
    <n v="4160.18"/>
    <x v="1"/>
    <n v="4160.18"/>
    <x v="4"/>
    <x v="4"/>
    <x v="0"/>
    <n v="1818.51"/>
  </r>
  <r>
    <n v="3342"/>
    <x v="2304"/>
    <x v="2"/>
    <x v="2"/>
    <n v="2"/>
    <n v="2109.83"/>
    <n v="4219.66"/>
    <x v="1"/>
    <n v="4219.66"/>
    <x v="4"/>
    <x v="5"/>
    <x v="1"/>
    <n v="546.26"/>
  </r>
  <r>
    <n v="3343"/>
    <x v="2305"/>
    <x v="4"/>
    <x v="16"/>
    <n v="2"/>
    <n v="3677.95"/>
    <n v="7355.9"/>
    <x v="32"/>
    <n v="4266.4220000000005"/>
    <x v="548"/>
    <x v="2"/>
    <x v="0"/>
    <n v="958.93"/>
  </r>
  <r>
    <n v="3344"/>
    <x v="2306"/>
    <x v="1"/>
    <x v="1"/>
    <n v="2"/>
    <m/>
    <n v="0"/>
    <x v="1"/>
    <n v="0"/>
    <x v="367"/>
    <x v="1"/>
    <x v="1"/>
    <n v="1933.51"/>
  </r>
  <r>
    <n v="3345"/>
    <x v="2307"/>
    <x v="5"/>
    <x v="12"/>
    <n v="0"/>
    <m/>
    <n v="0"/>
    <x v="1"/>
    <n v="0"/>
    <x v="217"/>
    <x v="3"/>
    <x v="0"/>
    <n v="461.25"/>
  </r>
  <r>
    <n v="3346"/>
    <x v="2308"/>
    <x v="2"/>
    <x v="10"/>
    <n v="2"/>
    <n v="1266.23"/>
    <n v="2532.46"/>
    <x v="24"/>
    <n v="481.16739999999987"/>
    <x v="174"/>
    <x v="1"/>
    <x v="1"/>
    <n v="416.5"/>
  </r>
  <r>
    <n v="3347"/>
    <x v="2309"/>
    <x v="1"/>
    <x v="18"/>
    <n v="2"/>
    <n v="3873.27"/>
    <n v="7746.54"/>
    <x v="1"/>
    <n v="7746.54"/>
    <x v="67"/>
    <x v="2"/>
    <x v="0"/>
    <n v="212.7"/>
  </r>
  <r>
    <n v="3348"/>
    <x v="2310"/>
    <x v="1"/>
    <x v="22"/>
    <n v="2"/>
    <m/>
    <n v="0"/>
    <x v="98"/>
    <n v="0"/>
    <x v="159"/>
    <x v="4"/>
    <x v="1"/>
    <n v="1023.68"/>
  </r>
  <r>
    <n v="3349"/>
    <x v="2311"/>
    <x v="1"/>
    <x v="15"/>
    <n v="2"/>
    <n v="1866.28"/>
    <n v="3732.56"/>
    <x v="1"/>
    <n v="3732.56"/>
    <x v="321"/>
    <x v="5"/>
    <x v="0"/>
    <n v="1605.37"/>
  </r>
  <r>
    <n v="3350"/>
    <x v="2312"/>
    <x v="2"/>
    <x v="13"/>
    <n v="2"/>
    <m/>
    <n v="0"/>
    <x v="1"/>
    <n v="0"/>
    <x v="331"/>
    <x v="2"/>
    <x v="0"/>
    <n v="14.57"/>
  </r>
  <r>
    <n v="3351"/>
    <x v="2313"/>
    <x v="0"/>
    <x v="5"/>
    <n v="0"/>
    <m/>
    <n v="0"/>
    <x v="13"/>
    <n v="0"/>
    <x v="213"/>
    <x v="5"/>
    <x v="0"/>
    <n v="211.03"/>
  </r>
  <r>
    <n v="3352"/>
    <x v="2314"/>
    <x v="3"/>
    <x v="3"/>
    <n v="2"/>
    <n v="2559.35"/>
    <n v="5118.7"/>
    <x v="1"/>
    <n v="5118.7"/>
    <x v="310"/>
    <x v="1"/>
    <x v="0"/>
    <n v="1386.39"/>
  </r>
  <r>
    <n v="3353"/>
    <x v="762"/>
    <x v="1"/>
    <x v="22"/>
    <n v="0"/>
    <m/>
    <n v="0"/>
    <x v="1"/>
    <n v="0"/>
    <x v="199"/>
    <x v="2"/>
    <x v="0"/>
    <n v="-766.44"/>
  </r>
  <r>
    <n v="3354"/>
    <x v="2315"/>
    <x v="1"/>
    <x v="22"/>
    <n v="2"/>
    <m/>
    <n v="0"/>
    <x v="123"/>
    <n v="0"/>
    <x v="121"/>
    <x v="2"/>
    <x v="0"/>
    <n v="2840.37"/>
  </r>
  <r>
    <n v="3355"/>
    <x v="2316"/>
    <x v="3"/>
    <x v="3"/>
    <n v="2"/>
    <n v="3111.18"/>
    <n v="6222.36"/>
    <x v="71"/>
    <n v="6035.6891999999998"/>
    <x v="4"/>
    <x v="1"/>
    <x v="0"/>
    <n v="1851.74"/>
  </r>
  <r>
    <n v="3356"/>
    <x v="2317"/>
    <x v="2"/>
    <x v="13"/>
    <n v="1"/>
    <n v="966.41"/>
    <n v="966.41"/>
    <x v="1"/>
    <n v="966.41"/>
    <x v="176"/>
    <x v="3"/>
    <x v="0"/>
    <n v="924.69"/>
  </r>
  <r>
    <n v="3357"/>
    <x v="2318"/>
    <x v="5"/>
    <x v="11"/>
    <n v="2"/>
    <n v="4909.58"/>
    <n v="9819.16"/>
    <x v="1"/>
    <n v="9819.16"/>
    <x v="405"/>
    <x v="5"/>
    <x v="0"/>
    <n v="-500.19"/>
  </r>
  <r>
    <n v="3358"/>
    <x v="2319"/>
    <x v="5"/>
    <x v="12"/>
    <n v="-2"/>
    <m/>
    <n v="0"/>
    <x v="1"/>
    <n v="0"/>
    <x v="446"/>
    <x v="0"/>
    <x v="0"/>
    <n v="1541.97"/>
  </r>
  <r>
    <n v="3359"/>
    <x v="2320"/>
    <x v="5"/>
    <x v="11"/>
    <n v="-2"/>
    <n v="1380.44"/>
    <n v="-2760.88"/>
    <x v="1"/>
    <n v="-2760.88"/>
    <x v="4"/>
    <x v="2"/>
    <x v="1"/>
    <n v="-329.81"/>
  </r>
  <r>
    <n v="3360"/>
    <x v="2321"/>
    <x v="0"/>
    <x v="0"/>
    <n v="5"/>
    <m/>
    <n v="0"/>
    <x v="1"/>
    <n v="0"/>
    <x v="460"/>
    <x v="4"/>
    <x v="1"/>
    <n v="2229.54"/>
  </r>
  <r>
    <n v="3361"/>
    <x v="2322"/>
    <x v="3"/>
    <x v="23"/>
    <n v="2"/>
    <m/>
    <n v="0"/>
    <x v="1"/>
    <n v="0"/>
    <x v="4"/>
    <x v="3"/>
    <x v="0"/>
    <n v="1648.42"/>
  </r>
  <r>
    <n v="3362"/>
    <x v="2323"/>
    <x v="3"/>
    <x v="3"/>
    <n v="2"/>
    <m/>
    <n v="0"/>
    <x v="1"/>
    <n v="0"/>
    <x v="344"/>
    <x v="4"/>
    <x v="0"/>
    <n v="1445.86"/>
  </r>
  <r>
    <n v="3363"/>
    <x v="2324"/>
    <x v="1"/>
    <x v="1"/>
    <n v="2"/>
    <n v="3754.24"/>
    <n v="7508.48"/>
    <x v="1"/>
    <n v="7508.48"/>
    <x v="4"/>
    <x v="0"/>
    <x v="1"/>
    <n v="461.46"/>
  </r>
  <r>
    <n v="3364"/>
    <x v="2325"/>
    <x v="1"/>
    <x v="22"/>
    <n v="2"/>
    <m/>
    <n v="0"/>
    <x v="1"/>
    <n v="0"/>
    <x v="35"/>
    <x v="1"/>
    <x v="0"/>
    <n v="-552.42999999999995"/>
  </r>
  <r>
    <n v="3365"/>
    <x v="2326"/>
    <x v="2"/>
    <x v="2"/>
    <n v="2"/>
    <n v="2414.9299999999998"/>
    <n v="4829.8599999999997"/>
    <x v="1"/>
    <n v="4829.8599999999997"/>
    <x v="201"/>
    <x v="3"/>
    <x v="0"/>
    <n v="2493.6"/>
  </r>
  <r>
    <n v="3366"/>
    <x v="1391"/>
    <x v="1"/>
    <x v="22"/>
    <n v="5"/>
    <n v="636.53"/>
    <n v="3182.6499999999996"/>
    <x v="1"/>
    <n v="3182.6499999999996"/>
    <x v="72"/>
    <x v="2"/>
    <x v="1"/>
    <n v="-513.44000000000005"/>
  </r>
  <r>
    <n v="3367"/>
    <x v="2327"/>
    <x v="3"/>
    <x v="21"/>
    <n v="2"/>
    <n v="4206.91"/>
    <n v="8413.82"/>
    <x v="1"/>
    <n v="8413.82"/>
    <x v="555"/>
    <x v="3"/>
    <x v="0"/>
    <n v="818.99"/>
  </r>
  <r>
    <n v="3368"/>
    <x v="2328"/>
    <x v="3"/>
    <x v="7"/>
    <n v="4"/>
    <m/>
    <n v="0"/>
    <x v="1"/>
    <n v="0"/>
    <x v="4"/>
    <x v="1"/>
    <x v="0"/>
    <n v="-862.24"/>
  </r>
  <r>
    <n v="3369"/>
    <x v="2329"/>
    <x v="0"/>
    <x v="5"/>
    <n v="2"/>
    <m/>
    <n v="0"/>
    <x v="1"/>
    <n v="0"/>
    <x v="208"/>
    <x v="3"/>
    <x v="1"/>
    <n v="245.55"/>
  </r>
  <r>
    <n v="3370"/>
    <x v="2330"/>
    <x v="1"/>
    <x v="18"/>
    <n v="2"/>
    <m/>
    <n v="0"/>
    <x v="1"/>
    <n v="0"/>
    <x v="544"/>
    <x v="3"/>
    <x v="1"/>
    <n v="1069.18"/>
  </r>
  <r>
    <n v="3371"/>
    <x v="2331"/>
    <x v="0"/>
    <x v="9"/>
    <n v="5"/>
    <m/>
    <n v="0"/>
    <x v="1"/>
    <n v="0"/>
    <x v="130"/>
    <x v="0"/>
    <x v="0"/>
    <n v="-276.12"/>
  </r>
  <r>
    <n v="3372"/>
    <x v="2332"/>
    <x v="0"/>
    <x v="0"/>
    <n v="2"/>
    <n v="2291.31"/>
    <n v="4582.62"/>
    <x v="1"/>
    <n v="4582.62"/>
    <x v="181"/>
    <x v="4"/>
    <x v="1"/>
    <n v="-169.68"/>
  </r>
  <r>
    <n v="3373"/>
    <x v="2333"/>
    <x v="2"/>
    <x v="13"/>
    <n v="2"/>
    <n v="3507.48"/>
    <n v="7014.96"/>
    <x v="1"/>
    <n v="7014.96"/>
    <x v="73"/>
    <x v="2"/>
    <x v="0"/>
    <n v="2821.27"/>
  </r>
  <r>
    <n v="3374"/>
    <x v="2334"/>
    <x v="5"/>
    <x v="12"/>
    <n v="2"/>
    <n v="2489.23"/>
    <n v="4978.46"/>
    <x v="1"/>
    <n v="4978.46"/>
    <x v="107"/>
    <x v="4"/>
    <x v="0"/>
    <n v="2977.05"/>
  </r>
  <r>
    <n v="3375"/>
    <x v="2335"/>
    <x v="1"/>
    <x v="18"/>
    <n v="2"/>
    <n v="442.08"/>
    <n v="884.16"/>
    <x v="1"/>
    <n v="884.16"/>
    <x v="48"/>
    <x v="4"/>
    <x v="0"/>
    <n v="944.55"/>
  </r>
  <r>
    <n v="3376"/>
    <x v="2336"/>
    <x v="0"/>
    <x v="20"/>
    <n v="2"/>
    <m/>
    <n v="0"/>
    <x v="1"/>
    <n v="0"/>
    <x v="249"/>
    <x v="0"/>
    <x v="1"/>
    <n v="1936.25"/>
  </r>
  <r>
    <n v="3377"/>
    <x v="2337"/>
    <x v="5"/>
    <x v="12"/>
    <n v="2"/>
    <n v="1064.3699999999999"/>
    <n v="2128.7399999999998"/>
    <x v="1"/>
    <n v="2128.7399999999998"/>
    <x v="205"/>
    <x v="0"/>
    <x v="0"/>
    <n v="-671.09"/>
  </r>
  <r>
    <n v="3378"/>
    <x v="2338"/>
    <x v="1"/>
    <x v="22"/>
    <n v="2"/>
    <n v="3675"/>
    <n v="7350"/>
    <x v="1"/>
    <n v="7350"/>
    <x v="4"/>
    <x v="5"/>
    <x v="0"/>
    <n v="2641.65"/>
  </r>
  <r>
    <n v="3379"/>
    <x v="2339"/>
    <x v="3"/>
    <x v="23"/>
    <n v="-2"/>
    <m/>
    <n v="0"/>
    <x v="1"/>
    <n v="0"/>
    <x v="239"/>
    <x v="5"/>
    <x v="0"/>
    <n v="-861.83"/>
  </r>
  <r>
    <n v="3380"/>
    <x v="2340"/>
    <x v="5"/>
    <x v="19"/>
    <n v="2"/>
    <n v="4166.34"/>
    <n v="8332.68"/>
    <x v="1"/>
    <n v="8332.68"/>
    <x v="551"/>
    <x v="4"/>
    <x v="1"/>
    <n v="317.31"/>
  </r>
  <r>
    <n v="3381"/>
    <x v="2341"/>
    <x v="2"/>
    <x v="13"/>
    <n v="-1"/>
    <m/>
    <n v="0"/>
    <x v="105"/>
    <n v="0"/>
    <x v="134"/>
    <x v="1"/>
    <x v="0"/>
    <n v="2205.09"/>
  </r>
  <r>
    <n v="3382"/>
    <x v="2342"/>
    <x v="2"/>
    <x v="17"/>
    <n v="1"/>
    <m/>
    <n v="0"/>
    <x v="1"/>
    <n v="0"/>
    <x v="182"/>
    <x v="4"/>
    <x v="0"/>
    <n v="1711.89"/>
  </r>
  <r>
    <n v="3383"/>
    <x v="2343"/>
    <x v="0"/>
    <x v="5"/>
    <n v="2"/>
    <m/>
    <n v="0"/>
    <x v="46"/>
    <n v="0"/>
    <x v="359"/>
    <x v="1"/>
    <x v="1"/>
    <n v="1101.95"/>
  </r>
  <r>
    <n v="3384"/>
    <x v="2344"/>
    <x v="5"/>
    <x v="12"/>
    <n v="1"/>
    <n v="2282.7600000000002"/>
    <n v="2282.7600000000002"/>
    <x v="39"/>
    <n v="958.75920000000019"/>
    <x v="556"/>
    <x v="3"/>
    <x v="0"/>
    <n v="1133.68"/>
  </r>
  <r>
    <n v="3385"/>
    <x v="2345"/>
    <x v="5"/>
    <x v="19"/>
    <n v="2"/>
    <n v="2394.84"/>
    <n v="4789.68"/>
    <x v="1"/>
    <n v="4789.68"/>
    <x v="507"/>
    <x v="1"/>
    <x v="1"/>
    <n v="1007.9"/>
  </r>
  <r>
    <n v="3386"/>
    <x v="2346"/>
    <x v="4"/>
    <x v="14"/>
    <n v="1"/>
    <m/>
    <n v="0"/>
    <x v="68"/>
    <n v="0"/>
    <x v="367"/>
    <x v="2"/>
    <x v="0"/>
    <n v="21.39"/>
  </r>
  <r>
    <n v="3387"/>
    <x v="2347"/>
    <x v="0"/>
    <x v="20"/>
    <n v="2"/>
    <m/>
    <n v="0"/>
    <x v="1"/>
    <n v="0"/>
    <x v="390"/>
    <x v="3"/>
    <x v="0"/>
    <n v="-48.14"/>
  </r>
  <r>
    <n v="1011"/>
    <x v="2348"/>
    <x v="5"/>
    <x v="6"/>
    <n v="2"/>
    <n v="2842.91"/>
    <n v="5685.82"/>
    <x v="1"/>
    <n v="5685.82"/>
    <x v="228"/>
    <x v="2"/>
    <x v="0"/>
    <n v="-835.65"/>
  </r>
  <r>
    <n v="3389"/>
    <x v="2349"/>
    <x v="3"/>
    <x v="21"/>
    <n v="-1"/>
    <m/>
    <n v="0"/>
    <x v="110"/>
    <n v="0"/>
    <x v="4"/>
    <x v="1"/>
    <x v="0"/>
    <n v="146.53"/>
  </r>
  <r>
    <n v="3390"/>
    <x v="2350"/>
    <x v="2"/>
    <x v="17"/>
    <n v="1"/>
    <n v="1280.52"/>
    <n v="1280.52"/>
    <x v="8"/>
    <n v="76.831200000000067"/>
    <x v="4"/>
    <x v="3"/>
    <x v="1"/>
    <n v="1626.42"/>
  </r>
  <r>
    <n v="3391"/>
    <x v="2351"/>
    <x v="1"/>
    <x v="15"/>
    <n v="3"/>
    <n v="1730.64"/>
    <n v="5191.92"/>
    <x v="5"/>
    <n v="1557.5760000000002"/>
    <x v="4"/>
    <x v="0"/>
    <x v="0"/>
    <n v="719.69"/>
  </r>
  <r>
    <n v="3392"/>
    <x v="2352"/>
    <x v="1"/>
    <x v="1"/>
    <n v="0"/>
    <m/>
    <n v="0"/>
    <x v="113"/>
    <n v="0"/>
    <x v="309"/>
    <x v="4"/>
    <x v="1"/>
    <n v="1036.57"/>
  </r>
  <r>
    <n v="3393"/>
    <x v="2353"/>
    <x v="3"/>
    <x v="7"/>
    <n v="5"/>
    <m/>
    <n v="0"/>
    <x v="35"/>
    <n v="0"/>
    <x v="4"/>
    <x v="2"/>
    <x v="0"/>
    <n v="560.09"/>
  </r>
  <r>
    <n v="3394"/>
    <x v="2354"/>
    <x v="0"/>
    <x v="5"/>
    <n v="2"/>
    <n v="1509.34"/>
    <n v="3018.68"/>
    <x v="1"/>
    <n v="3018.68"/>
    <x v="152"/>
    <x v="2"/>
    <x v="0"/>
    <n v="1037.8499999999999"/>
  </r>
  <r>
    <n v="3395"/>
    <x v="2355"/>
    <x v="2"/>
    <x v="13"/>
    <n v="2"/>
    <m/>
    <n v="0"/>
    <x v="1"/>
    <n v="0"/>
    <x v="341"/>
    <x v="5"/>
    <x v="1"/>
    <n v="-23.94"/>
  </r>
  <r>
    <n v="3396"/>
    <x v="2356"/>
    <x v="1"/>
    <x v="22"/>
    <n v="2"/>
    <n v="3760.09"/>
    <n v="7520.18"/>
    <x v="1"/>
    <n v="7520.18"/>
    <x v="192"/>
    <x v="4"/>
    <x v="0"/>
    <n v="-871.94"/>
  </r>
  <r>
    <n v="3397"/>
    <x v="2357"/>
    <x v="0"/>
    <x v="9"/>
    <n v="2"/>
    <m/>
    <n v="0"/>
    <x v="1"/>
    <n v="0"/>
    <x v="4"/>
    <x v="1"/>
    <x v="0"/>
    <n v="477.59"/>
  </r>
  <r>
    <n v="3398"/>
    <x v="2358"/>
    <x v="5"/>
    <x v="11"/>
    <n v="2"/>
    <n v="2784.25"/>
    <n v="5568.5"/>
    <x v="1"/>
    <n v="5568.5"/>
    <x v="4"/>
    <x v="4"/>
    <x v="1"/>
    <n v="-348.84"/>
  </r>
  <r>
    <n v="3399"/>
    <x v="2359"/>
    <x v="0"/>
    <x v="20"/>
    <n v="5"/>
    <n v="3111.73"/>
    <n v="15558.65"/>
    <x v="1"/>
    <n v="15558.65"/>
    <x v="245"/>
    <x v="3"/>
    <x v="0"/>
    <n v="800.89"/>
  </r>
  <r>
    <n v="3400"/>
    <x v="2360"/>
    <x v="1"/>
    <x v="1"/>
    <n v="0"/>
    <n v="1249.6400000000001"/>
    <n v="0"/>
    <x v="1"/>
    <n v="0"/>
    <x v="302"/>
    <x v="5"/>
    <x v="0"/>
    <n v="-646.04"/>
  </r>
  <r>
    <n v="3401"/>
    <x v="2361"/>
    <x v="1"/>
    <x v="1"/>
    <n v="2"/>
    <n v="1960.15"/>
    <n v="3920.3"/>
    <x v="1"/>
    <n v="3920.3"/>
    <x v="95"/>
    <x v="4"/>
    <x v="1"/>
    <n v="1816.17"/>
  </r>
  <r>
    <n v="3402"/>
    <x v="2362"/>
    <x v="5"/>
    <x v="11"/>
    <n v="2"/>
    <m/>
    <n v="0"/>
    <x v="27"/>
    <n v="0"/>
    <x v="82"/>
    <x v="2"/>
    <x v="0"/>
    <n v="619.20000000000005"/>
  </r>
  <r>
    <n v="3403"/>
    <x v="2363"/>
    <x v="4"/>
    <x v="16"/>
    <n v="2"/>
    <n v="2609.06"/>
    <n v="5218.12"/>
    <x v="88"/>
    <n v="1826.3419999999999"/>
    <x v="386"/>
    <x v="4"/>
    <x v="0"/>
    <n v="2036.75"/>
  </r>
  <r>
    <n v="3404"/>
    <x v="2364"/>
    <x v="3"/>
    <x v="23"/>
    <n v="5"/>
    <m/>
    <n v="0"/>
    <x v="24"/>
    <n v="0"/>
    <x v="80"/>
    <x v="5"/>
    <x v="1"/>
    <n v="1283.58"/>
  </r>
  <r>
    <n v="3405"/>
    <x v="2365"/>
    <x v="4"/>
    <x v="16"/>
    <n v="2"/>
    <n v="2310.4699999999998"/>
    <n v="4620.9399999999996"/>
    <x v="1"/>
    <n v="4620.9399999999996"/>
    <x v="4"/>
    <x v="2"/>
    <x v="0"/>
    <n v="393.88"/>
  </r>
  <r>
    <n v="3406"/>
    <x v="2366"/>
    <x v="5"/>
    <x v="11"/>
    <n v="2"/>
    <m/>
    <n v="0"/>
    <x v="1"/>
    <n v="0"/>
    <x v="6"/>
    <x v="2"/>
    <x v="0"/>
    <n v="-513.37"/>
  </r>
  <r>
    <n v="3407"/>
    <x v="2367"/>
    <x v="0"/>
    <x v="20"/>
    <n v="1"/>
    <m/>
    <n v="0"/>
    <x v="93"/>
    <n v="0"/>
    <x v="527"/>
    <x v="1"/>
    <x v="0"/>
    <n v="-540.69000000000005"/>
  </r>
  <r>
    <n v="3408"/>
    <x v="2368"/>
    <x v="3"/>
    <x v="21"/>
    <n v="2"/>
    <n v="4003.66"/>
    <n v="8007.32"/>
    <x v="1"/>
    <n v="8007.32"/>
    <x v="95"/>
    <x v="4"/>
    <x v="1"/>
    <n v="1340.94"/>
  </r>
  <r>
    <n v="3409"/>
    <x v="2369"/>
    <x v="1"/>
    <x v="18"/>
    <n v="-1"/>
    <n v="2123.17"/>
    <n v="-2123.17"/>
    <x v="1"/>
    <n v="-2123.17"/>
    <x v="4"/>
    <x v="0"/>
    <x v="0"/>
    <n v="-717.75"/>
  </r>
  <r>
    <n v="3410"/>
    <x v="2370"/>
    <x v="5"/>
    <x v="12"/>
    <n v="2"/>
    <n v="4732.42"/>
    <n v="9464.84"/>
    <x v="1"/>
    <n v="9464.84"/>
    <x v="103"/>
    <x v="1"/>
    <x v="0"/>
    <n v="916.47"/>
  </r>
  <r>
    <n v="3411"/>
    <x v="2371"/>
    <x v="2"/>
    <x v="17"/>
    <n v="2"/>
    <m/>
    <n v="0"/>
    <x v="39"/>
    <n v="0"/>
    <x v="174"/>
    <x v="4"/>
    <x v="1"/>
    <n v="1693.4"/>
  </r>
  <r>
    <n v="3412"/>
    <x v="2372"/>
    <x v="0"/>
    <x v="20"/>
    <n v="2"/>
    <m/>
    <n v="0"/>
    <x v="1"/>
    <n v="0"/>
    <x v="159"/>
    <x v="1"/>
    <x v="0"/>
    <n v="2625.33"/>
  </r>
  <r>
    <n v="3413"/>
    <x v="2373"/>
    <x v="5"/>
    <x v="11"/>
    <n v="2"/>
    <m/>
    <n v="0"/>
    <x v="1"/>
    <n v="0"/>
    <x v="4"/>
    <x v="3"/>
    <x v="0"/>
    <n v="2402.84"/>
  </r>
  <r>
    <n v="3414"/>
    <x v="2374"/>
    <x v="2"/>
    <x v="17"/>
    <n v="1"/>
    <m/>
    <n v="0"/>
    <x v="1"/>
    <n v="0"/>
    <x v="214"/>
    <x v="1"/>
    <x v="1"/>
    <n v="2783.42"/>
  </r>
  <r>
    <n v="3415"/>
    <x v="2375"/>
    <x v="4"/>
    <x v="8"/>
    <n v="4"/>
    <n v="3185.58"/>
    <n v="12742.32"/>
    <x v="23"/>
    <n v="-1911.3479999999988"/>
    <x v="557"/>
    <x v="0"/>
    <x v="0"/>
    <n v="-767.38"/>
  </r>
  <r>
    <n v="3416"/>
    <x v="2376"/>
    <x v="1"/>
    <x v="1"/>
    <n v="-1"/>
    <m/>
    <n v="0"/>
    <x v="1"/>
    <n v="0"/>
    <x v="298"/>
    <x v="3"/>
    <x v="1"/>
    <n v="2344.15"/>
  </r>
  <r>
    <n v="3417"/>
    <x v="2377"/>
    <x v="0"/>
    <x v="9"/>
    <n v="2"/>
    <m/>
    <n v="0"/>
    <x v="1"/>
    <n v="0"/>
    <x v="350"/>
    <x v="0"/>
    <x v="0"/>
    <n v="-938.64"/>
  </r>
  <r>
    <n v="3418"/>
    <x v="2378"/>
    <x v="0"/>
    <x v="0"/>
    <n v="6"/>
    <m/>
    <n v="0"/>
    <x v="10"/>
    <n v="0"/>
    <x v="4"/>
    <x v="1"/>
    <x v="0"/>
    <n v="-796.3"/>
  </r>
  <r>
    <n v="3419"/>
    <x v="37"/>
    <x v="4"/>
    <x v="4"/>
    <n v="2"/>
    <m/>
    <n v="0"/>
    <x v="1"/>
    <n v="0"/>
    <x v="4"/>
    <x v="1"/>
    <x v="1"/>
    <n v="804.16"/>
  </r>
  <r>
    <n v="1002"/>
    <x v="2379"/>
    <x v="1"/>
    <x v="22"/>
    <n v="3"/>
    <m/>
    <n v="0"/>
    <x v="1"/>
    <n v="0"/>
    <x v="1"/>
    <x v="2"/>
    <x v="0"/>
    <n v="2315.23"/>
  </r>
  <r>
    <n v="3421"/>
    <x v="1170"/>
    <x v="2"/>
    <x v="2"/>
    <n v="2"/>
    <n v="2933.45"/>
    <n v="5866.9"/>
    <x v="1"/>
    <n v="5866.9"/>
    <x v="58"/>
    <x v="3"/>
    <x v="0"/>
    <n v="2339.14"/>
  </r>
  <r>
    <n v="3422"/>
    <x v="2380"/>
    <x v="3"/>
    <x v="23"/>
    <n v="6"/>
    <m/>
    <n v="0"/>
    <x v="1"/>
    <n v="0"/>
    <x v="298"/>
    <x v="5"/>
    <x v="0"/>
    <n v="20.64"/>
  </r>
  <r>
    <n v="3423"/>
    <x v="2381"/>
    <x v="2"/>
    <x v="17"/>
    <n v="-2"/>
    <m/>
    <n v="0"/>
    <x v="1"/>
    <n v="0"/>
    <x v="247"/>
    <x v="1"/>
    <x v="0"/>
    <n v="960.12"/>
  </r>
  <r>
    <n v="3424"/>
    <x v="2382"/>
    <x v="3"/>
    <x v="21"/>
    <n v="5"/>
    <n v="4754.22"/>
    <n v="23771.100000000002"/>
    <x v="83"/>
    <n v="4278.7980000000016"/>
    <x v="481"/>
    <x v="4"/>
    <x v="1"/>
    <n v="2415.19"/>
  </r>
  <r>
    <n v="3425"/>
    <x v="2383"/>
    <x v="1"/>
    <x v="18"/>
    <n v="-2"/>
    <n v="2942.33"/>
    <n v="-5884.66"/>
    <x v="117"/>
    <n v="-4943.1143999999995"/>
    <x v="558"/>
    <x v="5"/>
    <x v="0"/>
    <n v="977.57"/>
  </r>
  <r>
    <n v="3426"/>
    <x v="2384"/>
    <x v="1"/>
    <x v="18"/>
    <n v="2"/>
    <n v="3441.89"/>
    <n v="6883.78"/>
    <x v="1"/>
    <n v="6883.78"/>
    <x v="171"/>
    <x v="1"/>
    <x v="0"/>
    <n v="-872.49"/>
  </r>
  <r>
    <n v="3427"/>
    <x v="2385"/>
    <x v="3"/>
    <x v="3"/>
    <n v="2"/>
    <m/>
    <n v="0"/>
    <x v="115"/>
    <n v="0"/>
    <x v="119"/>
    <x v="0"/>
    <x v="1"/>
    <n v="-63"/>
  </r>
  <r>
    <n v="3428"/>
    <x v="2386"/>
    <x v="1"/>
    <x v="1"/>
    <n v="3"/>
    <m/>
    <n v="0"/>
    <x v="1"/>
    <n v="0"/>
    <x v="300"/>
    <x v="2"/>
    <x v="0"/>
    <n v="670.29"/>
  </r>
  <r>
    <n v="3429"/>
    <x v="2387"/>
    <x v="5"/>
    <x v="12"/>
    <n v="2"/>
    <m/>
    <n v="0"/>
    <x v="1"/>
    <n v="0"/>
    <x v="241"/>
    <x v="0"/>
    <x v="0"/>
    <n v="859.23"/>
  </r>
  <r>
    <n v="3430"/>
    <x v="2388"/>
    <x v="3"/>
    <x v="21"/>
    <n v="2"/>
    <n v="2244.0700000000002"/>
    <n v="4488.1400000000003"/>
    <x v="1"/>
    <n v="4488.1400000000003"/>
    <x v="4"/>
    <x v="3"/>
    <x v="0"/>
    <n v="195.31"/>
  </r>
  <r>
    <n v="3431"/>
    <x v="2389"/>
    <x v="5"/>
    <x v="11"/>
    <n v="0"/>
    <m/>
    <n v="0"/>
    <x v="66"/>
    <n v="0"/>
    <x v="374"/>
    <x v="0"/>
    <x v="0"/>
    <n v="669.94"/>
  </r>
  <r>
    <n v="3432"/>
    <x v="2390"/>
    <x v="5"/>
    <x v="19"/>
    <n v="-2"/>
    <m/>
    <n v="0"/>
    <x v="1"/>
    <n v="0"/>
    <x v="82"/>
    <x v="3"/>
    <x v="0"/>
    <n v="980.18"/>
  </r>
  <r>
    <n v="3433"/>
    <x v="2391"/>
    <x v="4"/>
    <x v="4"/>
    <n v="2"/>
    <n v="4971.5600000000004"/>
    <n v="9943.1200000000008"/>
    <x v="57"/>
    <n v="1292.6056000000001"/>
    <x v="217"/>
    <x v="3"/>
    <x v="0"/>
    <n v="1202.3399999999999"/>
  </r>
  <r>
    <n v="3434"/>
    <x v="2392"/>
    <x v="2"/>
    <x v="2"/>
    <n v="-1"/>
    <n v="636.91999999999996"/>
    <n v="-636.91999999999996"/>
    <x v="115"/>
    <n v="-312.0908"/>
    <x v="455"/>
    <x v="5"/>
    <x v="1"/>
    <n v="2399.61"/>
  </r>
  <r>
    <n v="3435"/>
    <x v="2393"/>
    <x v="1"/>
    <x v="22"/>
    <n v="2"/>
    <m/>
    <n v="0"/>
    <x v="1"/>
    <n v="0"/>
    <x v="559"/>
    <x v="0"/>
    <x v="0"/>
    <n v="-453.03"/>
  </r>
  <r>
    <n v="3436"/>
    <x v="2394"/>
    <x v="5"/>
    <x v="11"/>
    <n v="2"/>
    <m/>
    <n v="0"/>
    <x v="53"/>
    <n v="0"/>
    <x v="348"/>
    <x v="3"/>
    <x v="1"/>
    <n v="791.96"/>
  </r>
  <r>
    <n v="3437"/>
    <x v="2395"/>
    <x v="4"/>
    <x v="4"/>
    <n v="2"/>
    <n v="987.68"/>
    <n v="1975.36"/>
    <x v="120"/>
    <n v="-493.84"/>
    <x v="141"/>
    <x v="3"/>
    <x v="0"/>
    <n v="2597.1999999999998"/>
  </r>
  <r>
    <n v="1006"/>
    <x v="2396"/>
    <x v="3"/>
    <x v="3"/>
    <n v="3"/>
    <n v="3891.07"/>
    <n v="11673.210000000001"/>
    <x v="31"/>
    <n v="9338.5680000000011"/>
    <x v="17"/>
    <x v="1"/>
    <x v="0"/>
    <n v="-861.28"/>
  </r>
  <r>
    <n v="3439"/>
    <x v="2397"/>
    <x v="2"/>
    <x v="13"/>
    <n v="-2"/>
    <n v="400.21"/>
    <n v="-800.42"/>
    <x v="1"/>
    <n v="-800.42"/>
    <x v="280"/>
    <x v="3"/>
    <x v="0"/>
    <n v="914.27"/>
  </r>
  <r>
    <n v="3440"/>
    <x v="2398"/>
    <x v="4"/>
    <x v="8"/>
    <n v="2"/>
    <n v="1536.14"/>
    <n v="3072.28"/>
    <x v="57"/>
    <n v="399.39640000000003"/>
    <x v="300"/>
    <x v="1"/>
    <x v="0"/>
    <n v="-382.45"/>
  </r>
  <r>
    <n v="3441"/>
    <x v="2399"/>
    <x v="5"/>
    <x v="11"/>
    <n v="5"/>
    <m/>
    <n v="0"/>
    <x v="124"/>
    <n v="0"/>
    <x v="256"/>
    <x v="0"/>
    <x v="1"/>
    <n v="2953.52"/>
  </r>
  <r>
    <n v="3442"/>
    <x v="2400"/>
    <x v="4"/>
    <x v="8"/>
    <n v="0"/>
    <m/>
    <n v="0"/>
    <x v="44"/>
    <n v="0"/>
    <x v="178"/>
    <x v="1"/>
    <x v="0"/>
    <n v="1331.63"/>
  </r>
  <r>
    <n v="3443"/>
    <x v="2401"/>
    <x v="4"/>
    <x v="8"/>
    <n v="2"/>
    <m/>
    <n v="0"/>
    <x v="62"/>
    <n v="0"/>
    <x v="340"/>
    <x v="0"/>
    <x v="0"/>
    <n v="2632.33"/>
  </r>
  <r>
    <n v="3444"/>
    <x v="2402"/>
    <x v="5"/>
    <x v="6"/>
    <n v="2"/>
    <n v="2924.37"/>
    <n v="5848.74"/>
    <x v="1"/>
    <n v="5848.74"/>
    <x v="214"/>
    <x v="5"/>
    <x v="0"/>
    <n v="461.83"/>
  </r>
  <r>
    <n v="3445"/>
    <x v="2403"/>
    <x v="3"/>
    <x v="23"/>
    <n v="4"/>
    <n v="973.52"/>
    <n v="3894.08"/>
    <x v="1"/>
    <n v="3894.08"/>
    <x v="327"/>
    <x v="4"/>
    <x v="0"/>
    <n v="2406.66"/>
  </r>
  <r>
    <n v="3446"/>
    <x v="2404"/>
    <x v="4"/>
    <x v="4"/>
    <n v="3"/>
    <n v="4758.24"/>
    <n v="14274.72"/>
    <x v="99"/>
    <n v="7280.1071999999995"/>
    <x v="435"/>
    <x v="2"/>
    <x v="0"/>
    <n v="2863.66"/>
  </r>
  <r>
    <n v="3447"/>
    <x v="2405"/>
    <x v="1"/>
    <x v="1"/>
    <n v="4"/>
    <n v="4762.62"/>
    <n v="19050.48"/>
    <x v="1"/>
    <n v="19050.48"/>
    <x v="321"/>
    <x v="4"/>
    <x v="1"/>
    <n v="1483.83"/>
  </r>
  <r>
    <n v="3448"/>
    <x v="2406"/>
    <x v="0"/>
    <x v="0"/>
    <n v="3"/>
    <m/>
    <n v="0"/>
    <x v="1"/>
    <n v="0"/>
    <x v="42"/>
    <x v="1"/>
    <x v="0"/>
    <n v="734.88"/>
  </r>
  <r>
    <n v="3449"/>
    <x v="2407"/>
    <x v="5"/>
    <x v="6"/>
    <n v="4"/>
    <n v="803.79"/>
    <n v="3215.16"/>
    <x v="1"/>
    <n v="3215.16"/>
    <x v="427"/>
    <x v="5"/>
    <x v="0"/>
    <n v="2948.6"/>
  </r>
  <r>
    <n v="3450"/>
    <x v="2408"/>
    <x v="4"/>
    <x v="14"/>
    <n v="2"/>
    <m/>
    <n v="0"/>
    <x v="106"/>
    <n v="0"/>
    <x v="359"/>
    <x v="2"/>
    <x v="0"/>
    <n v="1339.05"/>
  </r>
  <r>
    <n v="3451"/>
    <x v="2409"/>
    <x v="4"/>
    <x v="16"/>
    <n v="-2"/>
    <n v="2339.36"/>
    <n v="-4678.72"/>
    <x v="90"/>
    <n v="-3041.1680000000001"/>
    <x v="246"/>
    <x v="3"/>
    <x v="1"/>
    <n v="-5.05"/>
  </r>
  <r>
    <n v="3452"/>
    <x v="2410"/>
    <x v="2"/>
    <x v="17"/>
    <n v="2"/>
    <n v="2562.4699999999998"/>
    <n v="5124.9399999999996"/>
    <x v="1"/>
    <n v="5124.9399999999996"/>
    <x v="144"/>
    <x v="4"/>
    <x v="1"/>
    <n v="-883.82"/>
  </r>
  <r>
    <n v="3453"/>
    <x v="2411"/>
    <x v="3"/>
    <x v="21"/>
    <n v="2"/>
    <n v="4213.8500000000004"/>
    <n v="8427.7000000000007"/>
    <x v="1"/>
    <n v="8427.7000000000007"/>
    <x v="270"/>
    <x v="0"/>
    <x v="0"/>
    <n v="-209.3"/>
  </r>
  <r>
    <n v="3454"/>
    <x v="2412"/>
    <x v="3"/>
    <x v="21"/>
    <n v="6"/>
    <n v="1987.62"/>
    <n v="11925.72"/>
    <x v="1"/>
    <n v="11925.72"/>
    <x v="475"/>
    <x v="4"/>
    <x v="1"/>
    <n v="1184.77"/>
  </r>
  <r>
    <n v="3455"/>
    <x v="2413"/>
    <x v="5"/>
    <x v="6"/>
    <n v="2"/>
    <m/>
    <n v="0"/>
    <x v="1"/>
    <n v="0"/>
    <x v="4"/>
    <x v="3"/>
    <x v="0"/>
    <n v="382.53"/>
  </r>
  <r>
    <n v="3456"/>
    <x v="2414"/>
    <x v="4"/>
    <x v="8"/>
    <n v="2"/>
    <m/>
    <n v="0"/>
    <x v="1"/>
    <n v="0"/>
    <x v="4"/>
    <x v="0"/>
    <x v="0"/>
    <n v="-695.67"/>
  </r>
  <r>
    <n v="3457"/>
    <x v="2415"/>
    <x v="3"/>
    <x v="23"/>
    <n v="2"/>
    <n v="983.84"/>
    <n v="1967.68"/>
    <x v="55"/>
    <n v="196.76799999999997"/>
    <x v="356"/>
    <x v="0"/>
    <x v="0"/>
    <n v="254.71"/>
  </r>
  <r>
    <n v="1013"/>
    <x v="2416"/>
    <x v="2"/>
    <x v="13"/>
    <n v="6"/>
    <m/>
    <n v="0"/>
    <x v="10"/>
    <n v="0"/>
    <x v="517"/>
    <x v="4"/>
    <x v="0"/>
    <n v="-270.22000000000003"/>
  </r>
  <r>
    <n v="3459"/>
    <x v="2417"/>
    <x v="4"/>
    <x v="8"/>
    <n v="2"/>
    <m/>
    <n v="0"/>
    <x v="1"/>
    <n v="0"/>
    <x v="4"/>
    <x v="5"/>
    <x v="1"/>
    <n v="1284.57"/>
  </r>
  <r>
    <n v="3460"/>
    <x v="2418"/>
    <x v="0"/>
    <x v="5"/>
    <n v="3"/>
    <m/>
    <n v="0"/>
    <x v="1"/>
    <n v="0"/>
    <x v="4"/>
    <x v="3"/>
    <x v="0"/>
    <n v="-266.63"/>
  </r>
  <r>
    <n v="3461"/>
    <x v="2419"/>
    <x v="5"/>
    <x v="11"/>
    <n v="2"/>
    <m/>
    <n v="0"/>
    <x v="1"/>
    <n v="0"/>
    <x v="207"/>
    <x v="1"/>
    <x v="1"/>
    <n v="2059.2399999999998"/>
  </r>
  <r>
    <n v="3462"/>
    <x v="2420"/>
    <x v="3"/>
    <x v="7"/>
    <n v="2"/>
    <n v="3607.23"/>
    <n v="7214.46"/>
    <x v="1"/>
    <n v="7214.46"/>
    <x v="553"/>
    <x v="4"/>
    <x v="0"/>
    <n v="2531.75"/>
  </r>
  <r>
    <n v="3463"/>
    <x v="2421"/>
    <x v="3"/>
    <x v="7"/>
    <n v="6"/>
    <n v="1139.77"/>
    <n v="6838.62"/>
    <x v="1"/>
    <n v="6838.62"/>
    <x v="4"/>
    <x v="5"/>
    <x v="0"/>
    <n v="992.89"/>
  </r>
  <r>
    <n v="3464"/>
    <x v="2422"/>
    <x v="0"/>
    <x v="20"/>
    <n v="5"/>
    <m/>
    <n v="0"/>
    <x v="1"/>
    <n v="0"/>
    <x v="4"/>
    <x v="0"/>
    <x v="0"/>
    <n v="2091.3000000000002"/>
  </r>
  <r>
    <n v="3465"/>
    <x v="2423"/>
    <x v="0"/>
    <x v="5"/>
    <n v="-1"/>
    <m/>
    <n v="0"/>
    <x v="5"/>
    <n v="0"/>
    <x v="494"/>
    <x v="4"/>
    <x v="1"/>
    <n v="-288.95999999999998"/>
  </r>
  <r>
    <n v="3466"/>
    <x v="2424"/>
    <x v="0"/>
    <x v="20"/>
    <n v="2"/>
    <n v="4059.53"/>
    <n v="8119.06"/>
    <x v="1"/>
    <n v="8119.06"/>
    <x v="319"/>
    <x v="1"/>
    <x v="1"/>
    <n v="-74.569999999999993"/>
  </r>
  <r>
    <n v="3467"/>
    <x v="2425"/>
    <x v="4"/>
    <x v="16"/>
    <n v="2"/>
    <m/>
    <n v="0"/>
    <x v="1"/>
    <n v="0"/>
    <x v="51"/>
    <x v="3"/>
    <x v="1"/>
    <n v="1246.6199999999999"/>
  </r>
  <r>
    <n v="3468"/>
    <x v="2426"/>
    <x v="5"/>
    <x v="11"/>
    <n v="2"/>
    <m/>
    <n v="0"/>
    <x v="1"/>
    <n v="0"/>
    <x v="4"/>
    <x v="0"/>
    <x v="0"/>
    <n v="287.33"/>
  </r>
  <r>
    <n v="3469"/>
    <x v="2427"/>
    <x v="4"/>
    <x v="14"/>
    <n v="2"/>
    <n v="2932.58"/>
    <n v="5865.16"/>
    <x v="45"/>
    <n v="-1524.9416000000001"/>
    <x v="62"/>
    <x v="3"/>
    <x v="1"/>
    <n v="333.94"/>
  </r>
  <r>
    <n v="3470"/>
    <x v="2428"/>
    <x v="3"/>
    <x v="3"/>
    <n v="2"/>
    <m/>
    <n v="0"/>
    <x v="1"/>
    <n v="0"/>
    <x v="560"/>
    <x v="0"/>
    <x v="0"/>
    <n v="1387.75"/>
  </r>
  <r>
    <n v="3471"/>
    <x v="2429"/>
    <x v="1"/>
    <x v="18"/>
    <n v="6"/>
    <m/>
    <n v="0"/>
    <x v="1"/>
    <n v="0"/>
    <x v="311"/>
    <x v="2"/>
    <x v="1"/>
    <n v="-673.81"/>
  </r>
  <r>
    <n v="3472"/>
    <x v="2430"/>
    <x v="5"/>
    <x v="6"/>
    <n v="2"/>
    <m/>
    <n v="0"/>
    <x v="126"/>
    <n v="0"/>
    <x v="4"/>
    <x v="2"/>
    <x v="0"/>
    <n v="-898.19"/>
  </r>
  <r>
    <n v="3473"/>
    <x v="2431"/>
    <x v="3"/>
    <x v="3"/>
    <n v="1"/>
    <m/>
    <n v="0"/>
    <x v="6"/>
    <n v="0"/>
    <x v="322"/>
    <x v="2"/>
    <x v="1"/>
    <n v="287.25"/>
  </r>
  <r>
    <n v="3474"/>
    <x v="2432"/>
    <x v="2"/>
    <x v="13"/>
    <n v="2"/>
    <n v="3494.86"/>
    <n v="6989.72"/>
    <x v="1"/>
    <n v="6989.72"/>
    <x v="4"/>
    <x v="2"/>
    <x v="0"/>
    <n v="-76.849999999999994"/>
  </r>
  <r>
    <n v="3475"/>
    <x v="2433"/>
    <x v="1"/>
    <x v="15"/>
    <n v="2"/>
    <n v="2185.83"/>
    <n v="4371.66"/>
    <x v="77"/>
    <n v="3803.3442"/>
    <x v="4"/>
    <x v="2"/>
    <x v="1"/>
    <n v="714.12"/>
  </r>
  <r>
    <n v="3476"/>
    <x v="2434"/>
    <x v="5"/>
    <x v="11"/>
    <n v="2"/>
    <n v="4804.91"/>
    <n v="9609.82"/>
    <x v="1"/>
    <n v="9609.82"/>
    <x v="247"/>
    <x v="0"/>
    <x v="0"/>
    <n v="407.85"/>
  </r>
  <r>
    <n v="3477"/>
    <x v="2435"/>
    <x v="5"/>
    <x v="12"/>
    <n v="2"/>
    <m/>
    <n v="0"/>
    <x v="92"/>
    <n v="0"/>
    <x v="4"/>
    <x v="2"/>
    <x v="0"/>
    <n v="292.83"/>
  </r>
  <r>
    <n v="3478"/>
    <x v="2436"/>
    <x v="1"/>
    <x v="18"/>
    <n v="2"/>
    <m/>
    <n v="0"/>
    <x v="1"/>
    <n v="0"/>
    <x v="561"/>
    <x v="5"/>
    <x v="1"/>
    <n v="2602.44"/>
  </r>
  <r>
    <n v="3479"/>
    <x v="2437"/>
    <x v="1"/>
    <x v="22"/>
    <n v="2"/>
    <n v="2858.94"/>
    <n v="5717.88"/>
    <x v="7"/>
    <n v="-1086.3971999999997"/>
    <x v="420"/>
    <x v="2"/>
    <x v="0"/>
    <n v="-262.73"/>
  </r>
  <r>
    <n v="3480"/>
    <x v="2438"/>
    <x v="2"/>
    <x v="10"/>
    <n v="2"/>
    <m/>
    <n v="0"/>
    <x v="103"/>
    <n v="0"/>
    <x v="4"/>
    <x v="5"/>
    <x v="0"/>
    <n v="1553.3"/>
  </r>
  <r>
    <n v="3481"/>
    <x v="2439"/>
    <x v="0"/>
    <x v="5"/>
    <n v="2"/>
    <m/>
    <n v="0"/>
    <x v="1"/>
    <n v="0"/>
    <x v="120"/>
    <x v="3"/>
    <x v="0"/>
    <n v="-38.119999999999997"/>
  </r>
  <r>
    <n v="3482"/>
    <x v="2440"/>
    <x v="3"/>
    <x v="21"/>
    <n v="-2"/>
    <n v="1169.8900000000001"/>
    <n v="-2339.7800000000002"/>
    <x v="1"/>
    <n v="-2339.7800000000002"/>
    <x v="4"/>
    <x v="5"/>
    <x v="0"/>
    <n v="161.94999999999999"/>
  </r>
  <r>
    <n v="1030"/>
    <x v="2441"/>
    <x v="4"/>
    <x v="16"/>
    <n v="3"/>
    <m/>
    <n v="0"/>
    <x v="1"/>
    <n v="0"/>
    <x v="4"/>
    <x v="4"/>
    <x v="1"/>
    <n v="1528.52"/>
  </r>
  <r>
    <n v="3484"/>
    <x v="2442"/>
    <x v="4"/>
    <x v="16"/>
    <n v="2"/>
    <m/>
    <n v="0"/>
    <x v="1"/>
    <n v="0"/>
    <x v="4"/>
    <x v="5"/>
    <x v="0"/>
    <n v="237.05"/>
  </r>
  <r>
    <n v="3485"/>
    <x v="2443"/>
    <x v="3"/>
    <x v="21"/>
    <n v="2"/>
    <n v="2951.53"/>
    <n v="5903.06"/>
    <x v="1"/>
    <n v="5903.06"/>
    <x v="31"/>
    <x v="5"/>
    <x v="0"/>
    <n v="-492.53"/>
  </r>
  <r>
    <n v="3486"/>
    <x v="2444"/>
    <x v="4"/>
    <x v="14"/>
    <n v="-2"/>
    <m/>
    <n v="0"/>
    <x v="1"/>
    <n v="0"/>
    <x v="4"/>
    <x v="4"/>
    <x v="0"/>
    <n v="-439.26"/>
  </r>
  <r>
    <n v="3487"/>
    <x v="2445"/>
    <x v="4"/>
    <x v="4"/>
    <n v="5"/>
    <n v="1683.74"/>
    <n v="8418.7000000000007"/>
    <x v="39"/>
    <n v="3535.8540000000007"/>
    <x v="395"/>
    <x v="3"/>
    <x v="0"/>
    <n v="419.44"/>
  </r>
  <r>
    <n v="3488"/>
    <x v="2446"/>
    <x v="3"/>
    <x v="21"/>
    <n v="2"/>
    <n v="3029.54"/>
    <n v="6059.08"/>
    <x v="1"/>
    <n v="6059.08"/>
    <x v="99"/>
    <x v="2"/>
    <x v="0"/>
    <n v="2537.46"/>
  </r>
  <r>
    <n v="3489"/>
    <x v="2447"/>
    <x v="1"/>
    <x v="15"/>
    <n v="2"/>
    <n v="599.07000000000005"/>
    <n v="1198.1400000000001"/>
    <x v="6"/>
    <n v="1018.4190000000001"/>
    <x v="4"/>
    <x v="0"/>
    <x v="1"/>
    <n v="1962.34"/>
  </r>
  <r>
    <n v="3490"/>
    <x v="2448"/>
    <x v="5"/>
    <x v="19"/>
    <n v="2"/>
    <n v="2784.76"/>
    <n v="5569.52"/>
    <x v="92"/>
    <n v="779.73280000000011"/>
    <x v="162"/>
    <x v="4"/>
    <x v="0"/>
    <n v="1373.37"/>
  </r>
  <r>
    <n v="3491"/>
    <x v="2449"/>
    <x v="0"/>
    <x v="5"/>
    <n v="2"/>
    <n v="4126.3900000000003"/>
    <n v="8252.7800000000007"/>
    <x v="1"/>
    <n v="8252.7800000000007"/>
    <x v="106"/>
    <x v="2"/>
    <x v="1"/>
    <n v="638.9"/>
  </r>
  <r>
    <n v="3492"/>
    <x v="2450"/>
    <x v="0"/>
    <x v="20"/>
    <n v="2"/>
    <n v="3084.73"/>
    <n v="6169.46"/>
    <x v="92"/>
    <n v="863.72440000000006"/>
    <x v="4"/>
    <x v="2"/>
    <x v="0"/>
    <n v="2534.3200000000002"/>
  </r>
  <r>
    <n v="3493"/>
    <x v="2451"/>
    <x v="5"/>
    <x v="6"/>
    <n v="5"/>
    <n v="2935.56"/>
    <n v="14677.8"/>
    <x v="1"/>
    <n v="14677.8"/>
    <x v="208"/>
    <x v="0"/>
    <x v="0"/>
    <n v="-410.86"/>
  </r>
  <r>
    <n v="3494"/>
    <x v="2452"/>
    <x v="0"/>
    <x v="0"/>
    <n v="0"/>
    <m/>
    <n v="0"/>
    <x v="1"/>
    <n v="0"/>
    <x v="4"/>
    <x v="1"/>
    <x v="0"/>
    <n v="-219.82"/>
  </r>
  <r>
    <n v="3495"/>
    <x v="2453"/>
    <x v="4"/>
    <x v="8"/>
    <n v="2"/>
    <n v="848.79"/>
    <n v="1697.58"/>
    <x v="1"/>
    <n v="1697.58"/>
    <x v="4"/>
    <x v="2"/>
    <x v="0"/>
    <n v="2259"/>
  </r>
  <r>
    <n v="3496"/>
    <x v="2454"/>
    <x v="2"/>
    <x v="2"/>
    <n v="4"/>
    <m/>
    <n v="0"/>
    <x v="1"/>
    <n v="0"/>
    <x v="315"/>
    <x v="4"/>
    <x v="1"/>
    <n v="2232.98"/>
  </r>
  <r>
    <n v="3497"/>
    <x v="2455"/>
    <x v="1"/>
    <x v="15"/>
    <n v="2"/>
    <n v="3389.24"/>
    <n v="6778.48"/>
    <x v="22"/>
    <n v="-406.70880000000034"/>
    <x v="4"/>
    <x v="1"/>
    <x v="0"/>
    <n v="1955.31"/>
  </r>
  <r>
    <n v="3498"/>
    <x v="2456"/>
    <x v="0"/>
    <x v="9"/>
    <n v="5"/>
    <n v="3844.19"/>
    <n v="19220.95"/>
    <x v="1"/>
    <n v="19220.95"/>
    <x v="448"/>
    <x v="4"/>
    <x v="0"/>
    <n v="2967"/>
  </r>
  <r>
    <n v="3499"/>
    <x v="2457"/>
    <x v="4"/>
    <x v="16"/>
    <n v="6"/>
    <n v="1239.75"/>
    <n v="7438.5"/>
    <x v="1"/>
    <n v="7438.5"/>
    <x v="4"/>
    <x v="2"/>
    <x v="0"/>
    <n v="715.1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x v="0"/>
    <s v="Slim Fit Jeans"/>
    <n v="4"/>
    <n v="842"/>
    <n v="3368"/>
    <n v="0.6"/>
    <n v="1347.2"/>
    <x v="0"/>
    <s v="Delhi"/>
    <s v="B2C"/>
    <n v="2137.4499999999998"/>
  </r>
  <r>
    <x v="1"/>
    <x v="0"/>
    <s v="Slim Fit Jeans"/>
    <n v="1"/>
    <m/>
    <n v="0"/>
    <m/>
    <n v="0"/>
    <x v="1"/>
    <s v="Ahmedabad"/>
    <s v="B2C"/>
    <n v="1588.15"/>
  </r>
  <r>
    <x v="2"/>
    <x v="1"/>
    <s v="Puffer Coat"/>
    <n v="1"/>
    <n v="637.82000000000005"/>
    <n v="637.82000000000005"/>
    <m/>
    <n v="637.82000000000005"/>
    <x v="2"/>
    <s v="Mumbai"/>
    <s v="B2B"/>
    <n v="-158.03"/>
  </r>
  <r>
    <x v="3"/>
    <x v="2"/>
    <s v="Loafers"/>
    <n v="2"/>
    <n v="2962.27"/>
    <n v="5924.54"/>
    <m/>
    <n v="5924.54"/>
    <x v="3"/>
    <s v="Bangalore"/>
    <s v="B2B"/>
    <n v="2296.5"/>
  </r>
  <r>
    <x v="4"/>
    <x v="3"/>
    <s v="Belts"/>
    <n v="1"/>
    <n v="2881.07"/>
    <n v="2881.07"/>
    <n v="0.27"/>
    <n v="2103.1811000000002"/>
    <x v="4"/>
    <s v="NaviMumbai"/>
    <s v="B2C"/>
    <n v="63.66"/>
  </r>
  <r>
    <x v="5"/>
    <x v="4"/>
    <s v="Crop Top"/>
    <n v="2"/>
    <m/>
    <n v="0"/>
    <m/>
    <n v="0"/>
    <x v="5"/>
    <s v="Mumbai"/>
    <s v="B2B"/>
    <n v="1477.73"/>
  </r>
  <r>
    <x v="6"/>
    <x v="0"/>
    <s v="Boyfriend Jeans"/>
    <n v="1"/>
    <n v="2060.85"/>
    <n v="2060.85"/>
    <m/>
    <n v="2060.85"/>
    <x v="6"/>
    <s v="Ahmedabad"/>
    <s v="B2B"/>
    <n v="198.36"/>
  </r>
  <r>
    <x v="7"/>
    <x v="5"/>
    <s v="Casual Midi"/>
    <n v="2"/>
    <n v="3669.56"/>
    <n v="7339.12"/>
    <m/>
    <n v="7339.12"/>
    <x v="4"/>
    <s v="Bangalore"/>
    <s v="B2C"/>
    <n v="2490.0100000000002"/>
  </r>
  <r>
    <x v="8"/>
    <x v="3"/>
    <s v="Sunglasses"/>
    <n v="2"/>
    <m/>
    <n v="0"/>
    <m/>
    <n v="0"/>
    <x v="4"/>
    <s v="Ahmedabad"/>
    <s v="B2C"/>
    <n v="-886.8"/>
  </r>
  <r>
    <x v="9"/>
    <x v="4"/>
    <s v="Oversized T-shirt"/>
    <n v="5"/>
    <m/>
    <n v="0"/>
    <m/>
    <n v="0"/>
    <x v="7"/>
    <s v="Bangalore"/>
    <s v="B2B"/>
    <n v="-972.73"/>
  </r>
  <r>
    <x v="10"/>
    <x v="4"/>
    <s v="Crop Top"/>
    <n v="0"/>
    <n v="4007.02"/>
    <n v="0"/>
    <m/>
    <n v="0"/>
    <x v="4"/>
    <s v="Pune"/>
    <s v="B2B"/>
    <n v="-950.38"/>
  </r>
  <r>
    <x v="11"/>
    <x v="3"/>
    <s v="Belts"/>
    <n v="0"/>
    <m/>
    <n v="0"/>
    <m/>
    <n v="0"/>
    <x v="8"/>
    <s v="Delhi"/>
    <s v="B2C"/>
    <n v="1370.67"/>
  </r>
  <r>
    <x v="12"/>
    <x v="0"/>
    <s v="Straight Cut"/>
    <n v="4"/>
    <m/>
    <n v="0"/>
    <n v="0.21"/>
    <n v="0"/>
    <x v="9"/>
    <s v="Ahmedabad"/>
    <s v="B2C"/>
    <n v="843.61"/>
  </r>
  <r>
    <x v="13"/>
    <x v="4"/>
    <s v="Crop Top"/>
    <n v="2"/>
    <m/>
    <n v="0"/>
    <n v="0.62"/>
    <n v="0"/>
    <x v="4"/>
    <s v="Pune"/>
    <s v="B2C"/>
    <n v="1279.58"/>
  </r>
  <r>
    <x v="14"/>
    <x v="2"/>
    <s v="Loafers"/>
    <n v="4"/>
    <m/>
    <n v="0"/>
    <m/>
    <n v="0"/>
    <x v="10"/>
    <s v="NaviMumbai"/>
    <s v="B2C"/>
    <n v="-889.25"/>
  </r>
  <r>
    <x v="15"/>
    <x v="2"/>
    <s v="Sneakers"/>
    <n v="6"/>
    <m/>
    <n v="0"/>
    <m/>
    <n v="0"/>
    <x v="4"/>
    <s v="Ahmedabad"/>
    <s v="B2C"/>
    <n v="793.8"/>
  </r>
  <r>
    <x v="16"/>
    <x v="4"/>
    <s v="Crop Top"/>
    <n v="2"/>
    <m/>
    <n v="0"/>
    <m/>
    <n v="0"/>
    <x v="11"/>
    <s v="NaviMumbai"/>
    <s v="B2B"/>
    <n v="1881.89"/>
  </r>
  <r>
    <x v="17"/>
    <x v="4"/>
    <s v="Oversized T-shirt"/>
    <n v="3"/>
    <n v="468.53"/>
    <n v="1405.59"/>
    <m/>
    <n v="1405.59"/>
    <x v="4"/>
    <s v="Mumbai"/>
    <s v="B2B"/>
    <n v="-195.65"/>
  </r>
  <r>
    <x v="18"/>
    <x v="5"/>
    <s v="Maxi Dress"/>
    <n v="4"/>
    <m/>
    <n v="0"/>
    <m/>
    <n v="0"/>
    <x v="12"/>
    <s v="Bangalore"/>
    <s v="B2C"/>
    <n v="2102.56"/>
  </r>
  <r>
    <x v="19"/>
    <x v="5"/>
    <s v="Casual Midi"/>
    <n v="2"/>
    <n v="4064.4"/>
    <n v="8128.8"/>
    <n v="0.7"/>
    <n v="2438.6400000000003"/>
    <x v="13"/>
    <s v="Ahmedabad"/>
    <s v="B2C"/>
    <n v="877.21"/>
  </r>
  <r>
    <x v="20"/>
    <x v="0"/>
    <s v="Boyfriend Jeans"/>
    <n v="1"/>
    <m/>
    <n v="0"/>
    <m/>
    <n v="0"/>
    <x v="14"/>
    <s v="Pune"/>
    <s v="B2B"/>
    <n v="669.75"/>
  </r>
  <r>
    <x v="21"/>
    <x v="5"/>
    <s v="Wrap Dress"/>
    <n v="2"/>
    <m/>
    <n v="0"/>
    <m/>
    <n v="0"/>
    <x v="15"/>
    <s v="Bangalore"/>
    <s v="B2B"/>
    <n v="-705.72"/>
  </r>
  <r>
    <x v="22"/>
    <x v="5"/>
    <s v="Wrap Dress"/>
    <n v="2"/>
    <n v="1872.05"/>
    <n v="3744.1"/>
    <n v="0.15"/>
    <n v="3182.4849999999997"/>
    <x v="8"/>
    <s v="Pune"/>
    <s v="B2C"/>
    <n v="-863.9"/>
  </r>
  <r>
    <x v="23"/>
    <x v="2"/>
    <s v="Slip-ons"/>
    <n v="2"/>
    <m/>
    <n v="0"/>
    <m/>
    <n v="0"/>
    <x v="4"/>
    <s v="Mumbai"/>
    <s v="B2C"/>
    <n v="-875.51"/>
  </r>
  <r>
    <x v="24"/>
    <x v="1"/>
    <s v="Puffer Coat"/>
    <n v="-2"/>
    <m/>
    <n v="0"/>
    <n v="1.19"/>
    <n v="0"/>
    <x v="16"/>
    <s v="Delhi"/>
    <s v="B2B"/>
    <n v="491.1"/>
  </r>
  <r>
    <x v="25"/>
    <x v="0"/>
    <s v="Straight Cut"/>
    <n v="4"/>
    <n v="4595.08"/>
    <n v="18380.32"/>
    <m/>
    <n v="18380.32"/>
    <x v="17"/>
    <s v="Bangalore"/>
    <s v="B2C"/>
    <n v="330.82"/>
  </r>
  <r>
    <x v="26"/>
    <x v="3"/>
    <s v="Sunglasses"/>
    <n v="2"/>
    <m/>
    <n v="0"/>
    <m/>
    <n v="0"/>
    <x v="18"/>
    <s v="Ahmedabad"/>
    <s v="B2B"/>
    <n v="-194.77"/>
  </r>
  <r>
    <x v="27"/>
    <x v="3"/>
    <s v="Belts"/>
    <n v="1"/>
    <m/>
    <n v="0"/>
    <m/>
    <n v="0"/>
    <x v="4"/>
    <s v="NaviMumbai"/>
    <s v="B2B"/>
    <n v="1085.3599999999999"/>
  </r>
  <r>
    <x v="28"/>
    <x v="4"/>
    <s v="Classic Tee"/>
    <n v="-2"/>
    <m/>
    <n v="0"/>
    <m/>
    <n v="0"/>
    <x v="4"/>
    <s v="NaviMumbai"/>
    <s v="B2B"/>
    <n v="2060.0300000000002"/>
  </r>
  <r>
    <x v="29"/>
    <x v="4"/>
    <s v="Classic Tee"/>
    <n v="4"/>
    <m/>
    <n v="0"/>
    <m/>
    <n v="0"/>
    <x v="4"/>
    <s v="Mumbai"/>
    <s v="B2C"/>
    <n v="1737.92"/>
  </r>
  <r>
    <x v="30"/>
    <x v="5"/>
    <s v="Maxi Dress"/>
    <n v="3"/>
    <n v="1069.77"/>
    <n v="3209.31"/>
    <m/>
    <n v="3209.31"/>
    <x v="19"/>
    <s v="NaviMumbai"/>
    <s v="B2C"/>
    <n v="1155.3800000000001"/>
  </r>
  <r>
    <x v="31"/>
    <x v="5"/>
    <s v="Wrap Dress"/>
    <n v="4"/>
    <m/>
    <n v="0"/>
    <m/>
    <n v="0"/>
    <x v="20"/>
    <s v="Bangalore"/>
    <s v="B2B"/>
    <n v="-960.24"/>
  </r>
  <r>
    <x v="32"/>
    <x v="0"/>
    <s v="Boyfriend Jeans"/>
    <n v="2"/>
    <n v="2182.0100000000002"/>
    <n v="4364.0200000000004"/>
    <m/>
    <n v="4364.0200000000004"/>
    <x v="21"/>
    <s v="Delhi"/>
    <s v="B2C"/>
    <n v="1377.61"/>
  </r>
  <r>
    <x v="33"/>
    <x v="0"/>
    <s v="Straight Cut"/>
    <n v="2"/>
    <m/>
    <n v="0"/>
    <m/>
    <n v="0"/>
    <x v="22"/>
    <s v="NaviMumbai"/>
    <s v="B2B"/>
    <n v="903.69"/>
  </r>
  <r>
    <x v="34"/>
    <x v="1"/>
    <s v="Puffer Coat"/>
    <n v="0"/>
    <n v="4449.3599999999997"/>
    <n v="0"/>
    <n v="0.94"/>
    <n v="0"/>
    <x v="23"/>
    <s v="Delhi"/>
    <s v="B2B"/>
    <n v="-282.68"/>
  </r>
  <r>
    <x v="35"/>
    <x v="1"/>
    <s v="Bomber Jacket"/>
    <n v="-1"/>
    <m/>
    <n v="0"/>
    <n v="0.94"/>
    <n v="0"/>
    <x v="4"/>
    <s v="Ahmedabad"/>
    <s v="B2C"/>
    <n v="-199.18"/>
  </r>
  <r>
    <x v="36"/>
    <x v="4"/>
    <s v="Graphic Tee"/>
    <n v="-2"/>
    <n v="2721.83"/>
    <n v="-5443.66"/>
    <m/>
    <n v="-5443.66"/>
    <x v="24"/>
    <s v="Ahmedabad"/>
    <s v="B2B"/>
    <n v="1213.95"/>
  </r>
  <r>
    <x v="37"/>
    <x v="3"/>
    <s v="Sunglasses"/>
    <n v="2"/>
    <m/>
    <n v="0"/>
    <n v="1.1000000000000001"/>
    <n v="0"/>
    <x v="4"/>
    <s v="Ahmedabad"/>
    <s v="B2B"/>
    <n v="907.77"/>
  </r>
  <r>
    <x v="38"/>
    <x v="4"/>
    <s v="Crop Top"/>
    <n v="3"/>
    <n v="1692.38"/>
    <n v="5077.1400000000003"/>
    <m/>
    <n v="5077.1400000000003"/>
    <x v="25"/>
    <s v="Bangalore"/>
    <s v="B2C"/>
    <n v="1704.49"/>
  </r>
  <r>
    <x v="39"/>
    <x v="2"/>
    <s v="Boots"/>
    <n v="2"/>
    <n v="1372.16"/>
    <n v="2744.32"/>
    <n v="0.56000000000000005"/>
    <n v="1207.5008"/>
    <x v="26"/>
    <s v="NaviMumbai"/>
    <s v="B2C"/>
    <n v="1626.51"/>
  </r>
  <r>
    <x v="40"/>
    <x v="1"/>
    <s v="Denim Jacket"/>
    <n v="2"/>
    <m/>
    <n v="0"/>
    <m/>
    <n v="0"/>
    <x v="27"/>
    <s v="Ahmedabad"/>
    <s v="B2C"/>
    <n v="693.6"/>
  </r>
  <r>
    <x v="41"/>
    <x v="1"/>
    <s v="Puffer Coat"/>
    <n v="2"/>
    <m/>
    <n v="0"/>
    <m/>
    <n v="0"/>
    <x v="28"/>
    <s v="Ahmedabad"/>
    <s v="B2C"/>
    <n v="-983.06"/>
  </r>
  <r>
    <x v="42"/>
    <x v="5"/>
    <s v="Bodycon"/>
    <n v="2"/>
    <m/>
    <n v="0"/>
    <m/>
    <n v="0"/>
    <x v="29"/>
    <s v="Pune"/>
    <s v="B2C"/>
    <n v="283.39"/>
  </r>
  <r>
    <x v="43"/>
    <x v="4"/>
    <s v="Graphic Tee"/>
    <n v="2"/>
    <n v="4575.93"/>
    <n v="9151.86"/>
    <n v="0.56000000000000005"/>
    <n v="4026.8183999999997"/>
    <x v="30"/>
    <s v="Ahmedabad"/>
    <s v="B2C"/>
    <n v="442.14"/>
  </r>
  <r>
    <x v="44"/>
    <x v="4"/>
    <s v="Classic Tee"/>
    <n v="2"/>
    <m/>
    <n v="0"/>
    <m/>
    <n v="0"/>
    <x v="31"/>
    <s v="Bangalore"/>
    <s v="B2B"/>
    <n v="-80.23"/>
  </r>
  <r>
    <x v="45"/>
    <x v="3"/>
    <s v="Sunglasses"/>
    <n v="2"/>
    <n v="3477.16"/>
    <n v="6954.32"/>
    <m/>
    <n v="6954.32"/>
    <x v="32"/>
    <s v="NaviMumbai"/>
    <s v="B2B"/>
    <n v="1323.75"/>
  </r>
  <r>
    <x v="46"/>
    <x v="0"/>
    <s v="Slim Fit Jeans"/>
    <n v="-1"/>
    <n v="2441.92"/>
    <n v="-2441.92"/>
    <n v="0.92"/>
    <n v="-195.35359999999991"/>
    <x v="4"/>
    <s v="Delhi"/>
    <s v="B2C"/>
    <n v="1004.91"/>
  </r>
  <r>
    <x v="47"/>
    <x v="0"/>
    <s v="Straight Cut"/>
    <n v="3"/>
    <m/>
    <n v="0"/>
    <m/>
    <n v="0"/>
    <x v="33"/>
    <s v="NaviMumbai"/>
    <s v="B2C"/>
    <n v="-395.76"/>
  </r>
  <r>
    <x v="48"/>
    <x v="0"/>
    <s v="Straight Cut"/>
    <n v="5"/>
    <m/>
    <n v="0"/>
    <n v="0.41"/>
    <n v="0"/>
    <x v="34"/>
    <s v="Delhi"/>
    <s v="B2C"/>
    <n v="2409.2600000000002"/>
  </r>
  <r>
    <x v="49"/>
    <x v="4"/>
    <s v="Graphic Tee"/>
    <n v="2"/>
    <m/>
    <n v="0"/>
    <m/>
    <n v="0"/>
    <x v="4"/>
    <s v="Mumbai"/>
    <s v="B2C"/>
    <n v="19.87"/>
  </r>
  <r>
    <x v="50"/>
    <x v="0"/>
    <s v="Slim Fit Jeans"/>
    <n v="-1"/>
    <n v="1083.1600000000001"/>
    <n v="-1083.1600000000001"/>
    <m/>
    <n v="-1083.1600000000001"/>
    <x v="35"/>
    <s v="Pune"/>
    <s v="B2C"/>
    <n v="2904.29"/>
  </r>
  <r>
    <x v="51"/>
    <x v="0"/>
    <s v="Boyfriend Jeans"/>
    <n v="2"/>
    <m/>
    <n v="0"/>
    <n v="0.56999999999999995"/>
    <n v="0"/>
    <x v="36"/>
    <s v="Delhi"/>
    <s v="B2C"/>
    <n v="2857.9"/>
  </r>
  <r>
    <x v="52"/>
    <x v="0"/>
    <s v="Ripped Denim"/>
    <n v="2"/>
    <n v="3252.49"/>
    <n v="6504.98"/>
    <n v="0.56000000000000005"/>
    <n v="2862.1911999999993"/>
    <x v="37"/>
    <s v="Bangalore"/>
    <s v="B2C"/>
    <n v="-11.15"/>
  </r>
  <r>
    <x v="53"/>
    <x v="5"/>
    <s v="Maxi Dress"/>
    <n v="2"/>
    <n v="714.23"/>
    <n v="1428.46"/>
    <n v="1.29"/>
    <n v="-414.25340000000006"/>
    <x v="38"/>
    <s v="Delhi"/>
    <s v="B2C"/>
    <n v="1057.24"/>
  </r>
  <r>
    <x v="54"/>
    <x v="4"/>
    <s v="Classic Tee"/>
    <n v="2"/>
    <m/>
    <n v="0"/>
    <m/>
    <n v="0"/>
    <x v="39"/>
    <s v="Pune"/>
    <s v="B2C"/>
    <n v="1002.96"/>
  </r>
  <r>
    <x v="55"/>
    <x v="0"/>
    <s v="Boyfriend Jeans"/>
    <n v="0"/>
    <m/>
    <n v="0"/>
    <m/>
    <n v="0"/>
    <x v="40"/>
    <s v="Pune"/>
    <s v="B2B"/>
    <n v="1374.9"/>
  </r>
  <r>
    <x v="56"/>
    <x v="3"/>
    <s v="Sunglasses"/>
    <n v="6"/>
    <m/>
    <n v="0"/>
    <m/>
    <n v="0"/>
    <x v="41"/>
    <s v="Mumbai"/>
    <s v="B2C"/>
    <n v="-343.36"/>
  </r>
  <r>
    <x v="57"/>
    <x v="1"/>
    <s v="Puffer Coat"/>
    <n v="4"/>
    <m/>
    <n v="0"/>
    <n v="0.04"/>
    <n v="0"/>
    <x v="42"/>
    <s v="Pune"/>
    <s v="B2C"/>
    <n v="1725.76"/>
  </r>
  <r>
    <x v="58"/>
    <x v="4"/>
    <s v="Oversized T-shirt"/>
    <n v="2"/>
    <n v="3982.53"/>
    <n v="7965.06"/>
    <n v="1.08"/>
    <n v="-637.20480000000055"/>
    <x v="43"/>
    <s v="Pune"/>
    <s v="B2C"/>
    <n v="1912.49"/>
  </r>
  <r>
    <x v="59"/>
    <x v="0"/>
    <s v="Boyfriend Jeans"/>
    <n v="0"/>
    <n v="2927.57"/>
    <n v="0"/>
    <n v="0.19"/>
    <n v="0"/>
    <x v="4"/>
    <s v="Delhi"/>
    <s v="B2C"/>
    <n v="2218.42"/>
  </r>
  <r>
    <x v="60"/>
    <x v="0"/>
    <s v="Ripped Denim"/>
    <n v="2"/>
    <n v="2813.51"/>
    <n v="5627.02"/>
    <m/>
    <n v="5627.02"/>
    <x v="44"/>
    <s v="Pune"/>
    <s v="B2C"/>
    <n v="94.96"/>
  </r>
  <r>
    <x v="61"/>
    <x v="3"/>
    <s v="Belts"/>
    <n v="2"/>
    <n v="2291.15"/>
    <n v="4582.3"/>
    <n v="0.33"/>
    <n v="3070.1409999999996"/>
    <x v="45"/>
    <s v="Mumbai"/>
    <s v="B2B"/>
    <n v="2536.3000000000002"/>
  </r>
  <r>
    <x v="62"/>
    <x v="0"/>
    <s v="Ripped Denim"/>
    <n v="-1"/>
    <m/>
    <n v="0"/>
    <m/>
    <n v="0"/>
    <x v="4"/>
    <s v="Pune"/>
    <s v="B2C"/>
    <n v="328.72"/>
  </r>
  <r>
    <x v="63"/>
    <x v="4"/>
    <s v="Graphic Tee"/>
    <n v="1"/>
    <m/>
    <n v="0"/>
    <m/>
    <n v="0"/>
    <x v="46"/>
    <s v="Bangalore"/>
    <s v="B2C"/>
    <n v="2147.75"/>
  </r>
  <r>
    <x v="64"/>
    <x v="1"/>
    <s v="Denim Jacket"/>
    <n v="2"/>
    <m/>
    <n v="0"/>
    <n v="1.3"/>
    <n v="0"/>
    <x v="4"/>
    <s v="Bangalore"/>
    <s v="B2C"/>
    <n v="-901.74"/>
  </r>
  <r>
    <x v="65"/>
    <x v="0"/>
    <s v="Boyfriend Jeans"/>
    <n v="5"/>
    <m/>
    <n v="0"/>
    <m/>
    <n v="0"/>
    <x v="47"/>
    <s v="Bangalore"/>
    <s v="B2C"/>
    <n v="2316.9699999999998"/>
  </r>
  <r>
    <x v="66"/>
    <x v="2"/>
    <s v="Slip-ons"/>
    <n v="-2"/>
    <n v="3479.44"/>
    <n v="-6958.88"/>
    <m/>
    <n v="-6958.88"/>
    <x v="48"/>
    <s v="Delhi"/>
    <s v="B2C"/>
    <n v="-252.78"/>
  </r>
  <r>
    <x v="67"/>
    <x v="5"/>
    <s v="Casual Midi"/>
    <n v="2"/>
    <n v="3945.25"/>
    <n v="7890.5"/>
    <m/>
    <n v="7890.5"/>
    <x v="49"/>
    <s v="Bangalore"/>
    <s v="B2B"/>
    <n v="305.55"/>
  </r>
  <r>
    <x v="68"/>
    <x v="5"/>
    <s v="Wrap Dress"/>
    <n v="4"/>
    <n v="2765.26"/>
    <n v="11061.04"/>
    <m/>
    <n v="11061.04"/>
    <x v="4"/>
    <s v="Ahmedabad"/>
    <s v="B2C"/>
    <n v="1719.9"/>
  </r>
  <r>
    <x v="69"/>
    <x v="3"/>
    <s v="Watches"/>
    <n v="2"/>
    <n v="2102.02"/>
    <n v="4204.04"/>
    <n v="1.1299999999999999"/>
    <n v="-546.52519999999959"/>
    <x v="50"/>
    <s v="Delhi"/>
    <s v="B2B"/>
    <n v="-992.61"/>
  </r>
  <r>
    <x v="70"/>
    <x v="1"/>
    <s v="Leather Jacket"/>
    <n v="5"/>
    <m/>
    <n v="0"/>
    <m/>
    <n v="0"/>
    <x v="51"/>
    <s v="NaviMumbai"/>
    <s v="B2B"/>
    <n v="1383.48"/>
  </r>
  <r>
    <x v="71"/>
    <x v="3"/>
    <s v="Sunglasses"/>
    <n v="2"/>
    <n v="1000.76"/>
    <n v="2001.52"/>
    <m/>
    <n v="2001.52"/>
    <x v="4"/>
    <s v="Delhi"/>
    <s v="B2B"/>
    <n v="2131.4299999999998"/>
  </r>
  <r>
    <x v="72"/>
    <x v="5"/>
    <s v="Maxi Dress"/>
    <n v="2"/>
    <m/>
    <n v="0"/>
    <m/>
    <n v="0"/>
    <x v="4"/>
    <s v="Bangalore"/>
    <s v="B2C"/>
    <n v="2878.09"/>
  </r>
  <r>
    <x v="73"/>
    <x v="0"/>
    <s v="Straight Cut"/>
    <n v="-2"/>
    <m/>
    <n v="0"/>
    <n v="0.18"/>
    <n v="0"/>
    <x v="4"/>
    <s v="Pune"/>
    <s v="B2C"/>
    <n v="368.69"/>
  </r>
  <r>
    <x v="74"/>
    <x v="5"/>
    <s v="Casual Midi"/>
    <n v="-2"/>
    <m/>
    <n v="0"/>
    <n v="1.06"/>
    <n v="0"/>
    <x v="21"/>
    <s v="NaviMumbai"/>
    <s v="B2C"/>
    <n v="192.91"/>
  </r>
  <r>
    <x v="75"/>
    <x v="4"/>
    <s v="Crop Top"/>
    <n v="2"/>
    <n v="795.85"/>
    <n v="1591.7"/>
    <m/>
    <n v="1591.7"/>
    <x v="4"/>
    <s v="Pune"/>
    <s v="B2B"/>
    <n v="2418.8000000000002"/>
  </r>
  <r>
    <x v="76"/>
    <x v="4"/>
    <s v="Oversized T-shirt"/>
    <n v="2"/>
    <m/>
    <n v="0"/>
    <m/>
    <n v="0"/>
    <x v="52"/>
    <s v="Bangalore"/>
    <s v="B2C"/>
    <n v="1408.61"/>
  </r>
  <r>
    <x v="77"/>
    <x v="4"/>
    <s v="Oversized T-shirt"/>
    <n v="2"/>
    <m/>
    <n v="0"/>
    <m/>
    <n v="0"/>
    <x v="53"/>
    <s v="NaviMumbai"/>
    <s v="B2B"/>
    <n v="902.52"/>
  </r>
  <r>
    <x v="78"/>
    <x v="1"/>
    <s v="Leather Jacket"/>
    <n v="2"/>
    <n v="4059.56"/>
    <n v="8119.12"/>
    <m/>
    <n v="8119.12"/>
    <x v="54"/>
    <s v="Pune"/>
    <s v="B2C"/>
    <n v="-819.94"/>
  </r>
  <r>
    <x v="79"/>
    <x v="4"/>
    <s v="Classic Tee"/>
    <n v="2"/>
    <m/>
    <n v="0"/>
    <m/>
    <n v="0"/>
    <x v="4"/>
    <s v="NaviMumbai"/>
    <s v="B2B"/>
    <n v="-22.55"/>
  </r>
  <r>
    <x v="80"/>
    <x v="4"/>
    <s v="Crop Top"/>
    <n v="2"/>
    <n v="3872.22"/>
    <n v="7744.44"/>
    <n v="1.1499999999999999"/>
    <n v="-1161.6659999999993"/>
    <x v="4"/>
    <s v="Mumbai"/>
    <s v="B2C"/>
    <n v="-302.97000000000003"/>
  </r>
  <r>
    <x v="81"/>
    <x v="0"/>
    <s v="Boyfriend Jeans"/>
    <n v="6"/>
    <n v="4798.0600000000004"/>
    <n v="28788.36"/>
    <n v="0.81"/>
    <n v="5469.7883999999985"/>
    <x v="4"/>
    <s v="NaviMumbai"/>
    <s v="B2B"/>
    <n v="-361.78"/>
  </r>
  <r>
    <x v="82"/>
    <x v="5"/>
    <s v="Bodycon"/>
    <n v="0"/>
    <m/>
    <n v="0"/>
    <m/>
    <n v="0"/>
    <x v="4"/>
    <s v="Bangalore"/>
    <s v="B2B"/>
    <n v="712.91"/>
  </r>
  <r>
    <x v="83"/>
    <x v="1"/>
    <s v="Bomber Jacket"/>
    <n v="1"/>
    <m/>
    <n v="0"/>
    <n v="1.28"/>
    <n v="0"/>
    <x v="4"/>
    <s v="Pune"/>
    <s v="B2B"/>
    <n v="-612.62"/>
  </r>
  <r>
    <x v="84"/>
    <x v="2"/>
    <s v="Loafers"/>
    <n v="2"/>
    <m/>
    <n v="0"/>
    <n v="0.53"/>
    <n v="0"/>
    <x v="55"/>
    <s v="Pune"/>
    <s v="B2B"/>
    <n v="2458.0700000000002"/>
  </r>
  <r>
    <x v="85"/>
    <x v="2"/>
    <s v="Slip-ons"/>
    <n v="2"/>
    <m/>
    <n v="0"/>
    <n v="0.02"/>
    <n v="0"/>
    <x v="56"/>
    <s v="Pune"/>
    <s v="B2B"/>
    <n v="264.73"/>
  </r>
  <r>
    <x v="86"/>
    <x v="3"/>
    <s v="Sunglasses"/>
    <n v="2"/>
    <n v="948.33"/>
    <n v="1896.66"/>
    <n v="0.46"/>
    <n v="1024.1964"/>
    <x v="57"/>
    <s v="Bangalore"/>
    <s v="B2C"/>
    <n v="-865.22"/>
  </r>
  <r>
    <x v="87"/>
    <x v="0"/>
    <s v="Ripped Denim"/>
    <n v="2"/>
    <n v="1976.75"/>
    <n v="3953.5"/>
    <n v="0.81"/>
    <n v="751.16499999999974"/>
    <x v="35"/>
    <s v="Mumbai"/>
    <s v="B2C"/>
    <n v="2790.95"/>
  </r>
  <r>
    <x v="88"/>
    <x v="3"/>
    <s v="Caps"/>
    <n v="2"/>
    <n v="3891.14"/>
    <n v="7782.28"/>
    <m/>
    <n v="7782.28"/>
    <x v="58"/>
    <s v="Pune"/>
    <s v="B2C"/>
    <n v="1374.27"/>
  </r>
  <r>
    <x v="89"/>
    <x v="2"/>
    <s v="Slip-ons"/>
    <n v="2"/>
    <n v="1412.17"/>
    <n v="2824.34"/>
    <n v="0.88"/>
    <n v="338.92079999999999"/>
    <x v="59"/>
    <s v="Mumbai"/>
    <s v="B2C"/>
    <n v="-355.26"/>
  </r>
  <r>
    <x v="90"/>
    <x v="2"/>
    <s v="Slip-ons"/>
    <n v="5"/>
    <n v="2477.8200000000002"/>
    <n v="12389.1"/>
    <m/>
    <n v="12389.1"/>
    <x v="60"/>
    <s v="Ahmedabad"/>
    <s v="B2C"/>
    <n v="-888.86"/>
  </r>
  <r>
    <x v="91"/>
    <x v="3"/>
    <s v="Belts"/>
    <n v="1"/>
    <m/>
    <n v="0"/>
    <m/>
    <n v="0"/>
    <x v="61"/>
    <s v="Delhi"/>
    <s v="B2C"/>
    <n v="156.43"/>
  </r>
  <r>
    <x v="92"/>
    <x v="5"/>
    <s v="Bodycon"/>
    <n v="2"/>
    <m/>
    <n v="0"/>
    <m/>
    <n v="0"/>
    <x v="4"/>
    <s v="Pune"/>
    <s v="B2C"/>
    <n v="1122.6600000000001"/>
  </r>
  <r>
    <x v="93"/>
    <x v="5"/>
    <s v="Bodycon"/>
    <n v="-2"/>
    <m/>
    <n v="0"/>
    <m/>
    <n v="0"/>
    <x v="62"/>
    <s v="Bangalore"/>
    <s v="B2B"/>
    <n v="2966.76"/>
  </r>
  <r>
    <x v="94"/>
    <x v="1"/>
    <s v="Denim Jacket"/>
    <n v="-1"/>
    <n v="4741.41"/>
    <n v="-4741.41"/>
    <m/>
    <n v="-4741.41"/>
    <x v="4"/>
    <s v="Mumbai"/>
    <s v="B2C"/>
    <n v="1901.7"/>
  </r>
  <r>
    <x v="95"/>
    <x v="3"/>
    <s v="Belts"/>
    <n v="2"/>
    <m/>
    <n v="0"/>
    <m/>
    <n v="0"/>
    <x v="63"/>
    <s v="Mumbai"/>
    <s v="B2C"/>
    <n v="1539.59"/>
  </r>
  <r>
    <x v="96"/>
    <x v="3"/>
    <s v="Belts"/>
    <n v="2"/>
    <n v="421.92"/>
    <n v="843.84"/>
    <m/>
    <n v="843.84"/>
    <x v="4"/>
    <s v="NaviMumbai"/>
    <s v="B2C"/>
    <n v="2969.19"/>
  </r>
  <r>
    <x v="97"/>
    <x v="3"/>
    <s v="Sunglasses"/>
    <n v="0"/>
    <m/>
    <n v="0"/>
    <m/>
    <n v="0"/>
    <x v="64"/>
    <s v="Mumbai"/>
    <s v="B2C"/>
    <n v="1141.1500000000001"/>
  </r>
  <r>
    <x v="98"/>
    <x v="3"/>
    <s v="Caps"/>
    <n v="0"/>
    <n v="4752.04"/>
    <n v="0"/>
    <m/>
    <n v="0"/>
    <x v="65"/>
    <s v="Ahmedabad"/>
    <s v="B2C"/>
    <n v="129.37"/>
  </r>
  <r>
    <x v="99"/>
    <x v="2"/>
    <s v="Loafers"/>
    <n v="2"/>
    <m/>
    <n v="0"/>
    <m/>
    <n v="0"/>
    <x v="66"/>
    <s v="Pune"/>
    <s v="B2B"/>
    <n v="300.02"/>
  </r>
  <r>
    <x v="100"/>
    <x v="2"/>
    <s v="Boots"/>
    <n v="2"/>
    <n v="2011.73"/>
    <n v="4023.46"/>
    <m/>
    <n v="4023.46"/>
    <x v="67"/>
    <s v="NaviMumbai"/>
    <s v="B2C"/>
    <n v="2493.5"/>
  </r>
  <r>
    <x v="101"/>
    <x v="0"/>
    <s v="Boyfriend Jeans"/>
    <n v="2"/>
    <m/>
    <n v="0"/>
    <n v="0.22"/>
    <n v="0"/>
    <x v="68"/>
    <s v="Pune"/>
    <s v="B2C"/>
    <n v="2962.73"/>
  </r>
  <r>
    <x v="102"/>
    <x v="0"/>
    <s v="Boyfriend Jeans"/>
    <n v="5"/>
    <m/>
    <n v="0"/>
    <m/>
    <n v="0"/>
    <x v="69"/>
    <s v="NaviMumbai"/>
    <s v="B2C"/>
    <n v="2776.7"/>
  </r>
  <r>
    <x v="103"/>
    <x v="5"/>
    <s v="Bodycon"/>
    <n v="5"/>
    <n v="1521.46"/>
    <n v="7607.3"/>
    <m/>
    <n v="7607.3"/>
    <x v="70"/>
    <s v="Bangalore"/>
    <s v="B2B"/>
    <n v="1713.47"/>
  </r>
  <r>
    <x v="104"/>
    <x v="5"/>
    <s v="Maxi Dress"/>
    <n v="3"/>
    <n v="2752.71"/>
    <n v="8258.130000000001"/>
    <m/>
    <n v="8258.130000000001"/>
    <x v="71"/>
    <s v="Ahmedabad"/>
    <s v="B2B"/>
    <n v="1660.01"/>
  </r>
  <r>
    <x v="105"/>
    <x v="5"/>
    <s v="Maxi Dress"/>
    <n v="-2"/>
    <m/>
    <n v="0"/>
    <m/>
    <n v="0"/>
    <x v="4"/>
    <s v="Ahmedabad"/>
    <s v="B2B"/>
    <n v="616.04"/>
  </r>
  <r>
    <x v="106"/>
    <x v="0"/>
    <s v="Boyfriend Jeans"/>
    <n v="3"/>
    <m/>
    <n v="0"/>
    <m/>
    <n v="0"/>
    <x v="72"/>
    <s v="Pune"/>
    <s v="B2C"/>
    <n v="53.28"/>
  </r>
  <r>
    <x v="107"/>
    <x v="0"/>
    <s v="Straight Cut"/>
    <n v="2"/>
    <n v="4948"/>
    <n v="9896"/>
    <m/>
    <n v="9896"/>
    <x v="4"/>
    <s v="Delhi"/>
    <s v="B2C"/>
    <n v="1064.8599999999999"/>
  </r>
  <r>
    <x v="108"/>
    <x v="0"/>
    <s v="Straight Cut"/>
    <n v="1"/>
    <n v="4601.4399999999996"/>
    <n v="4601.4399999999996"/>
    <m/>
    <n v="4601.4399999999996"/>
    <x v="73"/>
    <s v="Mumbai"/>
    <s v="B2C"/>
    <n v="2145.66"/>
  </r>
  <r>
    <x v="109"/>
    <x v="0"/>
    <s v="Ripped Denim"/>
    <n v="2"/>
    <m/>
    <n v="0"/>
    <m/>
    <n v="0"/>
    <x v="74"/>
    <s v="NaviMumbai"/>
    <s v="B2C"/>
    <n v="2133.58"/>
  </r>
  <r>
    <x v="110"/>
    <x v="0"/>
    <s v="Slim Fit Jeans"/>
    <n v="4"/>
    <m/>
    <n v="0"/>
    <m/>
    <n v="0"/>
    <x v="75"/>
    <s v="Mumbai"/>
    <s v="B2C"/>
    <n v="2155.6799999999998"/>
  </r>
  <r>
    <x v="111"/>
    <x v="4"/>
    <s v="Classic Tee"/>
    <n v="2"/>
    <m/>
    <n v="0"/>
    <m/>
    <n v="0"/>
    <x v="4"/>
    <s v="Ahmedabad"/>
    <s v="B2C"/>
    <n v="748.93"/>
  </r>
  <r>
    <x v="112"/>
    <x v="5"/>
    <s v="Casual Midi"/>
    <n v="2"/>
    <n v="1027.56"/>
    <n v="2055.12"/>
    <m/>
    <n v="2055.12"/>
    <x v="4"/>
    <s v="Mumbai"/>
    <s v="B2C"/>
    <n v="1160.17"/>
  </r>
  <r>
    <x v="113"/>
    <x v="1"/>
    <s v="Puffer Coat"/>
    <n v="2"/>
    <n v="3864.5"/>
    <n v="7729"/>
    <m/>
    <n v="7729"/>
    <x v="4"/>
    <s v="Ahmedabad"/>
    <s v="B2C"/>
    <n v="-763.23"/>
  </r>
  <r>
    <x v="114"/>
    <x v="5"/>
    <s v="Bodycon"/>
    <n v="6"/>
    <n v="568.61"/>
    <n v="3411.66"/>
    <n v="0.2"/>
    <n v="2729.328"/>
    <x v="76"/>
    <s v="Delhi"/>
    <s v="B2C"/>
    <n v="-689.16"/>
  </r>
  <r>
    <x v="115"/>
    <x v="3"/>
    <s v="Belts"/>
    <n v="2"/>
    <m/>
    <n v="0"/>
    <m/>
    <n v="0"/>
    <x v="3"/>
    <s v="Ahmedabad"/>
    <s v="B2C"/>
    <n v="-624.26"/>
  </r>
  <r>
    <x v="116"/>
    <x v="1"/>
    <s v="Bomber Jacket"/>
    <n v="1"/>
    <m/>
    <n v="0"/>
    <m/>
    <n v="0"/>
    <x v="77"/>
    <s v="Delhi"/>
    <s v="B2C"/>
    <n v="1733.04"/>
  </r>
  <r>
    <x v="117"/>
    <x v="1"/>
    <s v="Puffer Coat"/>
    <n v="2"/>
    <n v="3567.55"/>
    <n v="7135.1"/>
    <m/>
    <n v="7135.1"/>
    <x v="4"/>
    <s v="Bangalore"/>
    <s v="B2C"/>
    <n v="-455.6"/>
  </r>
  <r>
    <x v="118"/>
    <x v="3"/>
    <s v="Belts"/>
    <n v="2"/>
    <m/>
    <n v="0"/>
    <m/>
    <n v="0"/>
    <x v="78"/>
    <s v="Bangalore"/>
    <s v="B2C"/>
    <n v="1039.53"/>
  </r>
  <r>
    <x v="119"/>
    <x v="0"/>
    <s v="Ripped Denim"/>
    <n v="2"/>
    <m/>
    <n v="0"/>
    <m/>
    <n v="0"/>
    <x v="79"/>
    <s v="Mumbai"/>
    <s v="B2C"/>
    <n v="142.69"/>
  </r>
  <r>
    <x v="120"/>
    <x v="1"/>
    <s v="Puffer Coat"/>
    <n v="2"/>
    <n v="4709"/>
    <n v="9418"/>
    <m/>
    <n v="9418"/>
    <x v="80"/>
    <s v="Ahmedabad"/>
    <s v="B2C"/>
    <n v="828.98"/>
  </r>
  <r>
    <x v="121"/>
    <x v="2"/>
    <s v="Boots"/>
    <n v="2"/>
    <n v="4109.6000000000004"/>
    <n v="8219.2000000000007"/>
    <n v="0.42"/>
    <n v="4767.1360000000013"/>
    <x v="4"/>
    <s v="Pune"/>
    <s v="B2C"/>
    <n v="1422.36"/>
  </r>
  <r>
    <x v="122"/>
    <x v="1"/>
    <s v="Bomber Jacket"/>
    <n v="0"/>
    <n v="4745.03"/>
    <n v="0"/>
    <n v="0.4"/>
    <n v="0"/>
    <x v="4"/>
    <s v="Mumbai"/>
    <s v="B2C"/>
    <n v="2658.02"/>
  </r>
  <r>
    <x v="123"/>
    <x v="3"/>
    <s v="Caps"/>
    <n v="5"/>
    <n v="3978.76"/>
    <n v="19893.800000000003"/>
    <m/>
    <n v="19893.800000000003"/>
    <x v="81"/>
    <s v="Ahmedabad"/>
    <s v="B2C"/>
    <n v="1494.78"/>
  </r>
  <r>
    <x v="124"/>
    <x v="1"/>
    <s v="Puffer Coat"/>
    <n v="1"/>
    <m/>
    <n v="0"/>
    <m/>
    <n v="0"/>
    <x v="82"/>
    <s v="Ahmedabad"/>
    <s v="B2B"/>
    <n v="2513.75"/>
  </r>
  <r>
    <x v="125"/>
    <x v="2"/>
    <s v="Boots"/>
    <n v="-2"/>
    <m/>
    <n v="0"/>
    <m/>
    <n v="0"/>
    <x v="4"/>
    <s v="Delhi"/>
    <s v="B2C"/>
    <n v="-754.58"/>
  </r>
  <r>
    <x v="126"/>
    <x v="0"/>
    <s v="Boyfriend Jeans"/>
    <n v="2"/>
    <m/>
    <n v="0"/>
    <n v="0.59"/>
    <n v="0"/>
    <x v="4"/>
    <s v="Pune"/>
    <s v="B2C"/>
    <n v="1820.2"/>
  </r>
  <r>
    <x v="127"/>
    <x v="5"/>
    <s v="Bodycon"/>
    <n v="3"/>
    <n v="4843.4399999999996"/>
    <n v="14530.32"/>
    <n v="7.0000000000000007E-2"/>
    <n v="13513.1976"/>
    <x v="83"/>
    <s v="Ahmedabad"/>
    <s v="B2B"/>
    <n v="2881.91"/>
  </r>
  <r>
    <x v="128"/>
    <x v="4"/>
    <s v="Oversized T-shirt"/>
    <n v="2"/>
    <m/>
    <n v="0"/>
    <n v="0.43"/>
    <n v="0"/>
    <x v="4"/>
    <s v="NaviMumbai"/>
    <s v="B2C"/>
    <n v="-68.489999999999995"/>
  </r>
  <r>
    <x v="129"/>
    <x v="0"/>
    <s v="Boyfriend Jeans"/>
    <n v="-2"/>
    <n v="2412.36"/>
    <n v="-4824.72"/>
    <n v="0.23"/>
    <n v="-3715.0344000000005"/>
    <x v="84"/>
    <s v="Mumbai"/>
    <s v="B2C"/>
    <n v="-668.36"/>
  </r>
  <r>
    <x v="5"/>
    <x v="3"/>
    <s v="Sunglasses"/>
    <n v="2"/>
    <m/>
    <n v="0"/>
    <m/>
    <n v="0"/>
    <x v="4"/>
    <s v="Delhi"/>
    <s v="B2B"/>
    <n v="2782.45"/>
  </r>
  <r>
    <x v="130"/>
    <x v="4"/>
    <s v="Classic Tee"/>
    <n v="5"/>
    <m/>
    <n v="0"/>
    <n v="0.99"/>
    <n v="0"/>
    <x v="64"/>
    <s v="Delhi"/>
    <s v="B2C"/>
    <n v="-941.56"/>
  </r>
  <r>
    <x v="131"/>
    <x v="1"/>
    <s v="Bomber Jacket"/>
    <n v="2"/>
    <m/>
    <n v="0"/>
    <n v="0.57999999999999996"/>
    <n v="0"/>
    <x v="4"/>
    <s v="Delhi"/>
    <s v="B2B"/>
    <n v="2043.57"/>
  </r>
  <r>
    <x v="132"/>
    <x v="5"/>
    <s v="Casual Midi"/>
    <n v="2"/>
    <m/>
    <n v="0"/>
    <n v="0.6"/>
    <n v="0"/>
    <x v="4"/>
    <s v="Ahmedabad"/>
    <s v="B2C"/>
    <n v="806.19"/>
  </r>
  <r>
    <x v="133"/>
    <x v="5"/>
    <s v="Wrap Dress"/>
    <n v="3"/>
    <m/>
    <n v="0"/>
    <m/>
    <n v="0"/>
    <x v="79"/>
    <s v="Delhi"/>
    <s v="B2C"/>
    <n v="1101.19"/>
  </r>
  <r>
    <x v="134"/>
    <x v="2"/>
    <s v="Sneakers"/>
    <n v="4"/>
    <n v="1556.96"/>
    <n v="6227.84"/>
    <n v="0.84"/>
    <n v="996.45440000000019"/>
    <x v="85"/>
    <s v="Mumbai"/>
    <s v="B2B"/>
    <n v="1432.84"/>
  </r>
  <r>
    <x v="135"/>
    <x v="0"/>
    <s v="Straight Cut"/>
    <n v="2"/>
    <n v="3658.42"/>
    <n v="7316.84"/>
    <n v="0.47"/>
    <n v="3877.9252000000001"/>
    <x v="86"/>
    <s v="Mumbai"/>
    <s v="B2C"/>
    <n v="1897.33"/>
  </r>
  <r>
    <x v="136"/>
    <x v="2"/>
    <s v="Sneakers"/>
    <n v="2"/>
    <n v="4206.0600000000004"/>
    <n v="8412.1200000000008"/>
    <m/>
    <n v="8412.1200000000008"/>
    <x v="87"/>
    <s v="Delhi"/>
    <s v="B2B"/>
    <n v="1161.76"/>
  </r>
  <r>
    <x v="137"/>
    <x v="5"/>
    <s v="Bodycon"/>
    <n v="2"/>
    <m/>
    <n v="0"/>
    <n v="0.26"/>
    <n v="0"/>
    <x v="4"/>
    <s v="NaviMumbai"/>
    <s v="B2C"/>
    <n v="-658.58"/>
  </r>
  <r>
    <x v="138"/>
    <x v="4"/>
    <s v="Graphic Tee"/>
    <n v="2"/>
    <m/>
    <n v="0"/>
    <n v="0.21"/>
    <n v="0"/>
    <x v="88"/>
    <s v="Bangalore"/>
    <s v="B2C"/>
    <n v="-832.45"/>
  </r>
  <r>
    <x v="139"/>
    <x v="3"/>
    <s v="Belts"/>
    <n v="4"/>
    <m/>
    <n v="0"/>
    <m/>
    <n v="0"/>
    <x v="89"/>
    <s v="NaviMumbai"/>
    <s v="B2B"/>
    <n v="-127.91"/>
  </r>
  <r>
    <x v="140"/>
    <x v="4"/>
    <s v="Graphic Tee"/>
    <n v="2"/>
    <m/>
    <n v="0"/>
    <n v="1.1499999999999999"/>
    <n v="0"/>
    <x v="90"/>
    <s v="Delhi"/>
    <s v="B2C"/>
    <n v="429.67"/>
  </r>
  <r>
    <x v="141"/>
    <x v="5"/>
    <s v="Bodycon"/>
    <n v="6"/>
    <n v="3004.58"/>
    <n v="18027.48"/>
    <m/>
    <n v="18027.48"/>
    <x v="66"/>
    <s v="NaviMumbai"/>
    <s v="B2C"/>
    <n v="-509.67"/>
  </r>
  <r>
    <x v="142"/>
    <x v="1"/>
    <s v="Denim Jacket"/>
    <n v="2"/>
    <m/>
    <n v="0"/>
    <m/>
    <n v="0"/>
    <x v="80"/>
    <s v="Bangalore"/>
    <s v="B2C"/>
    <n v="816.49"/>
  </r>
  <r>
    <x v="143"/>
    <x v="0"/>
    <s v="Slim Fit Jeans"/>
    <n v="2"/>
    <m/>
    <n v="0"/>
    <n v="0.19"/>
    <n v="0"/>
    <x v="4"/>
    <s v="Mumbai"/>
    <s v="B2C"/>
    <n v="2966.21"/>
  </r>
  <r>
    <x v="144"/>
    <x v="4"/>
    <s v="Graphic Tee"/>
    <n v="-2"/>
    <n v="3607.9"/>
    <n v="-7215.8"/>
    <n v="0.94"/>
    <n v="-432.94800000000038"/>
    <x v="91"/>
    <s v="NaviMumbai"/>
    <s v="B2B"/>
    <n v="-171.58"/>
  </r>
  <r>
    <x v="145"/>
    <x v="3"/>
    <s v="Belts"/>
    <n v="2"/>
    <m/>
    <n v="0"/>
    <n v="1.0900000000000001"/>
    <n v="0"/>
    <x v="92"/>
    <s v="Pune"/>
    <s v="B2C"/>
    <n v="-431.7"/>
  </r>
  <r>
    <x v="146"/>
    <x v="5"/>
    <s v="Casual Midi"/>
    <n v="2"/>
    <n v="2875.46"/>
    <n v="5750.92"/>
    <m/>
    <n v="5750.92"/>
    <x v="93"/>
    <s v="Delhi"/>
    <s v="B2B"/>
    <n v="-794.99"/>
  </r>
  <r>
    <x v="147"/>
    <x v="3"/>
    <s v="Belts"/>
    <n v="2"/>
    <n v="2471.48"/>
    <n v="4942.96"/>
    <n v="1.1100000000000001"/>
    <n v="-543.72560000000044"/>
    <x v="94"/>
    <s v="Mumbai"/>
    <s v="B2C"/>
    <n v="2247.9"/>
  </r>
  <r>
    <x v="148"/>
    <x v="5"/>
    <s v="Bodycon"/>
    <n v="2"/>
    <m/>
    <n v="0"/>
    <m/>
    <n v="0"/>
    <x v="95"/>
    <s v="NaviMumbai"/>
    <s v="B2B"/>
    <n v="562.69000000000005"/>
  </r>
  <r>
    <x v="149"/>
    <x v="3"/>
    <s v="Sunglasses"/>
    <n v="2"/>
    <n v="1554.9"/>
    <n v="3109.8"/>
    <m/>
    <n v="3109.8"/>
    <x v="96"/>
    <s v="Ahmedabad"/>
    <s v="B2C"/>
    <n v="457.65"/>
  </r>
  <r>
    <x v="150"/>
    <x v="0"/>
    <s v="Straight Cut"/>
    <n v="4"/>
    <n v="2266.44"/>
    <n v="9065.76"/>
    <n v="0.33"/>
    <n v="6074.0591999999997"/>
    <x v="97"/>
    <s v="Pune"/>
    <s v="B2C"/>
    <n v="-655.45"/>
  </r>
  <r>
    <x v="151"/>
    <x v="2"/>
    <s v="Slip-ons"/>
    <n v="1"/>
    <m/>
    <n v="0"/>
    <n v="1.26"/>
    <n v="0"/>
    <x v="98"/>
    <s v="Pune"/>
    <s v="B2C"/>
    <n v="454.45"/>
  </r>
  <r>
    <x v="152"/>
    <x v="3"/>
    <s v="Belts"/>
    <n v="1"/>
    <n v="478.59"/>
    <n v="478.59"/>
    <m/>
    <n v="478.59"/>
    <x v="99"/>
    <s v="Delhi"/>
    <s v="B2B"/>
    <n v="-681.2"/>
  </r>
  <r>
    <x v="153"/>
    <x v="3"/>
    <s v="Watches"/>
    <n v="2"/>
    <m/>
    <n v="0"/>
    <m/>
    <n v="0"/>
    <x v="100"/>
    <s v="Bangalore"/>
    <s v="B2C"/>
    <n v="52.85"/>
  </r>
  <r>
    <x v="154"/>
    <x v="2"/>
    <s v="Slip-ons"/>
    <n v="2"/>
    <m/>
    <n v="0"/>
    <n v="0.64"/>
    <n v="0"/>
    <x v="101"/>
    <s v="Mumbai"/>
    <s v="B2C"/>
    <n v="2493.12"/>
  </r>
  <r>
    <x v="155"/>
    <x v="5"/>
    <s v="Wrap Dress"/>
    <n v="3"/>
    <m/>
    <n v="0"/>
    <n v="0.93"/>
    <n v="0"/>
    <x v="4"/>
    <s v="Delhi"/>
    <s v="B2C"/>
    <n v="1699.17"/>
  </r>
  <r>
    <x v="156"/>
    <x v="0"/>
    <s v="Ripped Denim"/>
    <n v="6"/>
    <n v="645.03"/>
    <n v="3870.18"/>
    <m/>
    <n v="3870.18"/>
    <x v="102"/>
    <s v="Ahmedabad"/>
    <s v="B2C"/>
    <n v="2724.92"/>
  </r>
  <r>
    <x v="157"/>
    <x v="5"/>
    <s v="Wrap Dress"/>
    <n v="2"/>
    <n v="4516.08"/>
    <n v="9032.16"/>
    <m/>
    <n v="9032.16"/>
    <x v="103"/>
    <s v="Delhi"/>
    <s v="B2B"/>
    <n v="2164.9499999999998"/>
  </r>
  <r>
    <x v="158"/>
    <x v="2"/>
    <s v="Sneakers"/>
    <n v="2"/>
    <n v="3335.18"/>
    <n v="6670.36"/>
    <n v="0.09"/>
    <n v="6070.0276000000003"/>
    <x v="4"/>
    <s v="Ahmedabad"/>
    <s v="B2C"/>
    <n v="235.11"/>
  </r>
  <r>
    <x v="159"/>
    <x v="5"/>
    <s v="Casual Midi"/>
    <n v="0"/>
    <m/>
    <n v="0"/>
    <n v="0.77"/>
    <n v="0"/>
    <x v="104"/>
    <s v="NaviMumbai"/>
    <s v="B2C"/>
    <n v="-711.19"/>
  </r>
  <r>
    <x v="160"/>
    <x v="4"/>
    <s v="Classic Tee"/>
    <n v="2"/>
    <n v="1801.91"/>
    <n v="3603.82"/>
    <m/>
    <n v="3603.82"/>
    <x v="105"/>
    <s v="Mumbai"/>
    <s v="B2C"/>
    <n v="502.86"/>
  </r>
  <r>
    <x v="161"/>
    <x v="2"/>
    <s v="Boots"/>
    <n v="4"/>
    <m/>
    <n v="0"/>
    <n v="0.14000000000000001"/>
    <n v="0"/>
    <x v="106"/>
    <s v="Mumbai"/>
    <s v="B2C"/>
    <n v="2566.0500000000002"/>
  </r>
  <r>
    <x v="162"/>
    <x v="3"/>
    <s v="Sunglasses"/>
    <n v="2"/>
    <n v="1033.58"/>
    <n v="2067.16"/>
    <n v="0.68"/>
    <n v="661.49119999999982"/>
    <x v="107"/>
    <s v="Bangalore"/>
    <s v="B2C"/>
    <n v="-441.46"/>
  </r>
  <r>
    <x v="163"/>
    <x v="3"/>
    <s v="Sunglasses"/>
    <n v="5"/>
    <m/>
    <n v="0"/>
    <m/>
    <n v="0"/>
    <x v="4"/>
    <s v="NaviMumbai"/>
    <s v="B2B"/>
    <n v="598.79"/>
  </r>
  <r>
    <x v="164"/>
    <x v="4"/>
    <s v="Classic Tee"/>
    <n v="2"/>
    <m/>
    <n v="0"/>
    <n v="0.08"/>
    <n v="0"/>
    <x v="108"/>
    <s v="Bangalore"/>
    <s v="B2B"/>
    <n v="-102.32"/>
  </r>
  <r>
    <x v="165"/>
    <x v="1"/>
    <s v="Bomber Jacket"/>
    <n v="2"/>
    <m/>
    <n v="0"/>
    <n v="0.91"/>
    <n v="0"/>
    <x v="109"/>
    <s v="Ahmedabad"/>
    <s v="B2C"/>
    <n v="285.44"/>
  </r>
  <r>
    <x v="166"/>
    <x v="4"/>
    <s v="Oversized T-shirt"/>
    <n v="0"/>
    <n v="4595.8999999999996"/>
    <n v="0"/>
    <n v="0.09"/>
    <n v="0"/>
    <x v="79"/>
    <s v="Bangalore"/>
    <s v="B2C"/>
    <n v="-653.79999999999995"/>
  </r>
  <r>
    <x v="167"/>
    <x v="3"/>
    <s v="Sunglasses"/>
    <n v="0"/>
    <n v="3655.71"/>
    <n v="0"/>
    <n v="0.48"/>
    <n v="0"/>
    <x v="22"/>
    <s v="NaviMumbai"/>
    <s v="B2C"/>
    <n v="2024.15"/>
  </r>
  <r>
    <x v="168"/>
    <x v="4"/>
    <s v="Classic Tee"/>
    <n v="-1"/>
    <n v="2948.26"/>
    <n v="-2948.26"/>
    <n v="0.9"/>
    <n v="-294.82599999999996"/>
    <x v="4"/>
    <s v="Pune"/>
    <s v="B2C"/>
    <n v="1285.1500000000001"/>
  </r>
  <r>
    <x v="169"/>
    <x v="0"/>
    <s v="Straight Cut"/>
    <n v="0"/>
    <m/>
    <n v="0"/>
    <n v="0.76"/>
    <n v="0"/>
    <x v="4"/>
    <s v="Delhi"/>
    <s v="B2C"/>
    <n v="-528.70000000000005"/>
  </r>
  <r>
    <x v="170"/>
    <x v="0"/>
    <s v="Straight Cut"/>
    <n v="1"/>
    <m/>
    <n v="0"/>
    <m/>
    <n v="0"/>
    <x v="110"/>
    <s v="Pune"/>
    <s v="B2B"/>
    <n v="2475.83"/>
  </r>
  <r>
    <x v="171"/>
    <x v="1"/>
    <s v="Puffer Coat"/>
    <n v="-2"/>
    <n v="2719.32"/>
    <n v="-5438.64"/>
    <m/>
    <n v="-5438.64"/>
    <x v="74"/>
    <s v="NaviMumbai"/>
    <s v="B2C"/>
    <n v="655.1"/>
  </r>
  <r>
    <x v="172"/>
    <x v="0"/>
    <s v="Boyfriend Jeans"/>
    <n v="2"/>
    <n v="4063.39"/>
    <n v="8126.78"/>
    <m/>
    <n v="8126.78"/>
    <x v="4"/>
    <s v="Bangalore"/>
    <s v="B2C"/>
    <n v="2034.39"/>
  </r>
  <r>
    <x v="173"/>
    <x v="1"/>
    <s v="Leather Jacket"/>
    <n v="6"/>
    <n v="4984.6499999999996"/>
    <n v="29907.899999999998"/>
    <n v="0.42"/>
    <n v="17346.582000000002"/>
    <x v="42"/>
    <s v="Bangalore"/>
    <s v="B2C"/>
    <n v="2931.32"/>
  </r>
  <r>
    <x v="174"/>
    <x v="5"/>
    <s v="Casual Midi"/>
    <n v="3"/>
    <m/>
    <n v="0"/>
    <m/>
    <n v="0"/>
    <x v="111"/>
    <s v="Ahmedabad"/>
    <s v="B2C"/>
    <n v="728.61"/>
  </r>
  <r>
    <x v="175"/>
    <x v="0"/>
    <s v="Boyfriend Jeans"/>
    <n v="6"/>
    <m/>
    <n v="0"/>
    <n v="0.87"/>
    <n v="0"/>
    <x v="4"/>
    <s v="Mumbai"/>
    <s v="B2B"/>
    <n v="-879.15"/>
  </r>
  <r>
    <x v="176"/>
    <x v="0"/>
    <s v="Straight Cut"/>
    <n v="2"/>
    <n v="2426.13"/>
    <n v="4852.26"/>
    <m/>
    <n v="4852.26"/>
    <x v="112"/>
    <s v="Ahmedabad"/>
    <s v="B2C"/>
    <n v="353.91"/>
  </r>
  <r>
    <x v="177"/>
    <x v="4"/>
    <s v="Crop Top"/>
    <n v="4"/>
    <n v="1204.5899999999999"/>
    <n v="4818.3599999999997"/>
    <m/>
    <n v="4818.3599999999997"/>
    <x v="4"/>
    <s v="NaviMumbai"/>
    <s v="B2C"/>
    <n v="2161.64"/>
  </r>
  <r>
    <x v="178"/>
    <x v="1"/>
    <s v="Bomber Jacket"/>
    <n v="0"/>
    <m/>
    <n v="0"/>
    <m/>
    <n v="0"/>
    <x v="113"/>
    <s v="Mumbai"/>
    <s v="B2C"/>
    <n v="510.53"/>
  </r>
  <r>
    <x v="179"/>
    <x v="5"/>
    <s v="Bodycon"/>
    <n v="6"/>
    <n v="2495.96"/>
    <n v="14975.76"/>
    <m/>
    <n v="14975.76"/>
    <x v="4"/>
    <s v="NaviMumbai"/>
    <s v="B2C"/>
    <n v="835.4"/>
  </r>
  <r>
    <x v="180"/>
    <x v="1"/>
    <s v="Bomber Jacket"/>
    <n v="2"/>
    <m/>
    <n v="0"/>
    <m/>
    <n v="0"/>
    <x v="57"/>
    <s v="Mumbai"/>
    <s v="B2B"/>
    <n v="2564.06"/>
  </r>
  <r>
    <x v="181"/>
    <x v="0"/>
    <s v="Slim Fit Jeans"/>
    <n v="-1"/>
    <m/>
    <n v="0"/>
    <m/>
    <n v="0"/>
    <x v="114"/>
    <s v="Pune"/>
    <s v="B2C"/>
    <n v="-747.25"/>
  </r>
  <r>
    <x v="182"/>
    <x v="3"/>
    <s v="Watches"/>
    <n v="6"/>
    <n v="2372.3000000000002"/>
    <n v="14233.800000000001"/>
    <m/>
    <n v="14233.800000000001"/>
    <x v="115"/>
    <s v="Delhi"/>
    <s v="B2C"/>
    <n v="1888.87"/>
  </r>
  <r>
    <x v="183"/>
    <x v="0"/>
    <s v="Ripped Denim"/>
    <n v="0"/>
    <n v="2697.1"/>
    <n v="0"/>
    <m/>
    <n v="0"/>
    <x v="116"/>
    <s v="Delhi"/>
    <s v="B2B"/>
    <n v="1518.99"/>
  </r>
  <r>
    <x v="184"/>
    <x v="3"/>
    <s v="Belts"/>
    <n v="2"/>
    <m/>
    <n v="0"/>
    <m/>
    <n v="0"/>
    <x v="79"/>
    <s v="Delhi"/>
    <s v="B2C"/>
    <n v="-445.19"/>
  </r>
  <r>
    <x v="185"/>
    <x v="0"/>
    <s v="Boyfriend Jeans"/>
    <n v="6"/>
    <m/>
    <n v="0"/>
    <n v="0.71"/>
    <n v="0"/>
    <x v="33"/>
    <s v="Bangalore"/>
    <s v="B2B"/>
    <n v="-40.479999999999997"/>
  </r>
  <r>
    <x v="186"/>
    <x v="3"/>
    <s v="Belts"/>
    <n v="3"/>
    <n v="3810.89"/>
    <n v="11432.67"/>
    <m/>
    <n v="11432.67"/>
    <x v="4"/>
    <s v="Mumbai"/>
    <s v="B2C"/>
    <n v="1153.72"/>
  </r>
  <r>
    <x v="187"/>
    <x v="3"/>
    <s v="Belts"/>
    <n v="6"/>
    <n v="4910.28"/>
    <n v="29461.68"/>
    <n v="0.12"/>
    <n v="25926.278399999999"/>
    <x v="117"/>
    <s v="Bangalore"/>
    <s v="B2C"/>
    <n v="2089.25"/>
  </r>
  <r>
    <x v="188"/>
    <x v="4"/>
    <s v="Oversized T-shirt"/>
    <n v="2"/>
    <n v="4808.1000000000004"/>
    <n v="9616.2000000000007"/>
    <m/>
    <n v="9616.2000000000007"/>
    <x v="118"/>
    <s v="Ahmedabad"/>
    <s v="B2C"/>
    <n v="392.87"/>
  </r>
  <r>
    <x v="189"/>
    <x v="1"/>
    <s v="Puffer Coat"/>
    <n v="2"/>
    <m/>
    <n v="0"/>
    <n v="0.63"/>
    <n v="0"/>
    <x v="8"/>
    <s v="Pune"/>
    <s v="B2B"/>
    <n v="75.040000000000006"/>
  </r>
  <r>
    <x v="190"/>
    <x v="3"/>
    <s v="Belts"/>
    <n v="2"/>
    <n v="2469.87"/>
    <n v="4939.74"/>
    <n v="0.56000000000000005"/>
    <n v="2173.4855999999995"/>
    <x v="4"/>
    <s v="Mumbai"/>
    <s v="B2C"/>
    <n v="2860.2"/>
  </r>
  <r>
    <x v="191"/>
    <x v="4"/>
    <s v="Crop Top"/>
    <n v="0"/>
    <m/>
    <n v="0"/>
    <m/>
    <n v="0"/>
    <x v="4"/>
    <s v="NaviMumbai"/>
    <s v="B2C"/>
    <n v="2709.47"/>
  </r>
  <r>
    <x v="192"/>
    <x v="5"/>
    <s v="Casual Midi"/>
    <n v="2"/>
    <n v="3031.06"/>
    <n v="6062.12"/>
    <m/>
    <n v="6062.12"/>
    <x v="119"/>
    <s v="Pune"/>
    <s v="B2B"/>
    <n v="-682.74"/>
  </r>
  <r>
    <x v="193"/>
    <x v="3"/>
    <s v="Sunglasses"/>
    <n v="2"/>
    <m/>
    <n v="0"/>
    <m/>
    <n v="0"/>
    <x v="120"/>
    <s v="Ahmedabad"/>
    <s v="B2C"/>
    <n v="1941.65"/>
  </r>
  <r>
    <x v="194"/>
    <x v="5"/>
    <s v="Wrap Dress"/>
    <n v="2"/>
    <m/>
    <n v="0"/>
    <n v="1.2"/>
    <n v="0"/>
    <x v="4"/>
    <s v="Mumbai"/>
    <s v="B2C"/>
    <n v="1059.17"/>
  </r>
  <r>
    <x v="195"/>
    <x v="0"/>
    <s v="Slim Fit Jeans"/>
    <n v="2"/>
    <n v="3959.06"/>
    <n v="7918.12"/>
    <n v="0.37"/>
    <n v="4988.4156000000003"/>
    <x v="79"/>
    <s v="NaviMumbai"/>
    <s v="B2B"/>
    <n v="1539.5"/>
  </r>
  <r>
    <x v="196"/>
    <x v="1"/>
    <s v="Denim Jacket"/>
    <n v="1"/>
    <m/>
    <n v="0"/>
    <m/>
    <n v="0"/>
    <x v="4"/>
    <s v="NaviMumbai"/>
    <s v="B2B"/>
    <n v="650.97"/>
  </r>
  <r>
    <x v="197"/>
    <x v="3"/>
    <s v="Sunglasses"/>
    <n v="3"/>
    <n v="3594.97"/>
    <n v="10784.91"/>
    <m/>
    <n v="10784.91"/>
    <x v="121"/>
    <s v="Delhi"/>
    <s v="B2C"/>
    <n v="2422.27"/>
  </r>
  <r>
    <x v="198"/>
    <x v="2"/>
    <s v="Boots"/>
    <n v="2"/>
    <n v="2317.1"/>
    <n v="4634.2"/>
    <m/>
    <n v="4634.2"/>
    <x v="122"/>
    <s v="Bangalore"/>
    <s v="B2C"/>
    <n v="2637.77"/>
  </r>
  <r>
    <x v="199"/>
    <x v="2"/>
    <s v="Sneakers"/>
    <n v="4"/>
    <m/>
    <n v="0"/>
    <m/>
    <n v="0"/>
    <x v="4"/>
    <s v="NaviMumbai"/>
    <s v="B2C"/>
    <n v="2782.21"/>
  </r>
  <r>
    <x v="200"/>
    <x v="1"/>
    <s v="Bomber Jacket"/>
    <n v="2"/>
    <n v="3507.85"/>
    <n v="7015.7"/>
    <m/>
    <n v="7015.7"/>
    <x v="123"/>
    <s v="Pune"/>
    <s v="B2B"/>
    <n v="1023.04"/>
  </r>
  <r>
    <x v="201"/>
    <x v="3"/>
    <s v="Sunglasses"/>
    <n v="2"/>
    <m/>
    <n v="0"/>
    <m/>
    <n v="0"/>
    <x v="124"/>
    <s v="Bangalore"/>
    <s v="B2C"/>
    <n v="-207.53"/>
  </r>
  <r>
    <x v="202"/>
    <x v="4"/>
    <s v="Crop Top"/>
    <n v="5"/>
    <m/>
    <n v="0"/>
    <m/>
    <n v="0"/>
    <x v="125"/>
    <s v="NaviMumbai"/>
    <s v="B2C"/>
    <n v="657.59"/>
  </r>
  <r>
    <x v="203"/>
    <x v="2"/>
    <s v="Slip-ons"/>
    <n v="2"/>
    <n v="4213.3999999999996"/>
    <n v="8426.7999999999993"/>
    <m/>
    <n v="8426.7999999999993"/>
    <x v="126"/>
    <s v="Pune"/>
    <s v="B2B"/>
    <n v="1867.53"/>
  </r>
  <r>
    <x v="204"/>
    <x v="0"/>
    <s v="Slim Fit Jeans"/>
    <n v="2"/>
    <n v="696.49"/>
    <n v="1392.98"/>
    <m/>
    <n v="1392.98"/>
    <x v="70"/>
    <s v="Delhi"/>
    <s v="B2C"/>
    <n v="-24.51"/>
  </r>
  <r>
    <x v="205"/>
    <x v="4"/>
    <s v="Classic Tee"/>
    <n v="0"/>
    <m/>
    <n v="0"/>
    <m/>
    <n v="0"/>
    <x v="127"/>
    <s v="NaviMumbai"/>
    <s v="B2C"/>
    <n v="2472.2399999999998"/>
  </r>
  <r>
    <x v="206"/>
    <x v="0"/>
    <s v="Straight Cut"/>
    <n v="2"/>
    <n v="563.14"/>
    <n v="1126.28"/>
    <n v="0.33"/>
    <n v="754.60759999999993"/>
    <x v="128"/>
    <s v="Ahmedabad"/>
    <s v="B2B"/>
    <n v="945.7"/>
  </r>
  <r>
    <x v="207"/>
    <x v="1"/>
    <s v="Denim Jacket"/>
    <n v="1"/>
    <m/>
    <n v="0"/>
    <m/>
    <n v="0"/>
    <x v="123"/>
    <s v="Mumbai"/>
    <s v="B2C"/>
    <n v="648.73"/>
  </r>
  <r>
    <x v="208"/>
    <x v="3"/>
    <s v="Watches"/>
    <n v="2"/>
    <n v="4029.87"/>
    <n v="8059.74"/>
    <m/>
    <n v="8059.74"/>
    <x v="107"/>
    <s v="Ahmedabad"/>
    <s v="B2C"/>
    <n v="1447.79"/>
  </r>
  <r>
    <x v="209"/>
    <x v="3"/>
    <s v="Watches"/>
    <n v="4"/>
    <m/>
    <n v="0"/>
    <n v="1.1599999999999999"/>
    <n v="0"/>
    <x v="129"/>
    <s v="Delhi"/>
    <s v="B2C"/>
    <n v="2179.54"/>
  </r>
  <r>
    <x v="210"/>
    <x v="0"/>
    <s v="Ripped Denim"/>
    <n v="2"/>
    <n v="1560.37"/>
    <n v="3120.74"/>
    <m/>
    <n v="3120.74"/>
    <x v="130"/>
    <s v="Ahmedabad"/>
    <s v="B2C"/>
    <n v="2783.91"/>
  </r>
  <r>
    <x v="211"/>
    <x v="2"/>
    <s v="Slip-ons"/>
    <n v="-1"/>
    <n v="4098.12"/>
    <n v="-4098.12"/>
    <m/>
    <n v="-4098.12"/>
    <x v="96"/>
    <s v="NaviMumbai"/>
    <s v="B2C"/>
    <n v="-656.35"/>
  </r>
  <r>
    <x v="212"/>
    <x v="4"/>
    <s v="Classic Tee"/>
    <n v="2"/>
    <m/>
    <n v="0"/>
    <m/>
    <n v="0"/>
    <x v="131"/>
    <s v="Ahmedabad"/>
    <s v="B2C"/>
    <n v="1093.98"/>
  </r>
  <r>
    <x v="213"/>
    <x v="1"/>
    <s v="Leather Jacket"/>
    <n v="4"/>
    <n v="1273.5999999999999"/>
    <n v="5094.3999999999996"/>
    <m/>
    <n v="5094.3999999999996"/>
    <x v="3"/>
    <s v="NaviMumbai"/>
    <s v="B2C"/>
    <n v="1851.89"/>
  </r>
  <r>
    <x v="214"/>
    <x v="4"/>
    <s v="Classic Tee"/>
    <n v="6"/>
    <n v="3802.27"/>
    <n v="22813.62"/>
    <m/>
    <n v="22813.62"/>
    <x v="4"/>
    <s v="Ahmedabad"/>
    <s v="B2C"/>
    <n v="-266.99"/>
  </r>
  <r>
    <x v="215"/>
    <x v="4"/>
    <s v="Classic Tee"/>
    <n v="6"/>
    <m/>
    <n v="0"/>
    <n v="1.17"/>
    <n v="0"/>
    <x v="132"/>
    <s v="Delhi"/>
    <s v="B2B"/>
    <n v="2986.8"/>
  </r>
  <r>
    <x v="216"/>
    <x v="1"/>
    <s v="Denim Jacket"/>
    <n v="3"/>
    <n v="2850.38"/>
    <n v="8551.14"/>
    <m/>
    <n v="8551.14"/>
    <x v="4"/>
    <s v="Delhi"/>
    <s v="B2C"/>
    <n v="17.309999999999999"/>
  </r>
  <r>
    <x v="217"/>
    <x v="5"/>
    <s v="Wrap Dress"/>
    <n v="3"/>
    <n v="1544.45"/>
    <n v="4633.3500000000004"/>
    <n v="0.33"/>
    <n v="3104.3444999999997"/>
    <x v="127"/>
    <s v="NaviMumbai"/>
    <s v="B2B"/>
    <n v="707.56"/>
  </r>
  <r>
    <x v="218"/>
    <x v="0"/>
    <s v="Straight Cut"/>
    <n v="2"/>
    <m/>
    <n v="0"/>
    <m/>
    <n v="0"/>
    <x v="133"/>
    <s v="Bangalore"/>
    <s v="B2C"/>
    <n v="2206"/>
  </r>
  <r>
    <x v="219"/>
    <x v="4"/>
    <s v="Oversized T-shirt"/>
    <n v="2"/>
    <m/>
    <n v="0"/>
    <m/>
    <n v="0"/>
    <x v="132"/>
    <s v="Bangalore"/>
    <s v="B2C"/>
    <n v="1598.22"/>
  </r>
  <r>
    <x v="220"/>
    <x v="3"/>
    <s v="Belts"/>
    <n v="3"/>
    <m/>
    <n v="0"/>
    <m/>
    <n v="0"/>
    <x v="134"/>
    <s v="Mumbai"/>
    <s v="B2B"/>
    <n v="898.67"/>
  </r>
  <r>
    <x v="221"/>
    <x v="4"/>
    <s v="Classic Tee"/>
    <n v="2"/>
    <n v="683.85"/>
    <n v="1367.7"/>
    <m/>
    <n v="1367.7"/>
    <x v="135"/>
    <s v="Pune"/>
    <s v="B2C"/>
    <n v="1489.45"/>
  </r>
  <r>
    <x v="222"/>
    <x v="4"/>
    <s v="Crop Top"/>
    <n v="2"/>
    <m/>
    <n v="0"/>
    <m/>
    <n v="0"/>
    <x v="4"/>
    <s v="NaviMumbai"/>
    <s v="B2B"/>
    <n v="-531.04999999999995"/>
  </r>
  <r>
    <x v="223"/>
    <x v="5"/>
    <s v="Wrap Dress"/>
    <n v="2"/>
    <m/>
    <n v="0"/>
    <m/>
    <n v="0"/>
    <x v="136"/>
    <s v="Ahmedabad"/>
    <s v="B2C"/>
    <n v="2219.56"/>
  </r>
  <r>
    <x v="224"/>
    <x v="2"/>
    <s v="Loafers"/>
    <n v="-1"/>
    <n v="1406.32"/>
    <n v="-1406.32"/>
    <n v="1.05"/>
    <n v="70.316000000000059"/>
    <x v="23"/>
    <s v="Bangalore"/>
    <s v="B2C"/>
    <n v="1937.71"/>
  </r>
  <r>
    <x v="225"/>
    <x v="5"/>
    <s v="Bodycon"/>
    <n v="1"/>
    <m/>
    <n v="0"/>
    <n v="1.1499999999999999"/>
    <n v="0"/>
    <x v="11"/>
    <s v="Ahmedabad"/>
    <s v="B2B"/>
    <n v="2806.56"/>
  </r>
  <r>
    <x v="226"/>
    <x v="3"/>
    <s v="Sunglasses"/>
    <n v="2"/>
    <m/>
    <n v="0"/>
    <n v="0.25"/>
    <n v="0"/>
    <x v="137"/>
    <s v="NaviMumbai"/>
    <s v="B2C"/>
    <n v="2096.6799999999998"/>
  </r>
  <r>
    <x v="227"/>
    <x v="3"/>
    <s v="Caps"/>
    <n v="2"/>
    <n v="2298.27"/>
    <n v="4596.54"/>
    <n v="0.59"/>
    <n v="1884.5814"/>
    <x v="138"/>
    <s v="Pune"/>
    <s v="B2B"/>
    <n v="2994.93"/>
  </r>
  <r>
    <x v="228"/>
    <x v="5"/>
    <s v="Bodycon"/>
    <n v="2"/>
    <m/>
    <n v="0"/>
    <m/>
    <n v="0"/>
    <x v="4"/>
    <s v="Delhi"/>
    <s v="B2C"/>
    <n v="925.22"/>
  </r>
  <r>
    <x v="229"/>
    <x v="3"/>
    <s v="Watches"/>
    <n v="3"/>
    <m/>
    <n v="0"/>
    <n v="1.2"/>
    <n v="0"/>
    <x v="4"/>
    <s v="NaviMumbai"/>
    <s v="B2C"/>
    <n v="2725.11"/>
  </r>
  <r>
    <x v="230"/>
    <x v="2"/>
    <s v="Slip-ons"/>
    <n v="1"/>
    <n v="1744.73"/>
    <n v="1744.73"/>
    <m/>
    <n v="1744.73"/>
    <x v="4"/>
    <s v="Pune"/>
    <s v="B2B"/>
    <n v="1393.69"/>
  </r>
  <r>
    <x v="231"/>
    <x v="2"/>
    <s v="Sneakers"/>
    <n v="2"/>
    <n v="2526.77"/>
    <n v="5053.54"/>
    <m/>
    <n v="5053.54"/>
    <x v="139"/>
    <s v="Mumbai"/>
    <s v="B2C"/>
    <n v="1494.67"/>
  </r>
  <r>
    <x v="232"/>
    <x v="1"/>
    <s v="Puffer Coat"/>
    <n v="-1"/>
    <m/>
    <n v="0"/>
    <n v="7.0000000000000007E-2"/>
    <n v="0"/>
    <x v="140"/>
    <s v="Bangalore"/>
    <s v="B2C"/>
    <n v="2237.2399999999998"/>
  </r>
  <r>
    <x v="233"/>
    <x v="0"/>
    <s v="Straight Cut"/>
    <n v="2"/>
    <n v="1069.8800000000001"/>
    <n v="2139.7600000000002"/>
    <n v="0.05"/>
    <n v="2032.7720000000002"/>
    <x v="141"/>
    <s v="Pune"/>
    <s v="B2B"/>
    <n v="110.58"/>
  </r>
  <r>
    <x v="234"/>
    <x v="1"/>
    <s v="Bomber Jacket"/>
    <n v="2"/>
    <m/>
    <n v="0"/>
    <m/>
    <n v="0"/>
    <x v="4"/>
    <s v="NaviMumbai"/>
    <s v="B2B"/>
    <n v="-403.94"/>
  </r>
  <r>
    <x v="235"/>
    <x v="4"/>
    <s v="Oversized T-shirt"/>
    <n v="2"/>
    <n v="4802.42"/>
    <n v="9604.84"/>
    <n v="1.18"/>
    <n v="-1728.8711999999994"/>
    <x v="142"/>
    <s v="NaviMumbai"/>
    <s v="B2C"/>
    <n v="605.03"/>
  </r>
  <r>
    <x v="236"/>
    <x v="4"/>
    <s v="Classic Tee"/>
    <n v="2"/>
    <m/>
    <n v="0"/>
    <n v="0.28999999999999998"/>
    <n v="0"/>
    <x v="143"/>
    <s v="Pune"/>
    <s v="B2C"/>
    <n v="-465.98"/>
  </r>
  <r>
    <x v="237"/>
    <x v="2"/>
    <s v="Slip-ons"/>
    <n v="2"/>
    <m/>
    <n v="0"/>
    <m/>
    <n v="0"/>
    <x v="4"/>
    <s v="Pune"/>
    <s v="B2C"/>
    <n v="2742.61"/>
  </r>
  <r>
    <x v="238"/>
    <x v="4"/>
    <s v="Graphic Tee"/>
    <n v="4"/>
    <n v="644.58000000000004"/>
    <n v="2578.3200000000002"/>
    <m/>
    <n v="2578.3200000000002"/>
    <x v="144"/>
    <s v="Delhi"/>
    <s v="B2B"/>
    <n v="1097.8800000000001"/>
  </r>
  <r>
    <x v="239"/>
    <x v="5"/>
    <s v="Casual Midi"/>
    <n v="2"/>
    <n v="4634.13"/>
    <n v="9268.26"/>
    <m/>
    <n v="9268.26"/>
    <x v="145"/>
    <s v="Bangalore"/>
    <s v="B2C"/>
    <n v="2625.44"/>
  </r>
  <r>
    <x v="240"/>
    <x v="0"/>
    <s v="Slim Fit Jeans"/>
    <n v="6"/>
    <n v="3111.95"/>
    <n v="18671.699999999997"/>
    <m/>
    <n v="18671.699999999997"/>
    <x v="146"/>
    <s v="Bangalore"/>
    <s v="B2C"/>
    <n v="2814.82"/>
  </r>
  <r>
    <x v="241"/>
    <x v="0"/>
    <s v="Ripped Denim"/>
    <n v="-1"/>
    <m/>
    <n v="0"/>
    <m/>
    <n v="0"/>
    <x v="76"/>
    <s v="Pune"/>
    <s v="B2B"/>
    <n v="1576.74"/>
  </r>
  <r>
    <x v="242"/>
    <x v="3"/>
    <s v="Caps"/>
    <n v="3"/>
    <m/>
    <n v="0"/>
    <n v="0.69"/>
    <n v="0"/>
    <x v="147"/>
    <s v="Ahmedabad"/>
    <s v="B2C"/>
    <n v="779.51"/>
  </r>
  <r>
    <x v="243"/>
    <x v="5"/>
    <s v="Maxi Dress"/>
    <n v="6"/>
    <m/>
    <n v="0"/>
    <m/>
    <n v="0"/>
    <x v="148"/>
    <s v="Ahmedabad"/>
    <s v="B2C"/>
    <n v="2574.7600000000002"/>
  </r>
  <r>
    <x v="244"/>
    <x v="4"/>
    <s v="Classic Tee"/>
    <n v="2"/>
    <n v="1822.9"/>
    <n v="3645.8"/>
    <m/>
    <n v="3645.8"/>
    <x v="149"/>
    <s v="Delhi"/>
    <s v="B2C"/>
    <n v="1076.3399999999999"/>
  </r>
  <r>
    <x v="245"/>
    <x v="5"/>
    <s v="Maxi Dress"/>
    <n v="0"/>
    <m/>
    <n v="0"/>
    <n v="0.03"/>
    <n v="0"/>
    <x v="4"/>
    <s v="NaviMumbai"/>
    <s v="B2C"/>
    <n v="733.8"/>
  </r>
  <r>
    <x v="246"/>
    <x v="4"/>
    <s v="Crop Top"/>
    <n v="-1"/>
    <m/>
    <n v="0"/>
    <m/>
    <n v="0"/>
    <x v="4"/>
    <s v="NaviMumbai"/>
    <s v="B2B"/>
    <n v="1605.97"/>
  </r>
  <r>
    <x v="247"/>
    <x v="3"/>
    <s v="Watches"/>
    <n v="2"/>
    <m/>
    <n v="0"/>
    <n v="1.24"/>
    <n v="0"/>
    <x v="150"/>
    <s v="Mumbai"/>
    <s v="B2B"/>
    <n v="397.41"/>
  </r>
  <r>
    <x v="248"/>
    <x v="3"/>
    <s v="Caps"/>
    <n v="2"/>
    <m/>
    <n v="0"/>
    <n v="0.23"/>
    <n v="0"/>
    <x v="151"/>
    <s v="Pune"/>
    <s v="B2C"/>
    <n v="809.89"/>
  </r>
  <r>
    <x v="249"/>
    <x v="2"/>
    <s v="Slip-ons"/>
    <n v="2"/>
    <m/>
    <n v="0"/>
    <m/>
    <n v="0"/>
    <x v="4"/>
    <s v="Delhi"/>
    <s v="B2B"/>
    <n v="1653.07"/>
  </r>
  <r>
    <x v="250"/>
    <x v="5"/>
    <s v="Casual Midi"/>
    <n v="2"/>
    <n v="4841.3999999999996"/>
    <n v="9682.7999999999993"/>
    <n v="0.6"/>
    <n v="3873.12"/>
    <x v="152"/>
    <s v="Pune"/>
    <s v="B2C"/>
    <n v="578.37"/>
  </r>
  <r>
    <x v="251"/>
    <x v="4"/>
    <s v="Classic Tee"/>
    <n v="6"/>
    <n v="1638.51"/>
    <n v="9831.06"/>
    <n v="0.88"/>
    <n v="1179.7271999999998"/>
    <x v="153"/>
    <s v="Mumbai"/>
    <s v="B2C"/>
    <n v="1484.7"/>
  </r>
  <r>
    <x v="252"/>
    <x v="5"/>
    <s v="Wrap Dress"/>
    <n v="2"/>
    <m/>
    <n v="0"/>
    <m/>
    <n v="0"/>
    <x v="152"/>
    <s v="Bangalore"/>
    <s v="B2B"/>
    <n v="2512.63"/>
  </r>
  <r>
    <x v="253"/>
    <x v="2"/>
    <s v="Slip-ons"/>
    <n v="6"/>
    <m/>
    <n v="0"/>
    <m/>
    <n v="0"/>
    <x v="154"/>
    <s v="Mumbai"/>
    <s v="B2B"/>
    <n v="2418.9899999999998"/>
  </r>
  <r>
    <x v="254"/>
    <x v="4"/>
    <s v="Classic Tee"/>
    <n v="4"/>
    <n v="1849.68"/>
    <n v="7398.72"/>
    <m/>
    <n v="7398.72"/>
    <x v="93"/>
    <s v="NaviMumbai"/>
    <s v="B2C"/>
    <n v="-706.09"/>
  </r>
  <r>
    <x v="255"/>
    <x v="1"/>
    <s v="Bomber Jacket"/>
    <n v="2"/>
    <n v="1801.38"/>
    <n v="3602.76"/>
    <m/>
    <n v="3602.76"/>
    <x v="155"/>
    <s v="Bangalore"/>
    <s v="B2C"/>
    <n v="2071.1"/>
  </r>
  <r>
    <x v="256"/>
    <x v="0"/>
    <s v="Straight Cut"/>
    <n v="2"/>
    <n v="1228.78"/>
    <n v="2457.56"/>
    <m/>
    <n v="2457.56"/>
    <x v="4"/>
    <s v="Ahmedabad"/>
    <s v="B2C"/>
    <n v="-83.19"/>
  </r>
  <r>
    <x v="257"/>
    <x v="5"/>
    <s v="Bodycon"/>
    <n v="-2"/>
    <n v="4313.38"/>
    <n v="-8626.76"/>
    <m/>
    <n v="-8626.76"/>
    <x v="156"/>
    <s v="Delhi"/>
    <s v="B2C"/>
    <n v="2636.96"/>
  </r>
  <r>
    <x v="258"/>
    <x v="2"/>
    <s v="Boots"/>
    <n v="-2"/>
    <n v="3396.92"/>
    <n v="-6793.84"/>
    <m/>
    <n v="-6793.84"/>
    <x v="80"/>
    <s v="Ahmedabad"/>
    <s v="B2C"/>
    <n v="-830.5"/>
  </r>
  <r>
    <x v="259"/>
    <x v="5"/>
    <s v="Maxi Dress"/>
    <n v="2"/>
    <m/>
    <n v="0"/>
    <m/>
    <n v="0"/>
    <x v="157"/>
    <s v="Delhi"/>
    <s v="B2B"/>
    <n v="-817.8"/>
  </r>
  <r>
    <x v="260"/>
    <x v="0"/>
    <s v="Boyfriend Jeans"/>
    <n v="2"/>
    <n v="4129.37"/>
    <n v="8258.74"/>
    <m/>
    <n v="8258.74"/>
    <x v="7"/>
    <s v="Delhi"/>
    <s v="B2B"/>
    <n v="2328.1"/>
  </r>
  <r>
    <x v="261"/>
    <x v="3"/>
    <s v="Watches"/>
    <n v="2"/>
    <m/>
    <n v="0"/>
    <n v="0.52"/>
    <n v="0"/>
    <x v="158"/>
    <s v="Bangalore"/>
    <s v="B2B"/>
    <n v="786.25"/>
  </r>
  <r>
    <x v="262"/>
    <x v="2"/>
    <s v="Slip-ons"/>
    <n v="2"/>
    <n v="2542.7199999999998"/>
    <n v="5085.4399999999996"/>
    <m/>
    <n v="5085.4399999999996"/>
    <x v="4"/>
    <s v="Delhi"/>
    <s v="B2C"/>
    <n v="-136.41"/>
  </r>
  <r>
    <x v="263"/>
    <x v="4"/>
    <s v="Graphic Tee"/>
    <n v="2"/>
    <n v="3382.08"/>
    <n v="6764.16"/>
    <m/>
    <n v="6764.16"/>
    <x v="159"/>
    <s v="Delhi"/>
    <s v="B2C"/>
    <n v="1647.48"/>
  </r>
  <r>
    <x v="264"/>
    <x v="4"/>
    <s v="Graphic Tee"/>
    <n v="0"/>
    <n v="721.41"/>
    <n v="0"/>
    <n v="1.1599999999999999"/>
    <n v="0"/>
    <x v="160"/>
    <s v="NaviMumbai"/>
    <s v="B2C"/>
    <n v="1718.95"/>
  </r>
  <r>
    <x v="265"/>
    <x v="2"/>
    <s v="Slip-ons"/>
    <n v="2"/>
    <m/>
    <n v="0"/>
    <n v="1.1200000000000001"/>
    <n v="0"/>
    <x v="161"/>
    <s v="Delhi"/>
    <s v="B2C"/>
    <n v="1024.8599999999999"/>
  </r>
  <r>
    <x v="266"/>
    <x v="1"/>
    <s v="Bomber Jacket"/>
    <n v="3"/>
    <n v="3255.23"/>
    <n v="9765.69"/>
    <m/>
    <n v="9765.69"/>
    <x v="162"/>
    <s v="Delhi"/>
    <s v="B2B"/>
    <n v="650.79999999999995"/>
  </r>
  <r>
    <x v="267"/>
    <x v="1"/>
    <s v="Denim Jacket"/>
    <n v="1"/>
    <m/>
    <n v="0"/>
    <n v="1.03"/>
    <n v="0"/>
    <x v="4"/>
    <s v="Pune"/>
    <s v="B2C"/>
    <n v="2668.22"/>
  </r>
  <r>
    <x v="268"/>
    <x v="4"/>
    <s v="Graphic Tee"/>
    <n v="2"/>
    <m/>
    <n v="0"/>
    <m/>
    <n v="0"/>
    <x v="4"/>
    <s v="Mumbai"/>
    <s v="B2C"/>
    <n v="483.01"/>
  </r>
  <r>
    <x v="269"/>
    <x v="4"/>
    <s v="Graphic Tee"/>
    <n v="0"/>
    <n v="4446.82"/>
    <n v="0"/>
    <m/>
    <n v="0"/>
    <x v="163"/>
    <s v="NaviMumbai"/>
    <s v="B2B"/>
    <n v="-293.05"/>
  </r>
  <r>
    <x v="270"/>
    <x v="4"/>
    <s v="Oversized T-shirt"/>
    <n v="2"/>
    <m/>
    <n v="0"/>
    <m/>
    <n v="0"/>
    <x v="164"/>
    <s v="Bangalore"/>
    <s v="B2B"/>
    <n v="1295.93"/>
  </r>
  <r>
    <x v="271"/>
    <x v="3"/>
    <s v="Belts"/>
    <n v="2"/>
    <n v="1429.94"/>
    <n v="2859.88"/>
    <m/>
    <n v="2859.88"/>
    <x v="165"/>
    <s v="NaviMumbai"/>
    <s v="B2B"/>
    <n v="484.51"/>
  </r>
  <r>
    <x v="272"/>
    <x v="4"/>
    <s v="Oversized T-shirt"/>
    <n v="2"/>
    <m/>
    <n v="0"/>
    <m/>
    <n v="0"/>
    <x v="2"/>
    <s v="NaviMumbai"/>
    <s v="B2C"/>
    <n v="-431.92"/>
  </r>
  <r>
    <x v="273"/>
    <x v="5"/>
    <s v="Wrap Dress"/>
    <n v="2"/>
    <m/>
    <n v="0"/>
    <n v="0.59"/>
    <n v="0"/>
    <x v="4"/>
    <s v="Ahmedabad"/>
    <s v="B2B"/>
    <n v="62.98"/>
  </r>
  <r>
    <x v="274"/>
    <x v="5"/>
    <s v="Casual Midi"/>
    <n v="3"/>
    <n v="4132"/>
    <n v="12396"/>
    <m/>
    <n v="12396"/>
    <x v="166"/>
    <s v="Bangalore"/>
    <s v="B2B"/>
    <n v="2732.47"/>
  </r>
  <r>
    <x v="275"/>
    <x v="2"/>
    <s v="Boots"/>
    <n v="2"/>
    <n v="3243.45"/>
    <n v="6486.9"/>
    <n v="0.61"/>
    <n v="2529.8910000000001"/>
    <x v="4"/>
    <s v="Mumbai"/>
    <s v="B2C"/>
    <n v="-869.12"/>
  </r>
  <r>
    <x v="276"/>
    <x v="3"/>
    <s v="Sunglasses"/>
    <n v="2"/>
    <n v="4720.5200000000004"/>
    <n v="9441.0400000000009"/>
    <n v="0.56999999999999995"/>
    <n v="4059.6472000000008"/>
    <x v="167"/>
    <s v="Delhi"/>
    <s v="B2C"/>
    <n v="1255.6600000000001"/>
  </r>
  <r>
    <x v="277"/>
    <x v="3"/>
    <s v="Sunglasses"/>
    <n v="2"/>
    <n v="3550.91"/>
    <n v="7101.82"/>
    <m/>
    <n v="7101.82"/>
    <x v="168"/>
    <s v="Delhi"/>
    <s v="B2C"/>
    <n v="466.53"/>
  </r>
  <r>
    <x v="278"/>
    <x v="2"/>
    <s v="Boots"/>
    <n v="2"/>
    <n v="2600.33"/>
    <n v="5200.66"/>
    <m/>
    <n v="5200.66"/>
    <x v="169"/>
    <s v="Ahmedabad"/>
    <s v="B2C"/>
    <n v="1430.67"/>
  </r>
  <r>
    <x v="279"/>
    <x v="4"/>
    <s v="Crop Top"/>
    <n v="3"/>
    <m/>
    <n v="0"/>
    <m/>
    <n v="0"/>
    <x v="170"/>
    <s v="Ahmedabad"/>
    <s v="B2B"/>
    <n v="263.41000000000003"/>
  </r>
  <r>
    <x v="280"/>
    <x v="1"/>
    <s v="Puffer Coat"/>
    <n v="-2"/>
    <n v="548.19000000000005"/>
    <n v="-1096.3800000000001"/>
    <m/>
    <n v="-1096.3800000000001"/>
    <x v="171"/>
    <s v="Mumbai"/>
    <s v="B2C"/>
    <n v="259.02999999999997"/>
  </r>
  <r>
    <x v="281"/>
    <x v="2"/>
    <s v="Loafers"/>
    <n v="-1"/>
    <m/>
    <n v="0"/>
    <n v="0.14000000000000001"/>
    <n v="0"/>
    <x v="172"/>
    <s v="Mumbai"/>
    <s v="B2B"/>
    <n v="-909.75"/>
  </r>
  <r>
    <x v="282"/>
    <x v="2"/>
    <s v="Slip-ons"/>
    <n v="2"/>
    <m/>
    <n v="0"/>
    <n v="0.08"/>
    <n v="0"/>
    <x v="4"/>
    <s v="NaviMumbai"/>
    <s v="B2B"/>
    <n v="379.24"/>
  </r>
  <r>
    <x v="283"/>
    <x v="1"/>
    <s v="Puffer Coat"/>
    <n v="2"/>
    <n v="1500.19"/>
    <n v="3000.38"/>
    <m/>
    <n v="3000.38"/>
    <x v="173"/>
    <s v="NaviMumbai"/>
    <s v="B2C"/>
    <n v="-348.48"/>
  </r>
  <r>
    <x v="284"/>
    <x v="3"/>
    <s v="Belts"/>
    <n v="5"/>
    <m/>
    <n v="0"/>
    <m/>
    <n v="0"/>
    <x v="4"/>
    <s v="Delhi"/>
    <s v="B2C"/>
    <n v="2024.84"/>
  </r>
  <r>
    <x v="285"/>
    <x v="4"/>
    <s v="Graphic Tee"/>
    <n v="2"/>
    <n v="2972.45"/>
    <n v="5944.9"/>
    <m/>
    <n v="5944.9"/>
    <x v="174"/>
    <s v="Mumbai"/>
    <s v="B2C"/>
    <n v="2562.54"/>
  </r>
  <r>
    <x v="286"/>
    <x v="0"/>
    <s v="Slim Fit Jeans"/>
    <n v="2"/>
    <m/>
    <n v="0"/>
    <m/>
    <n v="0"/>
    <x v="175"/>
    <s v="Bangalore"/>
    <s v="B2B"/>
    <n v="802.66"/>
  </r>
  <r>
    <x v="287"/>
    <x v="2"/>
    <s v="Slip-ons"/>
    <n v="4"/>
    <m/>
    <n v="0"/>
    <m/>
    <n v="0"/>
    <x v="4"/>
    <s v="Delhi"/>
    <s v="B2B"/>
    <n v="-492.73"/>
  </r>
  <r>
    <x v="288"/>
    <x v="1"/>
    <s v="Denim Jacket"/>
    <n v="2"/>
    <n v="3590.85"/>
    <n v="7181.7"/>
    <m/>
    <n v="7181.7"/>
    <x v="4"/>
    <s v="Mumbai"/>
    <s v="B2C"/>
    <n v="2052.5700000000002"/>
  </r>
  <r>
    <x v="289"/>
    <x v="0"/>
    <s v="Slim Fit Jeans"/>
    <n v="2"/>
    <n v="1412.12"/>
    <n v="2824.24"/>
    <n v="1.2"/>
    <n v="-564.84799999999984"/>
    <x v="4"/>
    <s v="Delhi"/>
    <s v="B2B"/>
    <n v="430.92"/>
  </r>
  <r>
    <x v="290"/>
    <x v="1"/>
    <s v="Puffer Coat"/>
    <n v="2"/>
    <m/>
    <n v="0"/>
    <m/>
    <n v="0"/>
    <x v="4"/>
    <s v="NaviMumbai"/>
    <s v="B2C"/>
    <n v="1073.44"/>
  </r>
  <r>
    <x v="291"/>
    <x v="5"/>
    <s v="Maxi Dress"/>
    <n v="3"/>
    <m/>
    <n v="0"/>
    <n v="0.46"/>
    <n v="0"/>
    <x v="4"/>
    <s v="Mumbai"/>
    <s v="B2C"/>
    <n v="1165.8599999999999"/>
  </r>
  <r>
    <x v="292"/>
    <x v="1"/>
    <s v="Denim Jacket"/>
    <n v="2"/>
    <m/>
    <n v="0"/>
    <m/>
    <n v="0"/>
    <x v="4"/>
    <s v="NaviMumbai"/>
    <s v="B2B"/>
    <n v="2073.16"/>
  </r>
  <r>
    <x v="293"/>
    <x v="3"/>
    <s v="Watches"/>
    <n v="2"/>
    <m/>
    <n v="0"/>
    <n v="0.56000000000000005"/>
    <n v="0"/>
    <x v="4"/>
    <s v="Delhi"/>
    <s v="B2B"/>
    <n v="898.24"/>
  </r>
  <r>
    <x v="294"/>
    <x v="1"/>
    <s v="Leather Jacket"/>
    <n v="-1"/>
    <m/>
    <n v="0"/>
    <m/>
    <n v="0"/>
    <x v="176"/>
    <s v="Bangalore"/>
    <s v="B2C"/>
    <n v="2967.72"/>
  </r>
  <r>
    <x v="295"/>
    <x v="0"/>
    <s v="Slim Fit Jeans"/>
    <n v="-2"/>
    <n v="2795.79"/>
    <n v="-5591.58"/>
    <m/>
    <n v="-5591.58"/>
    <x v="177"/>
    <s v="Bangalore"/>
    <s v="B2B"/>
    <n v="1438.47"/>
  </r>
  <r>
    <x v="296"/>
    <x v="1"/>
    <s v="Puffer Coat"/>
    <n v="2"/>
    <n v="4524.2"/>
    <n v="9048.4"/>
    <m/>
    <n v="9048.4"/>
    <x v="178"/>
    <s v="Delhi"/>
    <s v="B2C"/>
    <n v="1637.33"/>
  </r>
  <r>
    <x v="297"/>
    <x v="4"/>
    <s v="Graphic Tee"/>
    <n v="2"/>
    <m/>
    <n v="0"/>
    <m/>
    <n v="0"/>
    <x v="82"/>
    <s v="Ahmedabad"/>
    <s v="B2C"/>
    <n v="2490.23"/>
  </r>
  <r>
    <x v="298"/>
    <x v="1"/>
    <s v="Denim Jacket"/>
    <n v="1"/>
    <n v="1026.58"/>
    <n v="1026.58"/>
    <m/>
    <n v="1026.58"/>
    <x v="11"/>
    <s v="NaviMumbai"/>
    <s v="B2C"/>
    <n v="1178.3699999999999"/>
  </r>
  <r>
    <x v="299"/>
    <x v="0"/>
    <s v="Slim Fit Jeans"/>
    <n v="2"/>
    <n v="4611.8999999999996"/>
    <n v="9223.7999999999993"/>
    <m/>
    <n v="9223.7999999999993"/>
    <x v="140"/>
    <s v="Delhi"/>
    <s v="B2B"/>
    <n v="703.48"/>
  </r>
  <r>
    <x v="300"/>
    <x v="0"/>
    <s v="Straight Cut"/>
    <n v="5"/>
    <m/>
    <n v="0"/>
    <n v="1.1499999999999999"/>
    <n v="0"/>
    <x v="179"/>
    <s v="NaviMumbai"/>
    <s v="B2C"/>
    <n v="1368.68"/>
  </r>
  <r>
    <x v="301"/>
    <x v="0"/>
    <s v="Ripped Denim"/>
    <n v="5"/>
    <m/>
    <n v="0"/>
    <n v="0.09"/>
    <n v="0"/>
    <x v="154"/>
    <s v="Ahmedabad"/>
    <s v="B2C"/>
    <n v="339.17"/>
  </r>
  <r>
    <x v="302"/>
    <x v="0"/>
    <s v="Straight Cut"/>
    <n v="3"/>
    <n v="1192.1600000000001"/>
    <n v="3576.4800000000005"/>
    <m/>
    <n v="3576.4800000000005"/>
    <x v="4"/>
    <s v="Pune"/>
    <s v="B2B"/>
    <n v="505.33"/>
  </r>
  <r>
    <x v="303"/>
    <x v="5"/>
    <s v="Maxi Dress"/>
    <n v="2"/>
    <n v="3218.39"/>
    <n v="6436.78"/>
    <m/>
    <n v="6436.78"/>
    <x v="180"/>
    <s v="Mumbai"/>
    <s v="B2B"/>
    <n v="-442.98"/>
  </r>
  <r>
    <x v="304"/>
    <x v="1"/>
    <s v="Bomber Jacket"/>
    <n v="3"/>
    <m/>
    <n v="0"/>
    <m/>
    <n v="0"/>
    <x v="181"/>
    <s v="Delhi"/>
    <s v="B2C"/>
    <n v="2861.3"/>
  </r>
  <r>
    <x v="305"/>
    <x v="3"/>
    <s v="Belts"/>
    <n v="4"/>
    <m/>
    <n v="0"/>
    <m/>
    <n v="0"/>
    <x v="4"/>
    <s v="Ahmedabad"/>
    <s v="B2C"/>
    <n v="99.1"/>
  </r>
  <r>
    <x v="306"/>
    <x v="5"/>
    <s v="Maxi Dress"/>
    <n v="2"/>
    <n v="2648.43"/>
    <n v="5296.86"/>
    <m/>
    <n v="5296.86"/>
    <x v="119"/>
    <s v="Ahmedabad"/>
    <s v="B2B"/>
    <n v="642"/>
  </r>
  <r>
    <x v="307"/>
    <x v="5"/>
    <s v="Bodycon"/>
    <n v="2"/>
    <n v="4203.62"/>
    <n v="8407.24"/>
    <m/>
    <n v="8407.24"/>
    <x v="182"/>
    <s v="Mumbai"/>
    <s v="B2B"/>
    <n v="464.65"/>
  </r>
  <r>
    <x v="308"/>
    <x v="3"/>
    <s v="Caps"/>
    <n v="2"/>
    <m/>
    <n v="0"/>
    <m/>
    <n v="0"/>
    <x v="92"/>
    <s v="Pune"/>
    <s v="B2B"/>
    <n v="481.45"/>
  </r>
  <r>
    <x v="309"/>
    <x v="5"/>
    <s v="Maxi Dress"/>
    <n v="2"/>
    <m/>
    <n v="0"/>
    <m/>
    <n v="0"/>
    <x v="68"/>
    <s v="Pune"/>
    <s v="B2B"/>
    <n v="1516.35"/>
  </r>
  <r>
    <x v="310"/>
    <x v="1"/>
    <s v="Bomber Jacket"/>
    <n v="3"/>
    <m/>
    <n v="0"/>
    <n v="0.13"/>
    <n v="0"/>
    <x v="165"/>
    <s v="Mumbai"/>
    <s v="B2B"/>
    <n v="-109.19"/>
  </r>
  <r>
    <x v="311"/>
    <x v="3"/>
    <s v="Sunglasses"/>
    <n v="2"/>
    <m/>
    <n v="0"/>
    <m/>
    <n v="0"/>
    <x v="183"/>
    <s v="Pune"/>
    <s v="B2B"/>
    <n v="-646.16"/>
  </r>
  <r>
    <x v="312"/>
    <x v="3"/>
    <s v="Watches"/>
    <n v="2"/>
    <n v="4763.45"/>
    <n v="9526.9"/>
    <n v="0.96"/>
    <n v="381.07600000000031"/>
    <x v="184"/>
    <s v="Pune"/>
    <s v="B2C"/>
    <n v="-581.35"/>
  </r>
  <r>
    <x v="313"/>
    <x v="2"/>
    <s v="Slip-ons"/>
    <n v="-1"/>
    <m/>
    <n v="0"/>
    <m/>
    <n v="0"/>
    <x v="185"/>
    <s v="NaviMumbai"/>
    <s v="B2C"/>
    <n v="1148.06"/>
  </r>
  <r>
    <x v="314"/>
    <x v="0"/>
    <s v="Boyfriend Jeans"/>
    <n v="-2"/>
    <n v="515.04"/>
    <n v="-1030.08"/>
    <m/>
    <n v="-1030.08"/>
    <x v="186"/>
    <s v="Bangalore"/>
    <s v="B2C"/>
    <n v="-279.01"/>
  </r>
  <r>
    <x v="315"/>
    <x v="4"/>
    <s v="Crop Top"/>
    <n v="2"/>
    <n v="1345.98"/>
    <n v="2691.96"/>
    <m/>
    <n v="2691.96"/>
    <x v="187"/>
    <s v="Pune"/>
    <s v="B2C"/>
    <n v="-177.6"/>
  </r>
  <r>
    <x v="316"/>
    <x v="3"/>
    <s v="Watches"/>
    <n v="0"/>
    <m/>
    <n v="0"/>
    <m/>
    <n v="0"/>
    <x v="188"/>
    <s v="Mumbai"/>
    <s v="B2B"/>
    <n v="-476.45"/>
  </r>
  <r>
    <x v="317"/>
    <x v="3"/>
    <s v="Belts"/>
    <n v="3"/>
    <m/>
    <n v="0"/>
    <m/>
    <n v="0"/>
    <x v="4"/>
    <s v="Pune"/>
    <s v="B2C"/>
    <n v="1830.14"/>
  </r>
  <r>
    <x v="318"/>
    <x v="5"/>
    <s v="Bodycon"/>
    <n v="0"/>
    <m/>
    <n v="0"/>
    <m/>
    <n v="0"/>
    <x v="189"/>
    <s v="Ahmedabad"/>
    <s v="B2C"/>
    <n v="-66.17"/>
  </r>
  <r>
    <x v="319"/>
    <x v="3"/>
    <s v="Belts"/>
    <n v="4"/>
    <m/>
    <n v="0"/>
    <m/>
    <n v="0"/>
    <x v="4"/>
    <s v="Delhi"/>
    <s v="B2B"/>
    <n v="2011.4"/>
  </r>
  <r>
    <x v="320"/>
    <x v="1"/>
    <s v="Leather Jacket"/>
    <n v="3"/>
    <m/>
    <n v="0"/>
    <n v="1.02"/>
    <n v="0"/>
    <x v="190"/>
    <s v="Delhi"/>
    <s v="B2C"/>
    <n v="632.23"/>
  </r>
  <r>
    <x v="321"/>
    <x v="4"/>
    <s v="Classic Tee"/>
    <n v="2"/>
    <n v="2387.61"/>
    <n v="4775.22"/>
    <m/>
    <n v="4775.22"/>
    <x v="147"/>
    <s v="Delhi"/>
    <s v="B2C"/>
    <n v="822.46"/>
  </r>
  <r>
    <x v="322"/>
    <x v="1"/>
    <s v="Puffer Coat"/>
    <n v="2"/>
    <m/>
    <n v="0"/>
    <n v="1.1200000000000001"/>
    <n v="0"/>
    <x v="191"/>
    <s v="Pune"/>
    <s v="B2C"/>
    <n v="-96.6"/>
  </r>
  <r>
    <x v="323"/>
    <x v="1"/>
    <s v="Bomber Jacket"/>
    <n v="2"/>
    <m/>
    <n v="0"/>
    <m/>
    <n v="0"/>
    <x v="192"/>
    <s v="Mumbai"/>
    <s v="B2C"/>
    <n v="-610.52"/>
  </r>
  <r>
    <x v="324"/>
    <x v="0"/>
    <s v="Ripped Denim"/>
    <n v="2"/>
    <n v="1315.93"/>
    <n v="2631.86"/>
    <m/>
    <n v="2631.86"/>
    <x v="103"/>
    <s v="Bangalore"/>
    <s v="B2C"/>
    <n v="1435.03"/>
  </r>
  <r>
    <x v="325"/>
    <x v="5"/>
    <s v="Casual Midi"/>
    <n v="2"/>
    <n v="4104.3599999999997"/>
    <n v="8208.7199999999993"/>
    <n v="1.1100000000000001"/>
    <n v="-902.95920000000069"/>
    <x v="193"/>
    <s v="Mumbai"/>
    <s v="B2C"/>
    <n v="1404.45"/>
  </r>
  <r>
    <x v="326"/>
    <x v="2"/>
    <s v="Slip-ons"/>
    <n v="2"/>
    <n v="2964.44"/>
    <n v="5928.88"/>
    <m/>
    <n v="5928.88"/>
    <x v="194"/>
    <s v="Mumbai"/>
    <s v="B2C"/>
    <n v="2021.54"/>
  </r>
  <r>
    <x v="327"/>
    <x v="2"/>
    <s v="Boots"/>
    <n v="4"/>
    <n v="3250.24"/>
    <n v="13000.96"/>
    <n v="0.56000000000000005"/>
    <n v="5720.4223999999986"/>
    <x v="8"/>
    <s v="Pune"/>
    <s v="B2B"/>
    <n v="2269.54"/>
  </r>
  <r>
    <x v="328"/>
    <x v="4"/>
    <s v="Graphic Tee"/>
    <n v="1"/>
    <n v="2587.7800000000002"/>
    <n v="2587.7800000000002"/>
    <m/>
    <n v="2587.7800000000002"/>
    <x v="195"/>
    <s v="NaviMumbai"/>
    <s v="B2C"/>
    <n v="1667.02"/>
  </r>
  <r>
    <x v="329"/>
    <x v="5"/>
    <s v="Maxi Dress"/>
    <n v="-2"/>
    <m/>
    <n v="0"/>
    <m/>
    <n v="0"/>
    <x v="67"/>
    <s v="Ahmedabad"/>
    <s v="B2C"/>
    <n v="-587.38"/>
  </r>
  <r>
    <x v="330"/>
    <x v="3"/>
    <s v="Belts"/>
    <n v="6"/>
    <m/>
    <n v="0"/>
    <m/>
    <n v="0"/>
    <x v="21"/>
    <s v="Bangalore"/>
    <s v="B2C"/>
    <n v="1301.18"/>
  </r>
  <r>
    <x v="331"/>
    <x v="4"/>
    <s v="Graphic Tee"/>
    <n v="2"/>
    <m/>
    <n v="0"/>
    <n v="0"/>
    <n v="0"/>
    <x v="196"/>
    <s v="Mumbai"/>
    <s v="B2C"/>
    <n v="2301.09"/>
  </r>
  <r>
    <x v="332"/>
    <x v="3"/>
    <s v="Watches"/>
    <n v="2"/>
    <m/>
    <n v="0"/>
    <m/>
    <n v="0"/>
    <x v="197"/>
    <s v="Ahmedabad"/>
    <s v="B2B"/>
    <n v="2502.73"/>
  </r>
  <r>
    <x v="333"/>
    <x v="5"/>
    <s v="Maxi Dress"/>
    <n v="6"/>
    <n v="1454.69"/>
    <n v="8728.14"/>
    <m/>
    <n v="8728.14"/>
    <x v="198"/>
    <s v="Delhi"/>
    <s v="B2C"/>
    <n v="652.87"/>
  </r>
  <r>
    <x v="334"/>
    <x v="2"/>
    <s v="Slip-ons"/>
    <n v="5"/>
    <m/>
    <n v="0"/>
    <m/>
    <n v="0"/>
    <x v="140"/>
    <s v="NaviMumbai"/>
    <s v="B2C"/>
    <n v="-815.88"/>
  </r>
  <r>
    <x v="335"/>
    <x v="1"/>
    <s v="Denim Jacket"/>
    <n v="2"/>
    <m/>
    <n v="0"/>
    <m/>
    <n v="0"/>
    <x v="4"/>
    <s v="Delhi"/>
    <s v="B2B"/>
    <n v="2000.91"/>
  </r>
  <r>
    <x v="336"/>
    <x v="1"/>
    <s v="Denim Jacket"/>
    <n v="6"/>
    <n v="2286.6799999999998"/>
    <n v="13720.079999999998"/>
    <n v="1.27"/>
    <n v="-3704.4215999999997"/>
    <x v="135"/>
    <s v="NaviMumbai"/>
    <s v="B2C"/>
    <n v="716.16"/>
  </r>
  <r>
    <x v="337"/>
    <x v="4"/>
    <s v="Graphic Tee"/>
    <n v="0"/>
    <m/>
    <n v="0"/>
    <m/>
    <n v="0"/>
    <x v="199"/>
    <s v="Ahmedabad"/>
    <s v="B2B"/>
    <n v="415.06"/>
  </r>
  <r>
    <x v="338"/>
    <x v="5"/>
    <s v="Maxi Dress"/>
    <n v="2"/>
    <n v="4507.5"/>
    <n v="9015"/>
    <m/>
    <n v="9015"/>
    <x v="200"/>
    <s v="Bangalore"/>
    <s v="B2C"/>
    <n v="2552.65"/>
  </r>
  <r>
    <x v="339"/>
    <x v="0"/>
    <s v="Straight Cut"/>
    <n v="2"/>
    <m/>
    <n v="0"/>
    <n v="0.06"/>
    <n v="0"/>
    <x v="3"/>
    <s v="Mumbai"/>
    <s v="B2C"/>
    <n v="1282.27"/>
  </r>
  <r>
    <x v="340"/>
    <x v="2"/>
    <s v="Slip-ons"/>
    <n v="-1"/>
    <n v="3074.06"/>
    <n v="-3074.06"/>
    <n v="1.24"/>
    <n v="737.77440000000001"/>
    <x v="201"/>
    <s v="Ahmedabad"/>
    <s v="B2C"/>
    <n v="2634.42"/>
  </r>
  <r>
    <x v="341"/>
    <x v="5"/>
    <s v="Wrap Dress"/>
    <n v="-1"/>
    <n v="4707.2"/>
    <n v="-4707.2"/>
    <m/>
    <n v="-4707.2"/>
    <x v="4"/>
    <s v="Pune"/>
    <s v="B2B"/>
    <n v="1395.82"/>
  </r>
  <r>
    <x v="342"/>
    <x v="0"/>
    <s v="Ripped Denim"/>
    <n v="2"/>
    <n v="4012.48"/>
    <n v="8024.96"/>
    <m/>
    <n v="8024.96"/>
    <x v="38"/>
    <s v="Mumbai"/>
    <s v="B2C"/>
    <n v="730.98"/>
  </r>
  <r>
    <x v="343"/>
    <x v="0"/>
    <s v="Straight Cut"/>
    <n v="4"/>
    <n v="3386.91"/>
    <n v="13547.64"/>
    <m/>
    <n v="13547.64"/>
    <x v="4"/>
    <s v="Mumbai"/>
    <s v="B2C"/>
    <n v="2006.17"/>
  </r>
  <r>
    <x v="344"/>
    <x v="4"/>
    <s v="Classic Tee"/>
    <n v="2"/>
    <m/>
    <n v="0"/>
    <n v="0.18"/>
    <n v="0"/>
    <x v="4"/>
    <s v="Bangalore"/>
    <s v="B2B"/>
    <n v="2721.4"/>
  </r>
  <r>
    <x v="345"/>
    <x v="2"/>
    <s v="Slip-ons"/>
    <n v="-2"/>
    <n v="1622.65"/>
    <n v="-3245.3"/>
    <m/>
    <n v="-3245.3"/>
    <x v="4"/>
    <s v="Mumbai"/>
    <s v="B2C"/>
    <n v="-891.76"/>
  </r>
  <r>
    <x v="346"/>
    <x v="0"/>
    <s v="Straight Cut"/>
    <n v="6"/>
    <n v="2228.4499999999998"/>
    <n v="13370.699999999999"/>
    <n v="1.2"/>
    <n v="-2674.139999999999"/>
    <x v="175"/>
    <s v="Bangalore"/>
    <s v="B2C"/>
    <n v="2728.03"/>
  </r>
  <r>
    <x v="347"/>
    <x v="4"/>
    <s v="Classic Tee"/>
    <n v="2"/>
    <n v="1219.2"/>
    <n v="2438.4"/>
    <n v="1.17"/>
    <n v="-414.52799999999985"/>
    <x v="101"/>
    <s v="NaviMumbai"/>
    <s v="B2B"/>
    <n v="2694.39"/>
  </r>
  <r>
    <x v="348"/>
    <x v="1"/>
    <s v="Leather Jacket"/>
    <n v="-2"/>
    <m/>
    <n v="0"/>
    <n v="0.82"/>
    <n v="0"/>
    <x v="202"/>
    <s v="Pune"/>
    <s v="B2B"/>
    <n v="2085.75"/>
  </r>
  <r>
    <x v="349"/>
    <x v="4"/>
    <s v="Classic Tee"/>
    <n v="2"/>
    <n v="2319.84"/>
    <n v="4639.68"/>
    <m/>
    <n v="4639.68"/>
    <x v="4"/>
    <s v="Bangalore"/>
    <s v="B2B"/>
    <n v="1669.55"/>
  </r>
  <r>
    <x v="350"/>
    <x v="2"/>
    <s v="Slip-ons"/>
    <n v="2"/>
    <m/>
    <n v="0"/>
    <m/>
    <n v="0"/>
    <x v="203"/>
    <s v="NaviMumbai"/>
    <s v="B2C"/>
    <n v="2621.66"/>
  </r>
  <r>
    <x v="351"/>
    <x v="4"/>
    <s v="Graphic Tee"/>
    <n v="2"/>
    <n v="3991.4"/>
    <n v="7982.8"/>
    <m/>
    <n v="7982.8"/>
    <x v="204"/>
    <s v="Pune"/>
    <s v="B2C"/>
    <n v="-555.4"/>
  </r>
  <r>
    <x v="352"/>
    <x v="0"/>
    <s v="Straight Cut"/>
    <n v="2"/>
    <m/>
    <n v="0"/>
    <n v="0.84"/>
    <n v="0"/>
    <x v="205"/>
    <s v="Bangalore"/>
    <s v="B2C"/>
    <n v="1558.99"/>
  </r>
  <r>
    <x v="353"/>
    <x v="0"/>
    <s v="Straight Cut"/>
    <n v="1"/>
    <m/>
    <n v="0"/>
    <m/>
    <n v="0"/>
    <x v="206"/>
    <s v="Ahmedabad"/>
    <s v="B2C"/>
    <n v="-678.38"/>
  </r>
  <r>
    <x v="354"/>
    <x v="5"/>
    <s v="Bodycon"/>
    <n v="1"/>
    <n v="1054.69"/>
    <n v="1054.69"/>
    <n v="0.18"/>
    <n v="864.84580000000005"/>
    <x v="144"/>
    <s v="Mumbai"/>
    <s v="B2B"/>
    <n v="698.05"/>
  </r>
  <r>
    <x v="355"/>
    <x v="1"/>
    <s v="Denim Jacket"/>
    <n v="2"/>
    <n v="2418.5500000000002"/>
    <n v="4837.1000000000004"/>
    <n v="0.88"/>
    <n v="580.452"/>
    <x v="207"/>
    <s v="Ahmedabad"/>
    <s v="B2C"/>
    <n v="428.96"/>
  </r>
  <r>
    <x v="356"/>
    <x v="1"/>
    <s v="Puffer Coat"/>
    <n v="2"/>
    <n v="1128.57"/>
    <n v="2257.14"/>
    <n v="0.39"/>
    <n v="1376.8553999999999"/>
    <x v="208"/>
    <s v="NaviMumbai"/>
    <s v="B2C"/>
    <n v="684.88"/>
  </r>
  <r>
    <x v="357"/>
    <x v="3"/>
    <s v="Sunglasses"/>
    <n v="2"/>
    <m/>
    <n v="0"/>
    <n v="1.23"/>
    <n v="0"/>
    <x v="209"/>
    <s v="Bangalore"/>
    <s v="B2C"/>
    <n v="1347.26"/>
  </r>
  <r>
    <x v="358"/>
    <x v="4"/>
    <s v="Crop Top"/>
    <n v="2"/>
    <n v="4625.84"/>
    <n v="9251.68"/>
    <m/>
    <n v="9251.68"/>
    <x v="4"/>
    <s v="Mumbai"/>
    <s v="B2C"/>
    <n v="1663.88"/>
  </r>
  <r>
    <x v="359"/>
    <x v="0"/>
    <s v="Boyfriend Jeans"/>
    <n v="2"/>
    <m/>
    <n v="0"/>
    <n v="1.1299999999999999"/>
    <n v="0"/>
    <x v="152"/>
    <s v="Delhi"/>
    <s v="B2C"/>
    <n v="1316.73"/>
  </r>
  <r>
    <x v="360"/>
    <x v="4"/>
    <s v="Classic Tee"/>
    <n v="2"/>
    <m/>
    <n v="0"/>
    <m/>
    <n v="0"/>
    <x v="210"/>
    <s v="Mumbai"/>
    <s v="B2C"/>
    <n v="528.79999999999995"/>
  </r>
  <r>
    <x v="361"/>
    <x v="4"/>
    <s v="Classic Tee"/>
    <n v="-1"/>
    <n v="4953.0200000000004"/>
    <n v="-4953.0200000000004"/>
    <m/>
    <n v="-4953.0200000000004"/>
    <x v="211"/>
    <s v="Ahmedabad"/>
    <s v="B2C"/>
    <n v="-499.33"/>
  </r>
  <r>
    <x v="362"/>
    <x v="5"/>
    <s v="Bodycon"/>
    <n v="6"/>
    <m/>
    <n v="0"/>
    <m/>
    <n v="0"/>
    <x v="4"/>
    <s v="Mumbai"/>
    <s v="B2B"/>
    <n v="2143.4"/>
  </r>
  <r>
    <x v="363"/>
    <x v="4"/>
    <s v="Classic Tee"/>
    <n v="2"/>
    <m/>
    <n v="0"/>
    <n v="0.01"/>
    <n v="0"/>
    <x v="4"/>
    <s v="Ahmedabad"/>
    <s v="B2C"/>
    <n v="1839.35"/>
  </r>
  <r>
    <x v="364"/>
    <x v="5"/>
    <s v="Maxi Dress"/>
    <n v="1"/>
    <n v="776.52"/>
    <n v="776.52"/>
    <m/>
    <n v="776.52"/>
    <x v="4"/>
    <s v="Delhi"/>
    <s v="B2C"/>
    <n v="2757.77"/>
  </r>
  <r>
    <x v="365"/>
    <x v="5"/>
    <s v="Bodycon"/>
    <n v="2"/>
    <n v="1927.12"/>
    <n v="3854.24"/>
    <n v="0.44"/>
    <n v="2158.3744000000002"/>
    <x v="89"/>
    <s v="Bangalore"/>
    <s v="B2C"/>
    <n v="928.57"/>
  </r>
  <r>
    <x v="366"/>
    <x v="3"/>
    <s v="Caps"/>
    <n v="2"/>
    <n v="573.79999999999995"/>
    <n v="1147.5999999999999"/>
    <m/>
    <n v="1147.5999999999999"/>
    <x v="94"/>
    <s v="Ahmedabad"/>
    <s v="B2B"/>
    <n v="2546.35"/>
  </r>
  <r>
    <x v="367"/>
    <x v="4"/>
    <s v="Classic Tee"/>
    <n v="4"/>
    <n v="4032.95"/>
    <n v="16131.8"/>
    <m/>
    <n v="16131.8"/>
    <x v="4"/>
    <s v="Ahmedabad"/>
    <s v="B2C"/>
    <n v="-20.09"/>
  </r>
  <r>
    <x v="368"/>
    <x v="3"/>
    <s v="Caps"/>
    <n v="2"/>
    <m/>
    <n v="0"/>
    <n v="1.1000000000000001"/>
    <n v="0"/>
    <x v="212"/>
    <s v="NaviMumbai"/>
    <s v="B2C"/>
    <n v="-844.78"/>
  </r>
  <r>
    <x v="369"/>
    <x v="5"/>
    <s v="Bodycon"/>
    <n v="-2"/>
    <n v="2345.4899999999998"/>
    <n v="-4690.9799999999996"/>
    <n v="1.18"/>
    <n v="844.37639999999965"/>
    <x v="213"/>
    <s v="NaviMumbai"/>
    <s v="B2B"/>
    <n v="212.66"/>
  </r>
  <r>
    <x v="370"/>
    <x v="0"/>
    <s v="Ripped Denim"/>
    <n v="2"/>
    <m/>
    <n v="0"/>
    <m/>
    <n v="0"/>
    <x v="4"/>
    <s v="Mumbai"/>
    <s v="B2B"/>
    <n v="72.959999999999994"/>
  </r>
  <r>
    <x v="371"/>
    <x v="3"/>
    <s v="Sunglasses"/>
    <n v="1"/>
    <m/>
    <n v="0"/>
    <n v="0.19"/>
    <n v="0"/>
    <x v="214"/>
    <s v="Delhi"/>
    <s v="B2C"/>
    <n v="418.89"/>
  </r>
  <r>
    <x v="372"/>
    <x v="1"/>
    <s v="Leather Jacket"/>
    <n v="-2"/>
    <n v="3523.43"/>
    <n v="-7046.86"/>
    <n v="0.19"/>
    <n v="-5707.9566000000004"/>
    <x v="4"/>
    <s v="Delhi"/>
    <s v="B2C"/>
    <n v="-892.76"/>
  </r>
  <r>
    <x v="373"/>
    <x v="4"/>
    <s v="Classic Tee"/>
    <n v="1"/>
    <m/>
    <n v="0"/>
    <m/>
    <n v="0"/>
    <x v="215"/>
    <s v="Bangalore"/>
    <s v="B2C"/>
    <n v="2519.16"/>
  </r>
  <r>
    <x v="374"/>
    <x v="0"/>
    <s v="Straight Cut"/>
    <n v="3"/>
    <n v="420.42"/>
    <n v="1261.26"/>
    <m/>
    <n v="1261.26"/>
    <x v="4"/>
    <s v="NaviMumbai"/>
    <s v="B2C"/>
    <n v="1318.19"/>
  </r>
  <r>
    <x v="375"/>
    <x v="3"/>
    <s v="Caps"/>
    <n v="4"/>
    <n v="1447.28"/>
    <n v="5789.12"/>
    <m/>
    <n v="5789.12"/>
    <x v="216"/>
    <s v="NaviMumbai"/>
    <s v="B2B"/>
    <n v="175.33"/>
  </r>
  <r>
    <x v="376"/>
    <x v="1"/>
    <s v="Denim Jacket"/>
    <n v="0"/>
    <m/>
    <n v="0"/>
    <n v="0.65"/>
    <n v="0"/>
    <x v="4"/>
    <s v="Bangalore"/>
    <s v="B2B"/>
    <n v="2229.9499999999998"/>
  </r>
  <r>
    <x v="377"/>
    <x v="1"/>
    <s v="Puffer Coat"/>
    <n v="5"/>
    <n v="4581.26"/>
    <n v="22906.300000000003"/>
    <n v="1.18"/>
    <n v="-4123.1339999999991"/>
    <x v="217"/>
    <s v="Bangalore"/>
    <s v="B2C"/>
    <n v="-345.1"/>
  </r>
  <r>
    <x v="378"/>
    <x v="1"/>
    <s v="Puffer Coat"/>
    <n v="2"/>
    <m/>
    <n v="0"/>
    <m/>
    <n v="0"/>
    <x v="218"/>
    <s v="Delhi"/>
    <s v="B2C"/>
    <n v="1647.38"/>
  </r>
  <r>
    <x v="379"/>
    <x v="5"/>
    <s v="Bodycon"/>
    <n v="2"/>
    <m/>
    <n v="0"/>
    <m/>
    <n v="0"/>
    <x v="4"/>
    <s v="Delhi"/>
    <s v="B2B"/>
    <n v="-475.94"/>
  </r>
  <r>
    <x v="380"/>
    <x v="0"/>
    <s v="Ripped Denim"/>
    <n v="1"/>
    <m/>
    <n v="0"/>
    <n v="1.07"/>
    <n v="0"/>
    <x v="219"/>
    <s v="Bangalore"/>
    <s v="B2C"/>
    <n v="-136.30000000000001"/>
  </r>
  <r>
    <x v="381"/>
    <x v="0"/>
    <s v="Boyfriend Jeans"/>
    <n v="-2"/>
    <m/>
    <n v="0"/>
    <m/>
    <n v="0"/>
    <x v="220"/>
    <s v="Bangalore"/>
    <s v="B2B"/>
    <n v="-165.59"/>
  </r>
  <r>
    <x v="382"/>
    <x v="5"/>
    <s v="Maxi Dress"/>
    <n v="5"/>
    <n v="2409.13"/>
    <n v="12045.650000000001"/>
    <m/>
    <n v="12045.650000000001"/>
    <x v="221"/>
    <s v="Pune"/>
    <s v="B2C"/>
    <n v="127.63"/>
  </r>
  <r>
    <x v="383"/>
    <x v="2"/>
    <s v="Slip-ons"/>
    <n v="2"/>
    <m/>
    <n v="0"/>
    <m/>
    <n v="0"/>
    <x v="82"/>
    <s v="Ahmedabad"/>
    <s v="B2C"/>
    <n v="2393.9899999999998"/>
  </r>
  <r>
    <x v="384"/>
    <x v="5"/>
    <s v="Wrap Dress"/>
    <n v="1"/>
    <m/>
    <n v="0"/>
    <m/>
    <n v="0"/>
    <x v="4"/>
    <s v="Bangalore"/>
    <s v="B2C"/>
    <n v="2744.77"/>
  </r>
  <r>
    <x v="385"/>
    <x v="2"/>
    <s v="Boots"/>
    <n v="5"/>
    <n v="4439.8100000000004"/>
    <n v="22199.050000000003"/>
    <n v="1.1000000000000001"/>
    <n v="-2219.9050000000025"/>
    <x v="126"/>
    <s v="Delhi"/>
    <s v="B2B"/>
    <n v="1669.09"/>
  </r>
  <r>
    <x v="386"/>
    <x v="1"/>
    <s v="Puffer Coat"/>
    <n v="3"/>
    <m/>
    <n v="0"/>
    <m/>
    <n v="0"/>
    <x v="222"/>
    <s v="Pune"/>
    <s v="B2C"/>
    <n v="-505.47"/>
  </r>
  <r>
    <x v="387"/>
    <x v="5"/>
    <s v="Casual Midi"/>
    <n v="4"/>
    <m/>
    <n v="0"/>
    <m/>
    <n v="0"/>
    <x v="128"/>
    <s v="Delhi"/>
    <s v="B2C"/>
    <n v="475.79"/>
  </r>
  <r>
    <x v="388"/>
    <x v="5"/>
    <s v="Wrap Dress"/>
    <n v="2"/>
    <n v="2742.38"/>
    <n v="5484.76"/>
    <m/>
    <n v="5484.76"/>
    <x v="223"/>
    <s v="Ahmedabad"/>
    <s v="B2C"/>
    <n v="1987.46"/>
  </r>
  <r>
    <x v="389"/>
    <x v="0"/>
    <s v="Slim Fit Jeans"/>
    <n v="4"/>
    <m/>
    <n v="0"/>
    <m/>
    <n v="0"/>
    <x v="4"/>
    <s v="Pune"/>
    <s v="B2C"/>
    <n v="1789.75"/>
  </r>
  <r>
    <x v="390"/>
    <x v="2"/>
    <s v="Slip-ons"/>
    <n v="0"/>
    <n v="2213.79"/>
    <n v="0"/>
    <n v="0.01"/>
    <n v="0"/>
    <x v="224"/>
    <s v="NaviMumbai"/>
    <s v="B2C"/>
    <n v="418.24"/>
  </r>
  <r>
    <x v="391"/>
    <x v="0"/>
    <s v="Ripped Denim"/>
    <n v="2"/>
    <n v="784.1"/>
    <n v="1568.2"/>
    <m/>
    <n v="1568.2"/>
    <x v="204"/>
    <s v="Delhi"/>
    <s v="B2C"/>
    <n v="401.24"/>
  </r>
  <r>
    <x v="392"/>
    <x v="1"/>
    <s v="Bomber Jacket"/>
    <n v="6"/>
    <m/>
    <n v="0"/>
    <m/>
    <n v="0"/>
    <x v="4"/>
    <s v="NaviMumbai"/>
    <s v="B2C"/>
    <n v="2001.24"/>
  </r>
  <r>
    <x v="393"/>
    <x v="1"/>
    <s v="Bomber Jacket"/>
    <n v="2"/>
    <n v="1218.6500000000001"/>
    <n v="2437.3000000000002"/>
    <m/>
    <n v="2437.3000000000002"/>
    <x v="183"/>
    <s v="NaviMumbai"/>
    <s v="B2C"/>
    <n v="2538.59"/>
  </r>
  <r>
    <x v="394"/>
    <x v="5"/>
    <s v="Wrap Dress"/>
    <n v="2"/>
    <m/>
    <n v="0"/>
    <m/>
    <n v="0"/>
    <x v="81"/>
    <s v="Mumbai"/>
    <s v="B2B"/>
    <n v="-357.08"/>
  </r>
  <r>
    <x v="395"/>
    <x v="0"/>
    <s v="Straight Cut"/>
    <n v="2"/>
    <n v="3663.65"/>
    <n v="7327.3"/>
    <n v="0.26"/>
    <n v="5422.2020000000002"/>
    <x v="4"/>
    <s v="Ahmedabad"/>
    <s v="B2B"/>
    <n v="1553.44"/>
  </r>
  <r>
    <x v="396"/>
    <x v="1"/>
    <s v="Leather Jacket"/>
    <n v="2"/>
    <m/>
    <n v="0"/>
    <m/>
    <n v="0"/>
    <x v="28"/>
    <s v="Bangalore"/>
    <s v="B2C"/>
    <n v="1239.6199999999999"/>
  </r>
  <r>
    <x v="397"/>
    <x v="5"/>
    <s v="Casual Midi"/>
    <n v="2"/>
    <m/>
    <n v="0"/>
    <m/>
    <n v="0"/>
    <x v="225"/>
    <s v="NaviMumbai"/>
    <s v="B2C"/>
    <n v="-43.7"/>
  </r>
  <r>
    <x v="398"/>
    <x v="1"/>
    <s v="Denim Jacket"/>
    <n v="4"/>
    <m/>
    <n v="0"/>
    <n v="0.35"/>
    <n v="0"/>
    <x v="226"/>
    <s v="Delhi"/>
    <s v="B2C"/>
    <n v="-444.08"/>
  </r>
  <r>
    <x v="399"/>
    <x v="4"/>
    <s v="Classic Tee"/>
    <n v="2"/>
    <m/>
    <n v="0"/>
    <m/>
    <n v="0"/>
    <x v="0"/>
    <s v="Delhi"/>
    <s v="B2C"/>
    <n v="1385.55"/>
  </r>
  <r>
    <x v="400"/>
    <x v="4"/>
    <s v="Classic Tee"/>
    <n v="-2"/>
    <m/>
    <n v="0"/>
    <m/>
    <n v="0"/>
    <x v="95"/>
    <s v="NaviMumbai"/>
    <s v="B2C"/>
    <n v="-751.05"/>
  </r>
  <r>
    <x v="401"/>
    <x v="3"/>
    <s v="Watches"/>
    <n v="2"/>
    <n v="603.51"/>
    <n v="1207.02"/>
    <n v="1.23"/>
    <n v="-277.6146"/>
    <x v="227"/>
    <s v="NaviMumbai"/>
    <s v="B2C"/>
    <n v="982.01"/>
  </r>
  <r>
    <x v="402"/>
    <x v="4"/>
    <s v="Crop Top"/>
    <n v="2"/>
    <m/>
    <n v="0"/>
    <m/>
    <n v="0"/>
    <x v="228"/>
    <s v="NaviMumbai"/>
    <s v="B2C"/>
    <n v="2210.0700000000002"/>
  </r>
  <r>
    <x v="403"/>
    <x v="3"/>
    <s v="Watches"/>
    <n v="2"/>
    <n v="3074.59"/>
    <n v="6149.18"/>
    <m/>
    <n v="6149.18"/>
    <x v="4"/>
    <s v="Bangalore"/>
    <s v="B2C"/>
    <n v="1979.07"/>
  </r>
  <r>
    <x v="404"/>
    <x v="5"/>
    <s v="Maxi Dress"/>
    <n v="2"/>
    <m/>
    <n v="0"/>
    <n v="0.56000000000000005"/>
    <n v="0"/>
    <x v="15"/>
    <s v="Mumbai"/>
    <s v="B2C"/>
    <n v="2345.6799999999998"/>
  </r>
  <r>
    <x v="405"/>
    <x v="5"/>
    <s v="Maxi Dress"/>
    <n v="2"/>
    <m/>
    <n v="0"/>
    <m/>
    <n v="0"/>
    <x v="64"/>
    <s v="Bangalore"/>
    <s v="B2C"/>
    <n v="-863.17"/>
  </r>
  <r>
    <x v="406"/>
    <x v="4"/>
    <s v="Graphic Tee"/>
    <n v="2"/>
    <n v="4977.8100000000004"/>
    <n v="9955.6200000000008"/>
    <m/>
    <n v="9955.6200000000008"/>
    <x v="229"/>
    <s v="Ahmedabad"/>
    <s v="B2B"/>
    <n v="2041.12"/>
  </r>
  <r>
    <x v="407"/>
    <x v="2"/>
    <s v="Boots"/>
    <n v="2"/>
    <m/>
    <n v="0"/>
    <m/>
    <n v="0"/>
    <x v="230"/>
    <s v="Mumbai"/>
    <s v="B2B"/>
    <n v="2305.3200000000002"/>
  </r>
  <r>
    <x v="408"/>
    <x v="3"/>
    <s v="Caps"/>
    <n v="6"/>
    <m/>
    <n v="0"/>
    <m/>
    <n v="0"/>
    <x v="4"/>
    <s v="Pune"/>
    <s v="B2C"/>
    <n v="-941.44"/>
  </r>
  <r>
    <x v="409"/>
    <x v="0"/>
    <s v="Ripped Denim"/>
    <n v="6"/>
    <n v="4445.8100000000004"/>
    <n v="26674.86"/>
    <m/>
    <n v="26674.86"/>
    <x v="4"/>
    <s v="Delhi"/>
    <s v="B2C"/>
    <n v="-654.59"/>
  </r>
  <r>
    <x v="410"/>
    <x v="5"/>
    <s v="Wrap Dress"/>
    <n v="2"/>
    <n v="4946.7700000000004"/>
    <n v="9893.5400000000009"/>
    <m/>
    <n v="9893.5400000000009"/>
    <x v="4"/>
    <s v="Mumbai"/>
    <s v="B2C"/>
    <n v="1520.19"/>
  </r>
  <r>
    <x v="411"/>
    <x v="2"/>
    <s v="Slip-ons"/>
    <n v="2"/>
    <m/>
    <n v="0"/>
    <m/>
    <n v="0"/>
    <x v="231"/>
    <s v="NaviMumbai"/>
    <s v="B2C"/>
    <n v="2314.9299999999998"/>
  </r>
  <r>
    <x v="412"/>
    <x v="5"/>
    <s v="Maxi Dress"/>
    <n v="1"/>
    <m/>
    <n v="0"/>
    <n v="0.17"/>
    <n v="0"/>
    <x v="232"/>
    <s v="Ahmedabad"/>
    <s v="B2C"/>
    <n v="1539.28"/>
  </r>
  <r>
    <x v="413"/>
    <x v="4"/>
    <s v="Oversized T-shirt"/>
    <n v="2"/>
    <m/>
    <n v="0"/>
    <m/>
    <n v="0"/>
    <x v="35"/>
    <s v="Ahmedabad"/>
    <s v="B2C"/>
    <n v="2843.55"/>
  </r>
  <r>
    <x v="414"/>
    <x v="1"/>
    <s v="Puffer Coat"/>
    <n v="2"/>
    <n v="3149"/>
    <n v="6298"/>
    <m/>
    <n v="6298"/>
    <x v="4"/>
    <s v="Bangalore"/>
    <s v="B2C"/>
    <n v="2661.23"/>
  </r>
  <r>
    <x v="415"/>
    <x v="3"/>
    <s v="Watches"/>
    <n v="2"/>
    <n v="3527.15"/>
    <n v="7054.3"/>
    <m/>
    <n v="7054.3"/>
    <x v="233"/>
    <s v="NaviMumbai"/>
    <s v="B2C"/>
    <n v="2286.48"/>
  </r>
  <r>
    <x v="416"/>
    <x v="5"/>
    <s v="Wrap Dress"/>
    <n v="2"/>
    <m/>
    <n v="0"/>
    <m/>
    <n v="0"/>
    <x v="234"/>
    <s v="Bangalore"/>
    <s v="B2B"/>
    <n v="888.59"/>
  </r>
  <r>
    <x v="417"/>
    <x v="5"/>
    <s v="Bodycon"/>
    <n v="2"/>
    <m/>
    <n v="0"/>
    <n v="0.13"/>
    <n v="0"/>
    <x v="222"/>
    <s v="Bangalore"/>
    <s v="B2B"/>
    <n v="1403.76"/>
  </r>
  <r>
    <x v="418"/>
    <x v="1"/>
    <s v="Bomber Jacket"/>
    <n v="2"/>
    <m/>
    <n v="0"/>
    <m/>
    <n v="0"/>
    <x v="235"/>
    <s v="NaviMumbai"/>
    <s v="B2B"/>
    <n v="-565.16999999999996"/>
  </r>
  <r>
    <x v="419"/>
    <x v="2"/>
    <s v="Loafers"/>
    <n v="2"/>
    <m/>
    <n v="0"/>
    <n v="0.96"/>
    <n v="0"/>
    <x v="198"/>
    <s v="Ahmedabad"/>
    <s v="B2B"/>
    <n v="2790.42"/>
  </r>
  <r>
    <x v="420"/>
    <x v="4"/>
    <s v="Classic Tee"/>
    <n v="0"/>
    <m/>
    <n v="0"/>
    <m/>
    <n v="0"/>
    <x v="1"/>
    <s v="Ahmedabad"/>
    <s v="B2C"/>
    <n v="575.19000000000005"/>
  </r>
  <r>
    <x v="421"/>
    <x v="0"/>
    <s v="Boyfriend Jeans"/>
    <n v="2"/>
    <n v="4466.49"/>
    <n v="8932.98"/>
    <m/>
    <n v="8932.98"/>
    <x v="236"/>
    <s v="Ahmedabad"/>
    <s v="B2B"/>
    <n v="2168.7800000000002"/>
  </r>
  <r>
    <x v="422"/>
    <x v="1"/>
    <s v="Leather Jacket"/>
    <n v="2"/>
    <m/>
    <n v="0"/>
    <m/>
    <n v="0"/>
    <x v="59"/>
    <s v="NaviMumbai"/>
    <s v="B2C"/>
    <n v="1302.05"/>
  </r>
  <r>
    <x v="423"/>
    <x v="4"/>
    <s v="Classic Tee"/>
    <n v="-1"/>
    <n v="538.6"/>
    <n v="-538.6"/>
    <n v="1.18"/>
    <n v="96.947999999999965"/>
    <x v="63"/>
    <s v="NaviMumbai"/>
    <s v="B2C"/>
    <n v="752.81"/>
  </r>
  <r>
    <x v="424"/>
    <x v="3"/>
    <s v="Caps"/>
    <n v="2"/>
    <n v="1133.73"/>
    <n v="2267.46"/>
    <m/>
    <n v="2267.46"/>
    <x v="67"/>
    <s v="Pune"/>
    <s v="B2B"/>
    <n v="2604.14"/>
  </r>
  <r>
    <x v="425"/>
    <x v="0"/>
    <s v="Ripped Denim"/>
    <n v="-2"/>
    <n v="3175.17"/>
    <n v="-6350.34"/>
    <n v="0.86"/>
    <n v="-889.0476000000001"/>
    <x v="4"/>
    <s v="NaviMumbai"/>
    <s v="B2B"/>
    <n v="2860.99"/>
  </r>
  <r>
    <x v="426"/>
    <x v="2"/>
    <s v="Boots"/>
    <n v="2"/>
    <m/>
    <n v="0"/>
    <m/>
    <n v="0"/>
    <x v="3"/>
    <s v="Mumbai"/>
    <s v="B2C"/>
    <n v="2795.17"/>
  </r>
  <r>
    <x v="427"/>
    <x v="0"/>
    <s v="Boyfriend Jeans"/>
    <n v="2"/>
    <m/>
    <n v="0"/>
    <m/>
    <n v="0"/>
    <x v="21"/>
    <s v="Delhi"/>
    <s v="B2C"/>
    <n v="1869.46"/>
  </r>
  <r>
    <x v="428"/>
    <x v="5"/>
    <s v="Bodycon"/>
    <n v="2"/>
    <n v="3292.01"/>
    <n v="6584.02"/>
    <m/>
    <n v="6584.02"/>
    <x v="237"/>
    <s v="Delhi"/>
    <s v="B2B"/>
    <n v="-358.22"/>
  </r>
  <r>
    <x v="429"/>
    <x v="0"/>
    <s v="Straight Cut"/>
    <n v="-2"/>
    <m/>
    <n v="0"/>
    <n v="0.67"/>
    <n v="0"/>
    <x v="206"/>
    <s v="Pune"/>
    <s v="B2C"/>
    <n v="2045.56"/>
  </r>
  <r>
    <x v="430"/>
    <x v="3"/>
    <s v="Watches"/>
    <n v="2"/>
    <m/>
    <n v="0"/>
    <m/>
    <n v="0"/>
    <x v="238"/>
    <s v="Delhi"/>
    <s v="B2B"/>
    <n v="2191.02"/>
  </r>
  <r>
    <x v="431"/>
    <x v="2"/>
    <s v="Sneakers"/>
    <n v="2"/>
    <m/>
    <n v="0"/>
    <m/>
    <n v="0"/>
    <x v="239"/>
    <s v="Ahmedabad"/>
    <s v="B2B"/>
    <n v="-849.15"/>
  </r>
  <r>
    <x v="432"/>
    <x v="4"/>
    <s v="Oversized T-shirt"/>
    <n v="2"/>
    <m/>
    <n v="0"/>
    <n v="0.7"/>
    <n v="0"/>
    <x v="63"/>
    <s v="Mumbai"/>
    <s v="B2B"/>
    <n v="-878.85"/>
  </r>
  <r>
    <x v="433"/>
    <x v="0"/>
    <s v="Boyfriend Jeans"/>
    <n v="0"/>
    <n v="476.2"/>
    <n v="0"/>
    <n v="1.03"/>
    <n v="0"/>
    <x v="119"/>
    <s v="NaviMumbai"/>
    <s v="B2C"/>
    <n v="-310.8"/>
  </r>
  <r>
    <x v="434"/>
    <x v="4"/>
    <s v="Classic Tee"/>
    <n v="3"/>
    <m/>
    <n v="0"/>
    <m/>
    <n v="0"/>
    <x v="240"/>
    <s v="NaviMumbai"/>
    <s v="B2B"/>
    <n v="904.65"/>
  </r>
  <r>
    <x v="435"/>
    <x v="4"/>
    <s v="Classic Tee"/>
    <n v="2"/>
    <m/>
    <n v="0"/>
    <n v="1.26"/>
    <n v="0"/>
    <x v="89"/>
    <s v="Ahmedabad"/>
    <s v="B2C"/>
    <n v="1445.93"/>
  </r>
  <r>
    <x v="436"/>
    <x v="0"/>
    <s v="Boyfriend Jeans"/>
    <n v="0"/>
    <n v="3886.3"/>
    <n v="0"/>
    <n v="0.34"/>
    <n v="0"/>
    <x v="241"/>
    <s v="Delhi"/>
    <s v="B2C"/>
    <n v="131.47999999999999"/>
  </r>
  <r>
    <x v="437"/>
    <x v="5"/>
    <s v="Wrap Dress"/>
    <n v="2"/>
    <n v="2663.97"/>
    <n v="5327.94"/>
    <n v="0.84"/>
    <n v="852.47040000000015"/>
    <x v="242"/>
    <s v="Pune"/>
    <s v="B2C"/>
    <n v="1014.29"/>
  </r>
  <r>
    <x v="438"/>
    <x v="4"/>
    <s v="Graphic Tee"/>
    <n v="2"/>
    <m/>
    <n v="0"/>
    <m/>
    <n v="0"/>
    <x v="4"/>
    <s v="Ahmedabad"/>
    <s v="B2B"/>
    <n v="726.42"/>
  </r>
  <r>
    <x v="439"/>
    <x v="5"/>
    <s v="Bodycon"/>
    <n v="0"/>
    <n v="635.12"/>
    <n v="0"/>
    <n v="0.32"/>
    <n v="0"/>
    <x v="243"/>
    <s v="NaviMumbai"/>
    <s v="B2C"/>
    <n v="-476.72"/>
  </r>
  <r>
    <x v="440"/>
    <x v="0"/>
    <s v="Slim Fit Jeans"/>
    <n v="2"/>
    <m/>
    <n v="0"/>
    <m/>
    <n v="0"/>
    <x v="4"/>
    <s v="Bangalore"/>
    <s v="B2C"/>
    <n v="-316.51"/>
  </r>
  <r>
    <x v="441"/>
    <x v="2"/>
    <s v="Slip-ons"/>
    <n v="0"/>
    <n v="3001.28"/>
    <n v="0"/>
    <m/>
    <n v="0"/>
    <x v="244"/>
    <s v="Delhi"/>
    <s v="B2C"/>
    <n v="1218.28"/>
  </r>
  <r>
    <x v="442"/>
    <x v="4"/>
    <s v="Crop Top"/>
    <n v="2"/>
    <m/>
    <n v="0"/>
    <m/>
    <n v="0"/>
    <x v="245"/>
    <s v="Bangalore"/>
    <s v="B2C"/>
    <n v="2962.6"/>
  </r>
  <r>
    <x v="443"/>
    <x v="3"/>
    <s v="Watches"/>
    <n v="3"/>
    <n v="3452.16"/>
    <n v="10356.48"/>
    <m/>
    <n v="10356.48"/>
    <x v="4"/>
    <s v="Mumbai"/>
    <s v="B2C"/>
    <n v="810.8"/>
  </r>
  <r>
    <x v="444"/>
    <x v="1"/>
    <s v="Bomber Jacket"/>
    <n v="2"/>
    <n v="1370.36"/>
    <n v="2740.72"/>
    <n v="0.54"/>
    <n v="1260.7311999999997"/>
    <x v="246"/>
    <s v="Mumbai"/>
    <s v="B2C"/>
    <n v="2846.13"/>
  </r>
  <r>
    <x v="445"/>
    <x v="2"/>
    <s v="Loafers"/>
    <n v="2"/>
    <n v="2827.68"/>
    <n v="5655.36"/>
    <n v="0.86"/>
    <n v="791.75040000000001"/>
    <x v="247"/>
    <s v="Delhi"/>
    <s v="B2C"/>
    <n v="-602.57000000000005"/>
  </r>
  <r>
    <x v="446"/>
    <x v="4"/>
    <s v="Classic Tee"/>
    <n v="6"/>
    <n v="3792.09"/>
    <n v="22752.54"/>
    <m/>
    <n v="22752.54"/>
    <x v="248"/>
    <s v="Bangalore"/>
    <s v="B2C"/>
    <n v="194.31"/>
  </r>
  <r>
    <x v="447"/>
    <x v="0"/>
    <s v="Slim Fit Jeans"/>
    <n v="2"/>
    <n v="1657.95"/>
    <n v="3315.9"/>
    <m/>
    <n v="3315.9"/>
    <x v="249"/>
    <s v="Pune"/>
    <s v="B2B"/>
    <n v="1948.49"/>
  </r>
  <r>
    <x v="448"/>
    <x v="0"/>
    <s v="Straight Cut"/>
    <n v="2"/>
    <n v="2855.53"/>
    <n v="5711.06"/>
    <n v="0.55000000000000004"/>
    <n v="2569.9769999999999"/>
    <x v="16"/>
    <s v="Ahmedabad"/>
    <s v="B2C"/>
    <n v="2598.7399999999998"/>
  </r>
  <r>
    <x v="449"/>
    <x v="4"/>
    <s v="Graphic Tee"/>
    <n v="4"/>
    <m/>
    <n v="0"/>
    <m/>
    <n v="0"/>
    <x v="250"/>
    <s v="Delhi"/>
    <s v="B2C"/>
    <n v="-401.44"/>
  </r>
  <r>
    <x v="450"/>
    <x v="2"/>
    <s v="Slip-ons"/>
    <n v="2"/>
    <n v="620.64"/>
    <n v="1241.28"/>
    <m/>
    <n v="1241.28"/>
    <x v="251"/>
    <s v="NaviMumbai"/>
    <s v="B2C"/>
    <n v="1553.39"/>
  </r>
  <r>
    <x v="451"/>
    <x v="3"/>
    <s v="Sunglasses"/>
    <n v="-2"/>
    <n v="2660.28"/>
    <n v="-5320.56"/>
    <n v="0.34"/>
    <n v="-3511.5695999999998"/>
    <x v="4"/>
    <s v="Delhi"/>
    <s v="B2C"/>
    <n v="918.54"/>
  </r>
  <r>
    <x v="452"/>
    <x v="0"/>
    <s v="Straight Cut"/>
    <n v="0"/>
    <m/>
    <n v="0"/>
    <n v="0.18"/>
    <n v="0"/>
    <x v="211"/>
    <s v="Bangalore"/>
    <s v="B2B"/>
    <n v="1465.97"/>
  </r>
  <r>
    <x v="453"/>
    <x v="3"/>
    <s v="Sunglasses"/>
    <n v="2"/>
    <n v="4523.58"/>
    <n v="9047.16"/>
    <m/>
    <n v="9047.16"/>
    <x v="132"/>
    <s v="Pune"/>
    <s v="B2C"/>
    <n v="2424.44"/>
  </r>
  <r>
    <x v="454"/>
    <x v="4"/>
    <s v="Classic Tee"/>
    <n v="2"/>
    <m/>
    <n v="0"/>
    <m/>
    <n v="0"/>
    <x v="62"/>
    <s v="Delhi"/>
    <s v="B2C"/>
    <n v="743.47"/>
  </r>
  <r>
    <x v="455"/>
    <x v="4"/>
    <s v="Graphic Tee"/>
    <n v="2"/>
    <m/>
    <n v="0"/>
    <m/>
    <n v="0"/>
    <x v="154"/>
    <s v="Bangalore"/>
    <s v="B2C"/>
    <n v="1350.12"/>
  </r>
  <r>
    <x v="456"/>
    <x v="3"/>
    <s v="Watches"/>
    <n v="0"/>
    <n v="2342.25"/>
    <n v="0"/>
    <m/>
    <n v="0"/>
    <x v="4"/>
    <s v="Bangalore"/>
    <s v="B2B"/>
    <n v="750.64"/>
  </r>
  <r>
    <x v="457"/>
    <x v="1"/>
    <s v="Puffer Coat"/>
    <n v="6"/>
    <m/>
    <n v="0"/>
    <n v="0.27"/>
    <n v="0"/>
    <x v="4"/>
    <s v="Mumbai"/>
    <s v="B2C"/>
    <n v="1877.22"/>
  </r>
  <r>
    <x v="458"/>
    <x v="3"/>
    <s v="Sunglasses"/>
    <n v="2"/>
    <n v="2494.9899999999998"/>
    <n v="4989.9799999999996"/>
    <n v="0.98"/>
    <n v="99.799600000000083"/>
    <x v="252"/>
    <s v="Pune"/>
    <s v="B2C"/>
    <n v="2959.95"/>
  </r>
  <r>
    <x v="459"/>
    <x v="1"/>
    <s v="Leather Jacket"/>
    <n v="2"/>
    <n v="4264.16"/>
    <n v="8528.32"/>
    <m/>
    <n v="8528.32"/>
    <x v="253"/>
    <s v="Delhi"/>
    <s v="B2B"/>
    <n v="921.96"/>
  </r>
  <r>
    <x v="460"/>
    <x v="5"/>
    <s v="Casual Midi"/>
    <n v="2"/>
    <n v="2708.35"/>
    <n v="5416.7"/>
    <n v="1.06"/>
    <n v="-325.00200000000029"/>
    <x v="4"/>
    <s v="NaviMumbai"/>
    <s v="B2C"/>
    <n v="941.87"/>
  </r>
  <r>
    <x v="461"/>
    <x v="1"/>
    <s v="Puffer Coat"/>
    <n v="-1"/>
    <m/>
    <n v="0"/>
    <m/>
    <n v="0"/>
    <x v="254"/>
    <s v="Delhi"/>
    <s v="B2C"/>
    <n v="372.63"/>
  </r>
  <r>
    <x v="462"/>
    <x v="5"/>
    <s v="Wrap Dress"/>
    <n v="1"/>
    <n v="4606.09"/>
    <n v="4606.09"/>
    <n v="1.1200000000000001"/>
    <n v="-552.7308000000005"/>
    <x v="255"/>
    <s v="Delhi"/>
    <s v="B2B"/>
    <n v="-877.13"/>
  </r>
  <r>
    <x v="463"/>
    <x v="5"/>
    <s v="Wrap Dress"/>
    <n v="2"/>
    <m/>
    <n v="0"/>
    <m/>
    <n v="0"/>
    <x v="256"/>
    <s v="Bangalore"/>
    <s v="B2C"/>
    <n v="837.3"/>
  </r>
  <r>
    <x v="464"/>
    <x v="3"/>
    <s v="Belts"/>
    <n v="-2"/>
    <n v="2215.4"/>
    <n v="-4430.8"/>
    <n v="0.96"/>
    <n v="-177.23200000000017"/>
    <x v="257"/>
    <s v="NaviMumbai"/>
    <s v="B2C"/>
    <n v="-85.73"/>
  </r>
  <r>
    <x v="465"/>
    <x v="5"/>
    <s v="Wrap Dress"/>
    <n v="2"/>
    <n v="3172.11"/>
    <n v="6344.22"/>
    <m/>
    <n v="6344.22"/>
    <x v="258"/>
    <s v="Mumbai"/>
    <s v="B2C"/>
    <n v="673.33"/>
  </r>
  <r>
    <x v="466"/>
    <x v="2"/>
    <s v="Sneakers"/>
    <n v="2"/>
    <n v="3389.44"/>
    <n v="6778.88"/>
    <n v="0.09"/>
    <n v="6168.7808000000005"/>
    <x v="147"/>
    <s v="Delhi"/>
    <s v="B2B"/>
    <n v="1663.45"/>
  </r>
  <r>
    <x v="467"/>
    <x v="4"/>
    <s v="Graphic Tee"/>
    <n v="2"/>
    <n v="3332.84"/>
    <n v="6665.68"/>
    <n v="0.27"/>
    <n v="4865.9463999999998"/>
    <x v="259"/>
    <s v="Ahmedabad"/>
    <s v="B2C"/>
    <n v="733.66"/>
  </r>
  <r>
    <x v="468"/>
    <x v="5"/>
    <s v="Wrap Dress"/>
    <n v="2"/>
    <n v="2665.7"/>
    <n v="5331.4"/>
    <n v="0.49"/>
    <n v="2719.0139999999997"/>
    <x v="21"/>
    <s v="Bangalore"/>
    <s v="B2B"/>
    <n v="1644.72"/>
  </r>
  <r>
    <x v="469"/>
    <x v="4"/>
    <s v="Oversized T-shirt"/>
    <n v="-1"/>
    <n v="1376.54"/>
    <n v="-1376.54"/>
    <m/>
    <n v="-1376.54"/>
    <x v="4"/>
    <s v="NaviMumbai"/>
    <s v="B2C"/>
    <n v="0.59"/>
  </r>
  <r>
    <x v="470"/>
    <x v="3"/>
    <s v="Belts"/>
    <n v="-2"/>
    <n v="4882.03"/>
    <n v="-9764.06"/>
    <n v="0.23"/>
    <n v="-7518.3261999999995"/>
    <x v="260"/>
    <s v="NaviMumbai"/>
    <s v="B2C"/>
    <n v="-605.66999999999996"/>
  </r>
  <r>
    <x v="471"/>
    <x v="3"/>
    <s v="Belts"/>
    <n v="2"/>
    <m/>
    <n v="0"/>
    <n v="1.01"/>
    <n v="0"/>
    <x v="11"/>
    <s v="Mumbai"/>
    <s v="B2C"/>
    <n v="-69.28"/>
  </r>
  <r>
    <x v="472"/>
    <x v="4"/>
    <s v="Graphic Tee"/>
    <n v="2"/>
    <m/>
    <n v="0"/>
    <n v="0.08"/>
    <n v="0"/>
    <x v="4"/>
    <s v="Bangalore"/>
    <s v="B2C"/>
    <n v="1769.11"/>
  </r>
  <r>
    <x v="473"/>
    <x v="1"/>
    <s v="Denim Jacket"/>
    <n v="4"/>
    <m/>
    <n v="0"/>
    <m/>
    <n v="0"/>
    <x v="261"/>
    <s v="Bangalore"/>
    <s v="B2C"/>
    <n v="1791.38"/>
  </r>
  <r>
    <x v="474"/>
    <x v="4"/>
    <s v="Oversized T-shirt"/>
    <n v="-2"/>
    <n v="3692.25"/>
    <n v="-7384.5"/>
    <m/>
    <n v="-7384.5"/>
    <x v="104"/>
    <s v="Mumbai"/>
    <s v="B2C"/>
    <n v="433.87"/>
  </r>
  <r>
    <x v="475"/>
    <x v="0"/>
    <s v="Ripped Denim"/>
    <n v="5"/>
    <m/>
    <n v="0"/>
    <n v="0.56999999999999995"/>
    <n v="0"/>
    <x v="38"/>
    <s v="Bangalore"/>
    <s v="B2C"/>
    <n v="1476.41"/>
  </r>
  <r>
    <x v="476"/>
    <x v="5"/>
    <s v="Bodycon"/>
    <n v="2"/>
    <n v="2277.1999999999998"/>
    <n v="4554.3999999999996"/>
    <m/>
    <n v="4554.3999999999996"/>
    <x v="153"/>
    <s v="NaviMumbai"/>
    <s v="B2C"/>
    <n v="1295.82"/>
  </r>
  <r>
    <x v="477"/>
    <x v="1"/>
    <s v="Denim Jacket"/>
    <n v="2"/>
    <n v="2277.41"/>
    <n v="4554.82"/>
    <m/>
    <n v="4554.82"/>
    <x v="262"/>
    <s v="Ahmedabad"/>
    <s v="B2C"/>
    <n v="-584.69000000000005"/>
  </r>
  <r>
    <x v="478"/>
    <x v="5"/>
    <s v="Maxi Dress"/>
    <n v="1"/>
    <m/>
    <n v="0"/>
    <m/>
    <n v="0"/>
    <x v="4"/>
    <s v="Ahmedabad"/>
    <s v="B2C"/>
    <n v="-575.87"/>
  </r>
  <r>
    <x v="479"/>
    <x v="1"/>
    <s v="Denim Jacket"/>
    <n v="2"/>
    <n v="755.42"/>
    <n v="1510.84"/>
    <m/>
    <n v="1510.84"/>
    <x v="263"/>
    <s v="Pune"/>
    <s v="B2C"/>
    <n v="2956.26"/>
  </r>
  <r>
    <x v="480"/>
    <x v="3"/>
    <s v="Watches"/>
    <n v="2"/>
    <m/>
    <n v="0"/>
    <n v="0.97"/>
    <n v="0"/>
    <x v="4"/>
    <s v="Delhi"/>
    <s v="B2C"/>
    <n v="375"/>
  </r>
  <r>
    <x v="481"/>
    <x v="2"/>
    <s v="Slip-ons"/>
    <n v="2"/>
    <n v="1269.51"/>
    <n v="2539.02"/>
    <m/>
    <n v="2539.02"/>
    <x v="177"/>
    <s v="Ahmedabad"/>
    <s v="B2C"/>
    <n v="480.43"/>
  </r>
  <r>
    <x v="482"/>
    <x v="4"/>
    <s v="Oversized T-shirt"/>
    <n v="2"/>
    <n v="2347.19"/>
    <n v="4694.38"/>
    <m/>
    <n v="4694.38"/>
    <x v="253"/>
    <s v="Bangalore"/>
    <s v="B2C"/>
    <n v="2870.3"/>
  </r>
  <r>
    <x v="483"/>
    <x v="1"/>
    <s v="Bomber Jacket"/>
    <n v="2"/>
    <n v="818.68"/>
    <n v="1637.36"/>
    <m/>
    <n v="1637.36"/>
    <x v="264"/>
    <s v="Mumbai"/>
    <s v="B2C"/>
    <n v="2357.7399999999998"/>
  </r>
  <r>
    <x v="484"/>
    <x v="2"/>
    <s v="Sneakers"/>
    <n v="2"/>
    <m/>
    <n v="0"/>
    <m/>
    <n v="0"/>
    <x v="114"/>
    <s v="NaviMumbai"/>
    <s v="B2B"/>
    <n v="672.88"/>
  </r>
  <r>
    <x v="485"/>
    <x v="0"/>
    <s v="Ripped Denim"/>
    <n v="6"/>
    <m/>
    <n v="0"/>
    <m/>
    <n v="0"/>
    <x v="4"/>
    <s v="Mumbai"/>
    <s v="B2B"/>
    <n v="2745.83"/>
  </r>
  <r>
    <x v="486"/>
    <x v="3"/>
    <s v="Sunglasses"/>
    <n v="6"/>
    <n v="1234.08"/>
    <n v="7404.48"/>
    <n v="0.71"/>
    <n v="2147.2991999999999"/>
    <x v="265"/>
    <s v="Delhi"/>
    <s v="B2C"/>
    <n v="-849.81"/>
  </r>
  <r>
    <x v="487"/>
    <x v="3"/>
    <s v="Caps"/>
    <n v="2"/>
    <n v="4925.93"/>
    <n v="9851.86"/>
    <m/>
    <n v="9851.86"/>
    <x v="266"/>
    <s v="Bangalore"/>
    <s v="B2C"/>
    <n v="2121.1999999999998"/>
  </r>
  <r>
    <x v="488"/>
    <x v="2"/>
    <s v="Sneakers"/>
    <n v="-2"/>
    <m/>
    <n v="0"/>
    <m/>
    <n v="0"/>
    <x v="58"/>
    <s v="Pune"/>
    <s v="B2B"/>
    <n v="2102.1999999999998"/>
  </r>
  <r>
    <x v="489"/>
    <x v="4"/>
    <s v="Classic Tee"/>
    <n v="1"/>
    <m/>
    <n v="0"/>
    <m/>
    <n v="0"/>
    <x v="31"/>
    <s v="Delhi"/>
    <s v="B2C"/>
    <n v="230.97"/>
  </r>
  <r>
    <x v="490"/>
    <x v="2"/>
    <s v="Sneakers"/>
    <n v="1"/>
    <m/>
    <n v="0"/>
    <n v="0.28999999999999998"/>
    <n v="0"/>
    <x v="4"/>
    <s v="Bangalore"/>
    <s v="B2B"/>
    <n v="2039.1"/>
  </r>
  <r>
    <x v="491"/>
    <x v="4"/>
    <s v="Classic Tee"/>
    <n v="2"/>
    <m/>
    <n v="0"/>
    <n v="1.07"/>
    <n v="0"/>
    <x v="4"/>
    <s v="NaviMumbai"/>
    <s v="B2B"/>
    <n v="-308.83"/>
  </r>
  <r>
    <x v="492"/>
    <x v="5"/>
    <s v="Wrap Dress"/>
    <n v="2"/>
    <m/>
    <n v="0"/>
    <n v="0.03"/>
    <n v="0"/>
    <x v="4"/>
    <s v="NaviMumbai"/>
    <s v="B2C"/>
    <n v="478.28"/>
  </r>
  <r>
    <x v="493"/>
    <x v="0"/>
    <s v="Straight Cut"/>
    <n v="2"/>
    <n v="4338.0600000000004"/>
    <n v="8676.1200000000008"/>
    <n v="0.24"/>
    <n v="6593.851200000001"/>
    <x v="267"/>
    <s v="Mumbai"/>
    <s v="B2C"/>
    <n v="386.01"/>
  </r>
  <r>
    <x v="494"/>
    <x v="3"/>
    <s v="Watches"/>
    <n v="2"/>
    <n v="2261.4899999999998"/>
    <n v="4522.9799999999996"/>
    <m/>
    <n v="4522.9799999999996"/>
    <x v="45"/>
    <s v="Bangalore"/>
    <s v="B2C"/>
    <n v="2044.15"/>
  </r>
  <r>
    <x v="495"/>
    <x v="1"/>
    <s v="Denim Jacket"/>
    <n v="-1"/>
    <n v="4874.76"/>
    <n v="-4874.76"/>
    <m/>
    <n v="-4874.76"/>
    <x v="268"/>
    <s v="Ahmedabad"/>
    <s v="B2B"/>
    <n v="2438.13"/>
  </r>
  <r>
    <x v="496"/>
    <x v="3"/>
    <s v="Belts"/>
    <n v="2"/>
    <n v="1461.5"/>
    <n v="2923"/>
    <m/>
    <n v="2923"/>
    <x v="9"/>
    <s v="Pune"/>
    <s v="B2C"/>
    <n v="1561.06"/>
  </r>
  <r>
    <x v="497"/>
    <x v="0"/>
    <s v="Straight Cut"/>
    <n v="6"/>
    <n v="3771.67"/>
    <n v="22630.02"/>
    <m/>
    <n v="22630.02"/>
    <x v="111"/>
    <s v="Mumbai"/>
    <s v="B2C"/>
    <n v="2442.42"/>
  </r>
  <r>
    <x v="498"/>
    <x v="4"/>
    <s v="Crop Top"/>
    <n v="2"/>
    <m/>
    <n v="0"/>
    <m/>
    <n v="0"/>
    <x v="4"/>
    <s v="Bangalore"/>
    <s v="B2C"/>
    <n v="2116.52"/>
  </r>
  <r>
    <x v="499"/>
    <x v="0"/>
    <s v="Straight Cut"/>
    <n v="2"/>
    <n v="2128.7399999999998"/>
    <n v="4257.4799999999996"/>
    <m/>
    <n v="4257.4799999999996"/>
    <x v="85"/>
    <s v="Ahmedabad"/>
    <s v="B2B"/>
    <n v="-648.94000000000005"/>
  </r>
  <r>
    <x v="500"/>
    <x v="4"/>
    <s v="Crop Top"/>
    <n v="-2"/>
    <m/>
    <n v="0"/>
    <n v="0.65"/>
    <n v="0"/>
    <x v="4"/>
    <s v="Bangalore"/>
    <s v="B2C"/>
    <n v="-957.83"/>
  </r>
  <r>
    <x v="501"/>
    <x v="5"/>
    <s v="Bodycon"/>
    <n v="2"/>
    <n v="4260.95"/>
    <n v="8521.9"/>
    <m/>
    <n v="8521.9"/>
    <x v="269"/>
    <s v="Delhi"/>
    <s v="B2C"/>
    <n v="-86.64"/>
  </r>
  <r>
    <x v="502"/>
    <x v="4"/>
    <s v="Oversized T-shirt"/>
    <n v="2"/>
    <n v="4621.79"/>
    <n v="9243.58"/>
    <n v="0.32"/>
    <n v="6285.634399999999"/>
    <x v="270"/>
    <s v="Delhi"/>
    <s v="B2C"/>
    <n v="1350.48"/>
  </r>
  <r>
    <x v="503"/>
    <x v="2"/>
    <s v="Loafers"/>
    <n v="2"/>
    <n v="2558.4299999999998"/>
    <n v="5116.8599999999997"/>
    <m/>
    <n v="5116.8599999999997"/>
    <x v="101"/>
    <s v="Bangalore"/>
    <s v="B2B"/>
    <n v="-360.49"/>
  </r>
  <r>
    <x v="504"/>
    <x v="3"/>
    <s v="Watches"/>
    <n v="2"/>
    <n v="1316.64"/>
    <n v="2633.28"/>
    <m/>
    <n v="2633.28"/>
    <x v="271"/>
    <s v="Bangalore"/>
    <s v="B2C"/>
    <n v="1390.52"/>
  </r>
  <r>
    <x v="505"/>
    <x v="4"/>
    <s v="Crop Top"/>
    <n v="2"/>
    <m/>
    <n v="0"/>
    <m/>
    <n v="0"/>
    <x v="272"/>
    <s v="Bangalore"/>
    <s v="B2C"/>
    <n v="1406.62"/>
  </r>
  <r>
    <x v="506"/>
    <x v="1"/>
    <s v="Puffer Coat"/>
    <n v="2"/>
    <n v="3597.73"/>
    <n v="7195.46"/>
    <m/>
    <n v="7195.46"/>
    <x v="273"/>
    <s v="Delhi"/>
    <s v="B2C"/>
    <n v="-857.53"/>
  </r>
  <r>
    <x v="507"/>
    <x v="5"/>
    <s v="Bodycon"/>
    <n v="-1"/>
    <m/>
    <n v="0"/>
    <m/>
    <n v="0"/>
    <x v="274"/>
    <s v="Ahmedabad"/>
    <s v="B2C"/>
    <n v="1796.35"/>
  </r>
  <r>
    <x v="508"/>
    <x v="5"/>
    <s v="Bodycon"/>
    <n v="2"/>
    <m/>
    <n v="0"/>
    <n v="0.28000000000000003"/>
    <n v="0"/>
    <x v="275"/>
    <s v="Bangalore"/>
    <s v="B2C"/>
    <n v="1333.87"/>
  </r>
  <r>
    <x v="509"/>
    <x v="4"/>
    <s v="Graphic Tee"/>
    <n v="2"/>
    <n v="1897.11"/>
    <n v="3794.22"/>
    <m/>
    <n v="3794.22"/>
    <x v="276"/>
    <s v="Delhi"/>
    <s v="B2C"/>
    <n v="-345.3"/>
  </r>
  <r>
    <x v="510"/>
    <x v="1"/>
    <s v="Puffer Coat"/>
    <n v="2"/>
    <m/>
    <n v="0"/>
    <n v="0.93"/>
    <n v="0"/>
    <x v="277"/>
    <s v="NaviMumbai"/>
    <s v="B2B"/>
    <n v="-521.84"/>
  </r>
  <r>
    <x v="511"/>
    <x v="3"/>
    <s v="Sunglasses"/>
    <n v="2"/>
    <m/>
    <n v="0"/>
    <m/>
    <n v="0"/>
    <x v="278"/>
    <s v="Delhi"/>
    <s v="B2C"/>
    <n v="352.91"/>
  </r>
  <r>
    <x v="512"/>
    <x v="1"/>
    <s v="Leather Jacket"/>
    <n v="6"/>
    <m/>
    <n v="0"/>
    <m/>
    <n v="0"/>
    <x v="279"/>
    <s v="Delhi"/>
    <s v="B2C"/>
    <n v="156.52000000000001"/>
  </r>
  <r>
    <x v="513"/>
    <x v="4"/>
    <s v="Oversized T-shirt"/>
    <n v="2"/>
    <n v="2343.7199999999998"/>
    <n v="4687.4399999999996"/>
    <m/>
    <n v="4687.4399999999996"/>
    <x v="180"/>
    <s v="Mumbai"/>
    <s v="B2C"/>
    <n v="-760.9"/>
  </r>
  <r>
    <x v="514"/>
    <x v="3"/>
    <s v="Sunglasses"/>
    <n v="3"/>
    <n v="4596.03"/>
    <n v="13788.09"/>
    <m/>
    <n v="13788.09"/>
    <x v="200"/>
    <s v="Delhi"/>
    <s v="B2C"/>
    <n v="-866.29"/>
  </r>
  <r>
    <x v="515"/>
    <x v="5"/>
    <s v="Casual Midi"/>
    <n v="-1"/>
    <n v="1039.31"/>
    <n v="-1039.31"/>
    <n v="0.94"/>
    <n v="-62.358600000000052"/>
    <x v="4"/>
    <s v="Ahmedabad"/>
    <s v="B2B"/>
    <n v="-104.79"/>
  </r>
  <r>
    <x v="516"/>
    <x v="0"/>
    <s v="Slim Fit Jeans"/>
    <n v="2"/>
    <n v="4944.25"/>
    <n v="9888.5"/>
    <m/>
    <n v="9888.5"/>
    <x v="95"/>
    <s v="Ahmedabad"/>
    <s v="B2B"/>
    <n v="-157.21"/>
  </r>
  <r>
    <x v="517"/>
    <x v="0"/>
    <s v="Slim Fit Jeans"/>
    <n v="2"/>
    <n v="706.71"/>
    <n v="1413.42"/>
    <m/>
    <n v="1413.42"/>
    <x v="280"/>
    <s v="Delhi"/>
    <s v="B2C"/>
    <n v="-285.44"/>
  </r>
  <r>
    <x v="518"/>
    <x v="3"/>
    <s v="Belts"/>
    <n v="1"/>
    <n v="3762.86"/>
    <n v="3762.86"/>
    <m/>
    <n v="3762.86"/>
    <x v="96"/>
    <s v="Mumbai"/>
    <s v="B2B"/>
    <n v="2567.73"/>
  </r>
  <r>
    <x v="519"/>
    <x v="4"/>
    <s v="Crop Top"/>
    <n v="4"/>
    <m/>
    <n v="0"/>
    <n v="0.71"/>
    <n v="0"/>
    <x v="281"/>
    <s v="Mumbai"/>
    <s v="B2C"/>
    <n v="-822.18"/>
  </r>
  <r>
    <x v="520"/>
    <x v="0"/>
    <s v="Straight Cut"/>
    <n v="2"/>
    <n v="2362.0300000000002"/>
    <n v="4724.0600000000004"/>
    <n v="1.27"/>
    <n v="-1275.4962000000003"/>
    <x v="196"/>
    <s v="NaviMumbai"/>
    <s v="B2C"/>
    <n v="-943.46"/>
  </r>
  <r>
    <x v="521"/>
    <x v="3"/>
    <s v="Sunglasses"/>
    <n v="6"/>
    <m/>
    <n v="0"/>
    <n v="0.44"/>
    <n v="0"/>
    <x v="282"/>
    <s v="Bangalore"/>
    <s v="B2B"/>
    <n v="547.09"/>
  </r>
  <r>
    <x v="522"/>
    <x v="4"/>
    <s v="Oversized T-shirt"/>
    <n v="-2"/>
    <m/>
    <n v="0"/>
    <n v="0.13"/>
    <n v="0"/>
    <x v="283"/>
    <s v="Ahmedabad"/>
    <s v="B2B"/>
    <n v="1475.12"/>
  </r>
  <r>
    <x v="523"/>
    <x v="5"/>
    <s v="Wrap Dress"/>
    <n v="2"/>
    <m/>
    <n v="0"/>
    <n v="0.47"/>
    <n v="0"/>
    <x v="1"/>
    <s v="NaviMumbai"/>
    <s v="B2C"/>
    <n v="2668.06"/>
  </r>
  <r>
    <x v="524"/>
    <x v="3"/>
    <s v="Watches"/>
    <n v="5"/>
    <n v="4591.26"/>
    <n v="22956.300000000003"/>
    <m/>
    <n v="22956.300000000003"/>
    <x v="210"/>
    <s v="NaviMumbai"/>
    <s v="B2B"/>
    <n v="-602.79999999999995"/>
  </r>
  <r>
    <x v="525"/>
    <x v="2"/>
    <s v="Sneakers"/>
    <n v="2"/>
    <n v="1884.25"/>
    <n v="3768.5"/>
    <m/>
    <n v="3768.5"/>
    <x v="284"/>
    <s v="Bangalore"/>
    <s v="B2C"/>
    <n v="1177.57"/>
  </r>
  <r>
    <x v="526"/>
    <x v="0"/>
    <s v="Slim Fit Jeans"/>
    <n v="2"/>
    <n v="3431.26"/>
    <n v="6862.52"/>
    <m/>
    <n v="6862.52"/>
    <x v="259"/>
    <s v="Bangalore"/>
    <s v="B2C"/>
    <n v="1931.28"/>
  </r>
  <r>
    <x v="527"/>
    <x v="4"/>
    <s v="Crop Top"/>
    <n v="0"/>
    <m/>
    <n v="0"/>
    <m/>
    <n v="0"/>
    <x v="285"/>
    <s v="Delhi"/>
    <s v="B2C"/>
    <n v="2916.18"/>
  </r>
  <r>
    <x v="528"/>
    <x v="4"/>
    <s v="Classic Tee"/>
    <n v="2"/>
    <n v="3381.7"/>
    <n v="6763.4"/>
    <m/>
    <n v="6763.4"/>
    <x v="267"/>
    <s v="Delhi"/>
    <s v="B2C"/>
    <n v="2953.76"/>
  </r>
  <r>
    <x v="529"/>
    <x v="1"/>
    <s v="Denim Jacket"/>
    <n v="6"/>
    <m/>
    <n v="0"/>
    <m/>
    <n v="0"/>
    <x v="286"/>
    <s v="NaviMumbai"/>
    <s v="B2C"/>
    <n v="1451.55"/>
  </r>
  <r>
    <x v="530"/>
    <x v="0"/>
    <s v="Ripped Denim"/>
    <n v="2"/>
    <m/>
    <n v="0"/>
    <n v="0.37"/>
    <n v="0"/>
    <x v="70"/>
    <s v="Ahmedabad"/>
    <s v="B2B"/>
    <n v="-173.83"/>
  </r>
  <r>
    <x v="531"/>
    <x v="4"/>
    <s v="Oversized T-shirt"/>
    <n v="2"/>
    <m/>
    <n v="0"/>
    <n v="0.33"/>
    <n v="0"/>
    <x v="287"/>
    <s v="Mumbai"/>
    <s v="B2B"/>
    <n v="2512.66"/>
  </r>
  <r>
    <x v="532"/>
    <x v="5"/>
    <s v="Bodycon"/>
    <n v="2"/>
    <n v="3965.94"/>
    <n v="7931.88"/>
    <m/>
    <n v="7931.88"/>
    <x v="288"/>
    <s v="Mumbai"/>
    <s v="B2C"/>
    <n v="-759.07"/>
  </r>
  <r>
    <x v="533"/>
    <x v="4"/>
    <s v="Graphic Tee"/>
    <n v="2"/>
    <m/>
    <n v="0"/>
    <m/>
    <n v="0"/>
    <x v="140"/>
    <s v="Delhi"/>
    <s v="B2B"/>
    <n v="-836.06"/>
  </r>
  <r>
    <x v="534"/>
    <x v="3"/>
    <s v="Caps"/>
    <n v="2"/>
    <n v="720.35"/>
    <n v="1440.7"/>
    <m/>
    <n v="1440.7"/>
    <x v="289"/>
    <s v="Bangalore"/>
    <s v="B2C"/>
    <n v="1359.17"/>
  </r>
  <r>
    <x v="535"/>
    <x v="5"/>
    <s v="Bodycon"/>
    <n v="1"/>
    <m/>
    <n v="0"/>
    <m/>
    <n v="0"/>
    <x v="290"/>
    <s v="Delhi"/>
    <s v="B2B"/>
    <n v="1966.62"/>
  </r>
  <r>
    <x v="536"/>
    <x v="0"/>
    <s v="Ripped Denim"/>
    <n v="-1"/>
    <m/>
    <n v="0"/>
    <n v="0.9"/>
    <n v="0"/>
    <x v="4"/>
    <s v="Bangalore"/>
    <s v="B2C"/>
    <n v="68.260000000000005"/>
  </r>
  <r>
    <x v="537"/>
    <x v="5"/>
    <s v="Bodycon"/>
    <n v="2"/>
    <n v="4767.6099999999997"/>
    <n v="9535.2199999999993"/>
    <n v="0.01"/>
    <n v="9439.8678"/>
    <x v="4"/>
    <s v="Ahmedabad"/>
    <s v="B2B"/>
    <n v="-956.8"/>
  </r>
  <r>
    <x v="538"/>
    <x v="0"/>
    <s v="Straight Cut"/>
    <n v="2"/>
    <n v="2891.64"/>
    <n v="5783.28"/>
    <m/>
    <n v="5783.28"/>
    <x v="4"/>
    <s v="Mumbai"/>
    <s v="B2C"/>
    <n v="2309.23"/>
  </r>
  <r>
    <x v="539"/>
    <x v="1"/>
    <s v="Puffer Coat"/>
    <n v="2"/>
    <m/>
    <n v="0"/>
    <m/>
    <n v="0"/>
    <x v="291"/>
    <s v="Ahmedabad"/>
    <s v="B2C"/>
    <n v="815.28"/>
  </r>
  <r>
    <x v="540"/>
    <x v="3"/>
    <s v="Caps"/>
    <n v="2"/>
    <n v="2989.4"/>
    <n v="5978.8"/>
    <m/>
    <n v="5978.8"/>
    <x v="292"/>
    <s v="Mumbai"/>
    <s v="B2C"/>
    <n v="-530.72"/>
  </r>
  <r>
    <x v="541"/>
    <x v="1"/>
    <s v="Bomber Jacket"/>
    <n v="1"/>
    <n v="2044.17"/>
    <n v="2044.17"/>
    <m/>
    <n v="2044.17"/>
    <x v="4"/>
    <s v="Pune"/>
    <s v="B2C"/>
    <n v="-798.37"/>
  </r>
  <r>
    <x v="542"/>
    <x v="5"/>
    <s v="Bodycon"/>
    <n v="1"/>
    <n v="4440.24"/>
    <n v="4440.24"/>
    <n v="0.32"/>
    <n v="3019.3631999999998"/>
    <x v="4"/>
    <s v="Ahmedabad"/>
    <s v="B2B"/>
    <n v="1884.06"/>
  </r>
  <r>
    <x v="543"/>
    <x v="5"/>
    <s v="Maxi Dress"/>
    <n v="6"/>
    <m/>
    <n v="0"/>
    <m/>
    <n v="0"/>
    <x v="4"/>
    <s v="Bangalore"/>
    <s v="B2C"/>
    <n v="87.47"/>
  </r>
  <r>
    <x v="544"/>
    <x v="5"/>
    <s v="Casual Midi"/>
    <n v="1"/>
    <m/>
    <n v="0"/>
    <m/>
    <n v="0"/>
    <x v="246"/>
    <s v="NaviMumbai"/>
    <s v="B2B"/>
    <n v="2526.29"/>
  </r>
  <r>
    <x v="545"/>
    <x v="4"/>
    <s v="Oversized T-shirt"/>
    <n v="2"/>
    <m/>
    <n v="0"/>
    <m/>
    <n v="0"/>
    <x v="293"/>
    <s v="Ahmedabad"/>
    <s v="B2C"/>
    <n v="1978.16"/>
  </r>
  <r>
    <x v="546"/>
    <x v="5"/>
    <s v="Maxi Dress"/>
    <n v="6"/>
    <m/>
    <n v="0"/>
    <n v="0.95"/>
    <n v="0"/>
    <x v="294"/>
    <s v="Pune"/>
    <s v="B2B"/>
    <n v="1018.03"/>
  </r>
  <r>
    <x v="547"/>
    <x v="1"/>
    <s v="Bomber Jacket"/>
    <n v="2"/>
    <n v="2273.15"/>
    <n v="4546.3"/>
    <m/>
    <n v="4546.3"/>
    <x v="4"/>
    <s v="Ahmedabad"/>
    <s v="B2C"/>
    <n v="-701.47"/>
  </r>
  <r>
    <x v="548"/>
    <x v="3"/>
    <s v="Sunglasses"/>
    <n v="2"/>
    <n v="2465.23"/>
    <n v="4930.46"/>
    <n v="0.42"/>
    <n v="2859.6668000000004"/>
    <x v="4"/>
    <s v="Bangalore"/>
    <s v="B2C"/>
    <n v="256.3"/>
  </r>
  <r>
    <x v="549"/>
    <x v="1"/>
    <s v="Leather Jacket"/>
    <n v="1"/>
    <m/>
    <n v="0"/>
    <n v="0.1"/>
    <n v="0"/>
    <x v="111"/>
    <s v="Pune"/>
    <s v="B2C"/>
    <n v="2195.27"/>
  </r>
  <r>
    <x v="550"/>
    <x v="1"/>
    <s v="Leather Jacket"/>
    <n v="2"/>
    <n v="2656.77"/>
    <n v="5313.54"/>
    <n v="1.05"/>
    <n v="-265.67700000000025"/>
    <x v="4"/>
    <s v="Mumbai"/>
    <s v="B2C"/>
    <n v="2293.08"/>
  </r>
  <r>
    <x v="551"/>
    <x v="2"/>
    <s v="Slip-ons"/>
    <n v="2"/>
    <n v="883.76"/>
    <n v="1767.52"/>
    <m/>
    <n v="1767.52"/>
    <x v="4"/>
    <s v="Ahmedabad"/>
    <s v="B2C"/>
    <n v="-572.62"/>
  </r>
  <r>
    <x v="552"/>
    <x v="3"/>
    <s v="Belts"/>
    <n v="1"/>
    <m/>
    <n v="0"/>
    <m/>
    <n v="0"/>
    <x v="4"/>
    <s v="NaviMumbai"/>
    <s v="B2C"/>
    <n v="2824.43"/>
  </r>
  <r>
    <x v="553"/>
    <x v="2"/>
    <s v="Loafers"/>
    <n v="2"/>
    <n v="2345.71"/>
    <n v="4691.42"/>
    <m/>
    <n v="4691.42"/>
    <x v="187"/>
    <s v="Pune"/>
    <s v="B2C"/>
    <n v="2041.71"/>
  </r>
  <r>
    <x v="554"/>
    <x v="3"/>
    <s v="Belts"/>
    <n v="2"/>
    <m/>
    <n v="0"/>
    <m/>
    <n v="0"/>
    <x v="4"/>
    <s v="Bangalore"/>
    <s v="B2C"/>
    <n v="312.38"/>
  </r>
  <r>
    <x v="555"/>
    <x v="0"/>
    <s v="Boyfriend Jeans"/>
    <n v="2"/>
    <n v="453.92"/>
    <n v="907.84"/>
    <m/>
    <n v="907.84"/>
    <x v="147"/>
    <s v="Bangalore"/>
    <s v="B2B"/>
    <n v="2308.0100000000002"/>
  </r>
  <r>
    <x v="556"/>
    <x v="1"/>
    <s v="Puffer Coat"/>
    <n v="2"/>
    <n v="4402.3999999999996"/>
    <n v="8804.7999999999993"/>
    <m/>
    <n v="8804.7999999999993"/>
    <x v="295"/>
    <s v="NaviMumbai"/>
    <s v="B2C"/>
    <n v="-594.21"/>
  </r>
  <r>
    <x v="557"/>
    <x v="4"/>
    <s v="Graphic Tee"/>
    <n v="-2"/>
    <m/>
    <n v="0"/>
    <m/>
    <n v="0"/>
    <x v="296"/>
    <s v="Pune"/>
    <s v="B2C"/>
    <n v="300.17"/>
  </r>
  <r>
    <x v="558"/>
    <x v="1"/>
    <s v="Leather Jacket"/>
    <n v="2"/>
    <m/>
    <n v="0"/>
    <n v="0.09"/>
    <n v="0"/>
    <x v="4"/>
    <s v="Mumbai"/>
    <s v="B2C"/>
    <n v="-548.17999999999995"/>
  </r>
  <r>
    <x v="559"/>
    <x v="3"/>
    <s v="Caps"/>
    <n v="2"/>
    <m/>
    <n v="0"/>
    <n v="0.71"/>
    <n v="0"/>
    <x v="125"/>
    <s v="NaviMumbai"/>
    <s v="B2B"/>
    <n v="574.85"/>
  </r>
  <r>
    <x v="560"/>
    <x v="2"/>
    <s v="Sneakers"/>
    <n v="4"/>
    <m/>
    <n v="0"/>
    <m/>
    <n v="0"/>
    <x v="297"/>
    <s v="Delhi"/>
    <s v="B2C"/>
    <n v="2513.2399999999998"/>
  </r>
  <r>
    <x v="561"/>
    <x v="3"/>
    <s v="Caps"/>
    <n v="2"/>
    <m/>
    <n v="0"/>
    <m/>
    <n v="0"/>
    <x v="4"/>
    <s v="NaviMumbai"/>
    <s v="B2B"/>
    <n v="930.14"/>
  </r>
  <r>
    <x v="562"/>
    <x v="5"/>
    <s v="Maxi Dress"/>
    <n v="5"/>
    <n v="1571.12"/>
    <n v="7855.5999999999995"/>
    <n v="0.65"/>
    <n v="2749.4599999999996"/>
    <x v="4"/>
    <s v="Ahmedabad"/>
    <s v="B2C"/>
    <n v="103.28"/>
  </r>
  <r>
    <x v="563"/>
    <x v="0"/>
    <s v="Boyfriend Jeans"/>
    <n v="2"/>
    <m/>
    <n v="0"/>
    <n v="0.67"/>
    <n v="0"/>
    <x v="4"/>
    <s v="Pune"/>
    <s v="B2C"/>
    <n v="-953.17"/>
  </r>
  <r>
    <x v="564"/>
    <x v="3"/>
    <s v="Caps"/>
    <n v="2"/>
    <n v="1867.24"/>
    <n v="3734.48"/>
    <n v="0.19"/>
    <n v="3024.9288000000001"/>
    <x v="276"/>
    <s v="Pune"/>
    <s v="B2B"/>
    <n v="784.96"/>
  </r>
  <r>
    <x v="565"/>
    <x v="1"/>
    <s v="Puffer Coat"/>
    <n v="2"/>
    <n v="1696.72"/>
    <n v="3393.44"/>
    <m/>
    <n v="3393.44"/>
    <x v="298"/>
    <s v="Ahmedabad"/>
    <s v="B2B"/>
    <n v="953.07"/>
  </r>
  <r>
    <x v="566"/>
    <x v="3"/>
    <s v="Belts"/>
    <n v="2"/>
    <m/>
    <n v="0"/>
    <m/>
    <n v="0"/>
    <x v="4"/>
    <s v="NaviMumbai"/>
    <s v="B2C"/>
    <n v="2545.25"/>
  </r>
  <r>
    <x v="567"/>
    <x v="0"/>
    <s v="Ripped Denim"/>
    <n v="6"/>
    <m/>
    <n v="0"/>
    <m/>
    <n v="0"/>
    <x v="4"/>
    <s v="Delhi"/>
    <s v="B2C"/>
    <n v="2403.0100000000002"/>
  </r>
  <r>
    <x v="568"/>
    <x v="5"/>
    <s v="Maxi Dress"/>
    <n v="1"/>
    <m/>
    <n v="0"/>
    <n v="0.02"/>
    <n v="0"/>
    <x v="36"/>
    <s v="Ahmedabad"/>
    <s v="B2C"/>
    <n v="576.66"/>
  </r>
  <r>
    <x v="569"/>
    <x v="1"/>
    <s v="Leather Jacket"/>
    <n v="1"/>
    <n v="4774.7700000000004"/>
    <n v="4774.7700000000004"/>
    <n v="0.96"/>
    <n v="190.99080000000018"/>
    <x v="182"/>
    <s v="Mumbai"/>
    <s v="B2C"/>
    <n v="-146.16999999999999"/>
  </r>
  <r>
    <x v="570"/>
    <x v="1"/>
    <s v="Denim Jacket"/>
    <n v="3"/>
    <n v="1308.06"/>
    <n v="3924.18"/>
    <m/>
    <n v="3924.18"/>
    <x v="4"/>
    <s v="Pune"/>
    <s v="B2C"/>
    <n v="-246.91"/>
  </r>
  <r>
    <x v="571"/>
    <x v="1"/>
    <s v="Leather Jacket"/>
    <n v="4"/>
    <m/>
    <n v="0"/>
    <n v="0.82"/>
    <n v="0"/>
    <x v="16"/>
    <s v="Delhi"/>
    <s v="B2C"/>
    <n v="534.6"/>
  </r>
  <r>
    <x v="572"/>
    <x v="0"/>
    <s v="Ripped Denim"/>
    <n v="2"/>
    <n v="3972.78"/>
    <n v="7945.56"/>
    <m/>
    <n v="7945.56"/>
    <x v="299"/>
    <s v="NaviMumbai"/>
    <s v="B2C"/>
    <n v="-902.58"/>
  </r>
  <r>
    <x v="573"/>
    <x v="3"/>
    <s v="Belts"/>
    <n v="-1"/>
    <m/>
    <n v="0"/>
    <m/>
    <n v="0"/>
    <x v="300"/>
    <s v="Ahmedabad"/>
    <s v="B2B"/>
    <n v="-803.35"/>
  </r>
  <r>
    <x v="574"/>
    <x v="4"/>
    <s v="Graphic Tee"/>
    <n v="2"/>
    <n v="615.07000000000005"/>
    <n v="1230.1400000000001"/>
    <m/>
    <n v="1230.1400000000001"/>
    <x v="111"/>
    <s v="Ahmedabad"/>
    <s v="B2C"/>
    <n v="638.16"/>
  </r>
  <r>
    <x v="575"/>
    <x v="1"/>
    <s v="Denim Jacket"/>
    <n v="1"/>
    <n v="1882.14"/>
    <n v="1882.14"/>
    <n v="0.6"/>
    <n v="752.85600000000011"/>
    <x v="301"/>
    <s v="Ahmedabad"/>
    <s v="B2B"/>
    <n v="2554.79"/>
  </r>
  <r>
    <x v="576"/>
    <x v="5"/>
    <s v="Casual Midi"/>
    <n v="2"/>
    <n v="3134.69"/>
    <n v="6269.38"/>
    <n v="7.0000000000000007E-2"/>
    <n v="5830.5234"/>
    <x v="4"/>
    <s v="Delhi"/>
    <s v="B2C"/>
    <n v="555.44000000000005"/>
  </r>
  <r>
    <x v="577"/>
    <x v="5"/>
    <s v="Maxi Dress"/>
    <n v="2"/>
    <m/>
    <n v="0"/>
    <m/>
    <n v="0"/>
    <x v="176"/>
    <s v="Bangalore"/>
    <s v="B2C"/>
    <n v="2604.12"/>
  </r>
  <r>
    <x v="578"/>
    <x v="2"/>
    <s v="Boots"/>
    <n v="3"/>
    <m/>
    <n v="0"/>
    <m/>
    <n v="0"/>
    <x v="76"/>
    <s v="NaviMumbai"/>
    <s v="B2B"/>
    <n v="-155.77000000000001"/>
  </r>
  <r>
    <x v="579"/>
    <x v="5"/>
    <s v="Wrap Dress"/>
    <n v="2"/>
    <m/>
    <n v="0"/>
    <m/>
    <n v="0"/>
    <x v="302"/>
    <s v="NaviMumbai"/>
    <s v="B2B"/>
    <n v="-364.57"/>
  </r>
  <r>
    <x v="580"/>
    <x v="0"/>
    <s v="Straight Cut"/>
    <n v="2"/>
    <m/>
    <n v="0"/>
    <m/>
    <n v="0"/>
    <x v="75"/>
    <s v="Delhi"/>
    <s v="B2C"/>
    <n v="1109.06"/>
  </r>
  <r>
    <x v="581"/>
    <x v="0"/>
    <s v="Slim Fit Jeans"/>
    <n v="1"/>
    <n v="4809.8999999999996"/>
    <n v="4809.8999999999996"/>
    <n v="0.92"/>
    <n v="384.7919999999998"/>
    <x v="134"/>
    <s v="Mumbai"/>
    <s v="B2C"/>
    <n v="-356.01"/>
  </r>
  <r>
    <x v="582"/>
    <x v="5"/>
    <s v="Casual Midi"/>
    <n v="2"/>
    <m/>
    <n v="0"/>
    <m/>
    <n v="0"/>
    <x v="303"/>
    <s v="Pune"/>
    <s v="B2B"/>
    <n v="829.03"/>
  </r>
  <r>
    <x v="583"/>
    <x v="5"/>
    <s v="Bodycon"/>
    <n v="5"/>
    <m/>
    <n v="0"/>
    <n v="0.15"/>
    <n v="0"/>
    <x v="117"/>
    <s v="Ahmedabad"/>
    <s v="B2B"/>
    <n v="2853.8"/>
  </r>
  <r>
    <x v="584"/>
    <x v="2"/>
    <s v="Sneakers"/>
    <n v="-2"/>
    <n v="2738.72"/>
    <n v="-5477.44"/>
    <n v="0.89"/>
    <n v="-602.51839999999993"/>
    <x v="104"/>
    <s v="Delhi"/>
    <s v="B2C"/>
    <n v="-709.13"/>
  </r>
  <r>
    <x v="585"/>
    <x v="2"/>
    <s v="Loafers"/>
    <n v="2"/>
    <m/>
    <n v="0"/>
    <n v="0.78"/>
    <n v="0"/>
    <x v="188"/>
    <s v="Pune"/>
    <s v="B2B"/>
    <n v="1765.79"/>
  </r>
  <r>
    <x v="586"/>
    <x v="2"/>
    <s v="Loafers"/>
    <n v="-1"/>
    <m/>
    <n v="0"/>
    <m/>
    <n v="0"/>
    <x v="4"/>
    <s v="Mumbai"/>
    <s v="B2C"/>
    <n v="1376.9"/>
  </r>
  <r>
    <x v="587"/>
    <x v="3"/>
    <s v="Sunglasses"/>
    <n v="1"/>
    <m/>
    <n v="0"/>
    <m/>
    <n v="0"/>
    <x v="304"/>
    <s v="Delhi"/>
    <s v="B2B"/>
    <n v="526.32000000000005"/>
  </r>
  <r>
    <x v="588"/>
    <x v="2"/>
    <s v="Loafers"/>
    <n v="2"/>
    <n v="527.07000000000005"/>
    <n v="1054.1400000000001"/>
    <n v="0.45"/>
    <n v="579.77700000000016"/>
    <x v="4"/>
    <s v="Mumbai"/>
    <s v="B2C"/>
    <n v="2617.9899999999998"/>
  </r>
  <r>
    <x v="589"/>
    <x v="5"/>
    <s v="Maxi Dress"/>
    <n v="6"/>
    <m/>
    <n v="0"/>
    <n v="0.67"/>
    <n v="0"/>
    <x v="4"/>
    <s v="Bangalore"/>
    <s v="B2B"/>
    <n v="-104.43"/>
  </r>
  <r>
    <x v="590"/>
    <x v="4"/>
    <s v="Graphic Tee"/>
    <n v="2"/>
    <m/>
    <n v="0"/>
    <m/>
    <n v="0"/>
    <x v="305"/>
    <s v="Mumbai"/>
    <s v="B2C"/>
    <n v="158.05000000000001"/>
  </r>
  <r>
    <x v="591"/>
    <x v="2"/>
    <s v="Sneakers"/>
    <n v="5"/>
    <m/>
    <n v="0"/>
    <n v="0.52"/>
    <n v="0"/>
    <x v="82"/>
    <s v="Mumbai"/>
    <s v="B2C"/>
    <n v="619.25"/>
  </r>
  <r>
    <x v="592"/>
    <x v="4"/>
    <s v="Graphic Tee"/>
    <n v="2"/>
    <m/>
    <n v="0"/>
    <m/>
    <n v="0"/>
    <x v="306"/>
    <s v="Mumbai"/>
    <s v="B2C"/>
    <n v="2598.9299999999998"/>
  </r>
  <r>
    <x v="593"/>
    <x v="0"/>
    <s v="Straight Cut"/>
    <n v="2"/>
    <n v="3784.99"/>
    <n v="7569.98"/>
    <m/>
    <n v="7569.98"/>
    <x v="4"/>
    <s v="Bangalore"/>
    <s v="B2C"/>
    <n v="346.37"/>
  </r>
  <r>
    <x v="594"/>
    <x v="5"/>
    <s v="Bodycon"/>
    <n v="2"/>
    <m/>
    <n v="0"/>
    <m/>
    <n v="0"/>
    <x v="7"/>
    <s v="Mumbai"/>
    <s v="B2C"/>
    <n v="1483.7"/>
  </r>
  <r>
    <x v="595"/>
    <x v="1"/>
    <s v="Puffer Coat"/>
    <n v="3"/>
    <n v="738.29"/>
    <n v="2214.87"/>
    <m/>
    <n v="2214.87"/>
    <x v="168"/>
    <s v="Ahmedabad"/>
    <s v="B2B"/>
    <n v="-871.38"/>
  </r>
  <r>
    <x v="596"/>
    <x v="4"/>
    <s v="Crop Top"/>
    <n v="1"/>
    <n v="657.51"/>
    <n v="657.51"/>
    <n v="0.77"/>
    <n v="151.22729999999999"/>
    <x v="188"/>
    <s v="Delhi"/>
    <s v="B2C"/>
    <n v="2744.32"/>
  </r>
  <r>
    <x v="597"/>
    <x v="1"/>
    <s v="Denim Jacket"/>
    <n v="2"/>
    <n v="3311.31"/>
    <n v="6622.62"/>
    <m/>
    <n v="6622.62"/>
    <x v="4"/>
    <s v="Pune"/>
    <s v="B2B"/>
    <n v="2944.25"/>
  </r>
  <r>
    <x v="598"/>
    <x v="1"/>
    <s v="Bomber Jacket"/>
    <n v="2"/>
    <m/>
    <n v="0"/>
    <m/>
    <n v="0"/>
    <x v="307"/>
    <s v="Mumbai"/>
    <s v="B2C"/>
    <n v="790.51"/>
  </r>
  <r>
    <x v="599"/>
    <x v="3"/>
    <s v="Watches"/>
    <n v="2"/>
    <m/>
    <n v="0"/>
    <m/>
    <n v="0"/>
    <x v="308"/>
    <s v="Ahmedabad"/>
    <s v="B2B"/>
    <n v="-605.05999999999995"/>
  </r>
  <r>
    <x v="600"/>
    <x v="3"/>
    <s v="Belts"/>
    <n v="2"/>
    <m/>
    <n v="0"/>
    <m/>
    <n v="0"/>
    <x v="83"/>
    <s v="Mumbai"/>
    <s v="B2B"/>
    <n v="1282.26"/>
  </r>
  <r>
    <x v="601"/>
    <x v="5"/>
    <s v="Wrap Dress"/>
    <n v="2"/>
    <n v="4256.43"/>
    <n v="8512.86"/>
    <m/>
    <n v="8512.86"/>
    <x v="8"/>
    <s v="Bangalore"/>
    <s v="B2C"/>
    <n v="2472.73"/>
  </r>
  <r>
    <x v="602"/>
    <x v="1"/>
    <s v="Bomber Jacket"/>
    <n v="2"/>
    <m/>
    <n v="0"/>
    <n v="1.05"/>
    <n v="0"/>
    <x v="4"/>
    <s v="Ahmedabad"/>
    <s v="B2C"/>
    <n v="2700.72"/>
  </r>
  <r>
    <x v="603"/>
    <x v="4"/>
    <s v="Graphic Tee"/>
    <n v="2"/>
    <m/>
    <n v="0"/>
    <m/>
    <n v="0"/>
    <x v="309"/>
    <s v="Bangalore"/>
    <s v="B2B"/>
    <n v="2976.74"/>
  </r>
  <r>
    <x v="604"/>
    <x v="3"/>
    <s v="Watches"/>
    <n v="0"/>
    <m/>
    <n v="0"/>
    <n v="0.47"/>
    <n v="0"/>
    <x v="63"/>
    <s v="NaviMumbai"/>
    <s v="B2C"/>
    <n v="-339.59"/>
  </r>
  <r>
    <x v="605"/>
    <x v="4"/>
    <s v="Graphic Tee"/>
    <n v="6"/>
    <m/>
    <n v="0"/>
    <m/>
    <n v="0"/>
    <x v="175"/>
    <s v="Delhi"/>
    <s v="B2C"/>
    <n v="-527.17999999999995"/>
  </r>
  <r>
    <x v="606"/>
    <x v="2"/>
    <s v="Loafers"/>
    <n v="2"/>
    <n v="4941.2700000000004"/>
    <n v="9882.5400000000009"/>
    <m/>
    <n v="9882.5400000000009"/>
    <x v="310"/>
    <s v="Delhi"/>
    <s v="B2C"/>
    <n v="515.05999999999995"/>
  </r>
  <r>
    <x v="607"/>
    <x v="2"/>
    <s v="Slip-ons"/>
    <n v="3"/>
    <n v="3536.61"/>
    <n v="10609.83"/>
    <n v="0.79"/>
    <n v="2228.0642999999995"/>
    <x v="257"/>
    <s v="Mumbai"/>
    <s v="B2C"/>
    <n v="-55.01"/>
  </r>
  <r>
    <x v="608"/>
    <x v="2"/>
    <s v="Loafers"/>
    <n v="4"/>
    <m/>
    <n v="0"/>
    <m/>
    <n v="0"/>
    <x v="97"/>
    <s v="NaviMumbai"/>
    <s v="B2C"/>
    <n v="-939.39"/>
  </r>
  <r>
    <x v="609"/>
    <x v="0"/>
    <s v="Straight Cut"/>
    <n v="5"/>
    <m/>
    <n v="0"/>
    <m/>
    <n v="0"/>
    <x v="183"/>
    <s v="NaviMumbai"/>
    <s v="B2B"/>
    <n v="-361.65"/>
  </r>
  <r>
    <x v="610"/>
    <x v="4"/>
    <s v="Graphic Tee"/>
    <n v="2"/>
    <m/>
    <n v="0"/>
    <n v="1.07"/>
    <n v="0"/>
    <x v="101"/>
    <s v="Delhi"/>
    <s v="B2C"/>
    <n v="-351.41"/>
  </r>
  <r>
    <x v="611"/>
    <x v="1"/>
    <s v="Puffer Coat"/>
    <n v="5"/>
    <n v="1010.24"/>
    <n v="5051.2"/>
    <m/>
    <n v="5051.2"/>
    <x v="311"/>
    <s v="Pune"/>
    <s v="B2C"/>
    <n v="2174.98"/>
  </r>
  <r>
    <x v="612"/>
    <x v="3"/>
    <s v="Watches"/>
    <n v="1"/>
    <n v="1575.26"/>
    <n v="1575.26"/>
    <m/>
    <n v="1575.26"/>
    <x v="312"/>
    <s v="Delhi"/>
    <s v="B2C"/>
    <n v="-641.72"/>
  </r>
  <r>
    <x v="613"/>
    <x v="3"/>
    <s v="Sunglasses"/>
    <n v="-1"/>
    <m/>
    <n v="0"/>
    <m/>
    <n v="0"/>
    <x v="121"/>
    <s v="Mumbai"/>
    <s v="B2C"/>
    <n v="319.85000000000002"/>
  </r>
  <r>
    <x v="614"/>
    <x v="5"/>
    <s v="Casual Midi"/>
    <n v="6"/>
    <n v="4962.7"/>
    <n v="29776.199999999997"/>
    <n v="0.02"/>
    <n v="29180.675999999996"/>
    <x v="313"/>
    <s v="NaviMumbai"/>
    <s v="B2C"/>
    <n v="61.6"/>
  </r>
  <r>
    <x v="615"/>
    <x v="2"/>
    <s v="Loafers"/>
    <n v="2"/>
    <n v="4443.82"/>
    <n v="8887.64"/>
    <m/>
    <n v="8887.64"/>
    <x v="314"/>
    <s v="Bangalore"/>
    <s v="B2C"/>
    <n v="1611.45"/>
  </r>
  <r>
    <x v="616"/>
    <x v="0"/>
    <s v="Boyfriend Jeans"/>
    <n v="2"/>
    <n v="1144.47"/>
    <n v="2288.94"/>
    <m/>
    <n v="2288.94"/>
    <x v="315"/>
    <s v="Pune"/>
    <s v="B2C"/>
    <n v="-863.76"/>
  </r>
  <r>
    <x v="617"/>
    <x v="5"/>
    <s v="Wrap Dress"/>
    <n v="2"/>
    <m/>
    <n v="0"/>
    <n v="0.85"/>
    <n v="0"/>
    <x v="316"/>
    <s v="Mumbai"/>
    <s v="B2B"/>
    <n v="2113.08"/>
  </r>
  <r>
    <x v="618"/>
    <x v="0"/>
    <s v="Straight Cut"/>
    <n v="2"/>
    <n v="1470.99"/>
    <n v="2941.98"/>
    <n v="0.7"/>
    <n v="882.59400000000016"/>
    <x v="317"/>
    <s v="Bangalore"/>
    <s v="B2B"/>
    <n v="-668.13"/>
  </r>
  <r>
    <x v="619"/>
    <x v="5"/>
    <s v="Maxi Dress"/>
    <n v="6"/>
    <m/>
    <n v="0"/>
    <n v="1.17"/>
    <n v="0"/>
    <x v="269"/>
    <s v="Delhi"/>
    <s v="B2C"/>
    <n v="1796.21"/>
  </r>
  <r>
    <x v="620"/>
    <x v="4"/>
    <s v="Classic Tee"/>
    <n v="6"/>
    <n v="639.66999999999996"/>
    <n v="3838.0199999999995"/>
    <m/>
    <n v="3838.0199999999995"/>
    <x v="134"/>
    <s v="NaviMumbai"/>
    <s v="B2B"/>
    <n v="1599.1"/>
  </r>
  <r>
    <x v="621"/>
    <x v="2"/>
    <s v="Slip-ons"/>
    <n v="1"/>
    <m/>
    <n v="0"/>
    <m/>
    <n v="0"/>
    <x v="4"/>
    <s v="Bangalore"/>
    <s v="B2C"/>
    <n v="-880.92"/>
  </r>
  <r>
    <x v="622"/>
    <x v="4"/>
    <s v="Classic Tee"/>
    <n v="2"/>
    <n v="3369.55"/>
    <n v="6739.1"/>
    <m/>
    <n v="6739.1"/>
    <x v="52"/>
    <s v="Pune"/>
    <s v="B2C"/>
    <n v="1927.24"/>
  </r>
  <r>
    <x v="623"/>
    <x v="0"/>
    <s v="Slim Fit Jeans"/>
    <n v="5"/>
    <n v="977.2"/>
    <n v="4886"/>
    <m/>
    <n v="4886"/>
    <x v="4"/>
    <s v="Pune"/>
    <s v="B2B"/>
    <n v="1003.06"/>
  </r>
  <r>
    <x v="624"/>
    <x v="3"/>
    <s v="Watches"/>
    <n v="0"/>
    <n v="735.97"/>
    <n v="0"/>
    <n v="0.26"/>
    <n v="0"/>
    <x v="174"/>
    <s v="Delhi"/>
    <s v="B2C"/>
    <n v="1690.22"/>
  </r>
  <r>
    <x v="625"/>
    <x v="5"/>
    <s v="Maxi Dress"/>
    <n v="2"/>
    <n v="4695.1499999999996"/>
    <n v="9390.2999999999993"/>
    <m/>
    <n v="9390.2999999999993"/>
    <x v="4"/>
    <s v="Pune"/>
    <s v="B2C"/>
    <n v="1584.44"/>
  </r>
  <r>
    <x v="626"/>
    <x v="0"/>
    <s v="Ripped Denim"/>
    <n v="6"/>
    <n v="987.35"/>
    <n v="5924.1"/>
    <m/>
    <n v="5924.1"/>
    <x v="152"/>
    <s v="Mumbai"/>
    <s v="B2B"/>
    <n v="-108.36"/>
  </r>
  <r>
    <x v="627"/>
    <x v="5"/>
    <s v="Bodycon"/>
    <n v="1"/>
    <n v="3345.58"/>
    <n v="3345.58"/>
    <n v="0.26"/>
    <n v="2475.7291999999998"/>
    <x v="318"/>
    <s v="NaviMumbai"/>
    <s v="B2C"/>
    <n v="2274.54"/>
  </r>
  <r>
    <x v="628"/>
    <x v="2"/>
    <s v="Boots"/>
    <n v="2"/>
    <n v="829.14"/>
    <n v="1658.28"/>
    <m/>
    <n v="1658.28"/>
    <x v="4"/>
    <s v="Ahmedabad"/>
    <s v="B2C"/>
    <n v="2172.06"/>
  </r>
  <r>
    <x v="629"/>
    <x v="0"/>
    <s v="Ripped Denim"/>
    <n v="2"/>
    <n v="2393.14"/>
    <n v="4786.28"/>
    <n v="1"/>
    <n v="0"/>
    <x v="319"/>
    <s v="Bangalore"/>
    <s v="B2C"/>
    <n v="715.08"/>
  </r>
  <r>
    <x v="630"/>
    <x v="5"/>
    <s v="Casual Midi"/>
    <n v="2"/>
    <m/>
    <n v="0"/>
    <m/>
    <n v="0"/>
    <x v="272"/>
    <s v="NaviMumbai"/>
    <s v="B2C"/>
    <n v="186.7"/>
  </r>
  <r>
    <x v="631"/>
    <x v="1"/>
    <s v="Bomber Jacket"/>
    <n v="2"/>
    <n v="2618.69"/>
    <n v="5237.38"/>
    <n v="0.11"/>
    <n v="4661.2682000000004"/>
    <x v="106"/>
    <s v="Pune"/>
    <s v="B2C"/>
    <n v="130.88999999999999"/>
  </r>
  <r>
    <x v="632"/>
    <x v="1"/>
    <s v="Bomber Jacket"/>
    <n v="2"/>
    <n v="4599.41"/>
    <n v="9198.82"/>
    <m/>
    <n v="9198.82"/>
    <x v="174"/>
    <s v="Delhi"/>
    <s v="B2B"/>
    <n v="182.46"/>
  </r>
  <r>
    <x v="633"/>
    <x v="1"/>
    <s v="Puffer Coat"/>
    <n v="2"/>
    <m/>
    <n v="0"/>
    <m/>
    <n v="0"/>
    <x v="72"/>
    <s v="Ahmedabad"/>
    <s v="B2B"/>
    <n v="108.15"/>
  </r>
  <r>
    <x v="634"/>
    <x v="3"/>
    <s v="Caps"/>
    <n v="2"/>
    <m/>
    <n v="0"/>
    <m/>
    <n v="0"/>
    <x v="320"/>
    <s v="Delhi"/>
    <s v="B2C"/>
    <n v="857.97"/>
  </r>
  <r>
    <x v="635"/>
    <x v="1"/>
    <s v="Denim Jacket"/>
    <n v="-2"/>
    <m/>
    <n v="0"/>
    <m/>
    <n v="0"/>
    <x v="143"/>
    <s v="Pune"/>
    <s v="B2C"/>
    <n v="2569.59"/>
  </r>
  <r>
    <x v="636"/>
    <x v="2"/>
    <s v="Slip-ons"/>
    <n v="2"/>
    <n v="2644.73"/>
    <n v="5289.46"/>
    <m/>
    <n v="5289.46"/>
    <x v="4"/>
    <s v="Delhi"/>
    <s v="B2B"/>
    <n v="1402.25"/>
  </r>
  <r>
    <x v="506"/>
    <x v="0"/>
    <s v="Boyfriend Jeans"/>
    <n v="2"/>
    <m/>
    <n v="0"/>
    <n v="0.54"/>
    <n v="0"/>
    <x v="207"/>
    <s v="Mumbai"/>
    <s v="B2C"/>
    <n v="2346.2199999999998"/>
  </r>
  <r>
    <x v="637"/>
    <x v="0"/>
    <s v="Boyfriend Jeans"/>
    <n v="2"/>
    <n v="4183.22"/>
    <n v="8366.44"/>
    <m/>
    <n v="8366.44"/>
    <x v="321"/>
    <s v="Bangalore"/>
    <s v="B2C"/>
    <n v="532.80999999999995"/>
  </r>
  <r>
    <x v="638"/>
    <x v="3"/>
    <s v="Belts"/>
    <n v="2"/>
    <m/>
    <n v="0"/>
    <m/>
    <n v="0"/>
    <x v="62"/>
    <s v="Pune"/>
    <s v="B2C"/>
    <n v="1823.75"/>
  </r>
  <r>
    <x v="639"/>
    <x v="3"/>
    <s v="Caps"/>
    <n v="2"/>
    <n v="1278.98"/>
    <n v="2557.96"/>
    <n v="0.54"/>
    <n v="1176.6615999999999"/>
    <x v="302"/>
    <s v="Ahmedabad"/>
    <s v="B2C"/>
    <n v="34.99"/>
  </r>
  <r>
    <x v="640"/>
    <x v="1"/>
    <s v="Denim Jacket"/>
    <n v="3"/>
    <m/>
    <n v="0"/>
    <m/>
    <n v="0"/>
    <x v="151"/>
    <s v="NaviMumbai"/>
    <s v="B2C"/>
    <n v="2906.72"/>
  </r>
  <r>
    <x v="641"/>
    <x v="2"/>
    <s v="Boots"/>
    <n v="-1"/>
    <m/>
    <n v="0"/>
    <n v="0.35"/>
    <n v="0"/>
    <x v="322"/>
    <s v="Bangalore"/>
    <s v="B2B"/>
    <n v="2589.4299999999998"/>
  </r>
  <r>
    <x v="642"/>
    <x v="5"/>
    <s v="Wrap Dress"/>
    <n v="2"/>
    <m/>
    <n v="0"/>
    <m/>
    <n v="0"/>
    <x v="4"/>
    <s v="NaviMumbai"/>
    <s v="B2C"/>
    <n v="1343.06"/>
  </r>
  <r>
    <x v="643"/>
    <x v="4"/>
    <s v="Classic Tee"/>
    <n v="-2"/>
    <n v="2660.45"/>
    <n v="-5320.9"/>
    <n v="0.22"/>
    <n v="-4150.3019999999997"/>
    <x v="310"/>
    <s v="Bangalore"/>
    <s v="B2B"/>
    <n v="-825.82"/>
  </r>
  <r>
    <x v="644"/>
    <x v="0"/>
    <s v="Ripped Denim"/>
    <n v="0"/>
    <n v="3393.47"/>
    <n v="0"/>
    <n v="0.38"/>
    <n v="0"/>
    <x v="323"/>
    <s v="Ahmedabad"/>
    <s v="B2C"/>
    <n v="925.07"/>
  </r>
  <r>
    <x v="645"/>
    <x v="2"/>
    <s v="Boots"/>
    <n v="2"/>
    <n v="498.95"/>
    <n v="997.9"/>
    <n v="1.19"/>
    <n v="-189.60099999999994"/>
    <x v="163"/>
    <s v="Mumbai"/>
    <s v="B2C"/>
    <n v="-433.87"/>
  </r>
  <r>
    <x v="646"/>
    <x v="1"/>
    <s v="Bomber Jacket"/>
    <n v="2"/>
    <m/>
    <n v="0"/>
    <m/>
    <n v="0"/>
    <x v="112"/>
    <s v="Mumbai"/>
    <s v="B2B"/>
    <n v="-952.5"/>
  </r>
  <r>
    <x v="647"/>
    <x v="2"/>
    <s v="Boots"/>
    <n v="2"/>
    <m/>
    <n v="0"/>
    <n v="0.06"/>
    <n v="0"/>
    <x v="107"/>
    <s v="NaviMumbai"/>
    <s v="B2B"/>
    <n v="-640.58000000000004"/>
  </r>
  <r>
    <x v="648"/>
    <x v="5"/>
    <s v="Wrap Dress"/>
    <n v="2"/>
    <m/>
    <n v="0"/>
    <n v="0.96"/>
    <n v="0"/>
    <x v="199"/>
    <s v="Mumbai"/>
    <s v="B2C"/>
    <n v="1943.2"/>
  </r>
  <r>
    <x v="649"/>
    <x v="2"/>
    <s v="Sneakers"/>
    <n v="3"/>
    <m/>
    <n v="0"/>
    <n v="0.05"/>
    <n v="0"/>
    <x v="4"/>
    <s v="Mumbai"/>
    <s v="B2C"/>
    <n v="-551.78"/>
  </r>
  <r>
    <x v="650"/>
    <x v="5"/>
    <s v="Maxi Dress"/>
    <n v="2"/>
    <n v="2375.56"/>
    <n v="4751.12"/>
    <n v="0.59"/>
    <n v="1947.9592"/>
    <x v="4"/>
    <s v="NaviMumbai"/>
    <s v="B2C"/>
    <n v="2699.88"/>
  </r>
  <r>
    <x v="651"/>
    <x v="1"/>
    <s v="Denim Jacket"/>
    <n v="2"/>
    <n v="2563.6"/>
    <n v="5127.2"/>
    <n v="0.88"/>
    <n v="615.26400000000001"/>
    <x v="324"/>
    <s v="Mumbai"/>
    <s v="B2B"/>
    <n v="516.95000000000005"/>
  </r>
  <r>
    <x v="652"/>
    <x v="3"/>
    <s v="Caps"/>
    <n v="1"/>
    <m/>
    <n v="0"/>
    <m/>
    <n v="0"/>
    <x v="325"/>
    <s v="Ahmedabad"/>
    <s v="B2B"/>
    <n v="1433.43"/>
  </r>
  <r>
    <x v="653"/>
    <x v="0"/>
    <s v="Boyfriend Jeans"/>
    <n v="5"/>
    <n v="1385.86"/>
    <n v="6929.2999999999993"/>
    <n v="0.71"/>
    <n v="2009.4970000000001"/>
    <x v="326"/>
    <s v="Mumbai"/>
    <s v="B2C"/>
    <n v="1839.94"/>
  </r>
  <r>
    <x v="654"/>
    <x v="2"/>
    <s v="Slip-ons"/>
    <n v="2"/>
    <m/>
    <n v="0"/>
    <m/>
    <n v="0"/>
    <x v="18"/>
    <s v="Delhi"/>
    <s v="B2C"/>
    <n v="1872.27"/>
  </r>
  <r>
    <x v="655"/>
    <x v="0"/>
    <s v="Ripped Denim"/>
    <n v="2"/>
    <m/>
    <n v="0"/>
    <m/>
    <n v="0"/>
    <x v="320"/>
    <s v="Bangalore"/>
    <s v="B2B"/>
    <n v="2507.9299999999998"/>
  </r>
  <r>
    <x v="656"/>
    <x v="1"/>
    <s v="Puffer Coat"/>
    <n v="2"/>
    <m/>
    <n v="0"/>
    <m/>
    <n v="0"/>
    <x v="307"/>
    <s v="Bangalore"/>
    <s v="B2C"/>
    <n v="2996.16"/>
  </r>
  <r>
    <x v="657"/>
    <x v="2"/>
    <s v="Sneakers"/>
    <n v="2"/>
    <n v="1014.86"/>
    <n v="2029.72"/>
    <n v="0.31"/>
    <n v="1400.5067999999999"/>
    <x v="4"/>
    <s v="Pune"/>
    <s v="B2C"/>
    <n v="-379.55"/>
  </r>
  <r>
    <x v="658"/>
    <x v="0"/>
    <s v="Slim Fit Jeans"/>
    <n v="2"/>
    <m/>
    <n v="0"/>
    <n v="1.1000000000000001"/>
    <n v="0"/>
    <x v="136"/>
    <s v="Mumbai"/>
    <s v="B2B"/>
    <n v="2345.37"/>
  </r>
  <r>
    <x v="659"/>
    <x v="2"/>
    <s v="Boots"/>
    <n v="-2"/>
    <m/>
    <n v="0"/>
    <m/>
    <n v="0"/>
    <x v="211"/>
    <s v="Bangalore"/>
    <s v="B2C"/>
    <n v="49.2"/>
  </r>
  <r>
    <x v="660"/>
    <x v="3"/>
    <s v="Belts"/>
    <n v="6"/>
    <m/>
    <n v="0"/>
    <n v="0.96"/>
    <n v="0"/>
    <x v="4"/>
    <s v="Ahmedabad"/>
    <s v="B2C"/>
    <n v="665.51"/>
  </r>
  <r>
    <x v="661"/>
    <x v="2"/>
    <s v="Loafers"/>
    <n v="3"/>
    <m/>
    <n v="0"/>
    <m/>
    <n v="0"/>
    <x v="327"/>
    <s v="Bangalore"/>
    <s v="B2C"/>
    <n v="2091.5300000000002"/>
  </r>
  <r>
    <x v="662"/>
    <x v="2"/>
    <s v="Boots"/>
    <n v="-1"/>
    <m/>
    <n v="0"/>
    <m/>
    <n v="0"/>
    <x v="26"/>
    <s v="NaviMumbai"/>
    <s v="B2C"/>
    <n v="844.94"/>
  </r>
  <r>
    <x v="663"/>
    <x v="4"/>
    <s v="Crop Top"/>
    <n v="2"/>
    <n v="4504.03"/>
    <n v="9008.06"/>
    <m/>
    <n v="9008.06"/>
    <x v="124"/>
    <s v="Delhi"/>
    <s v="B2C"/>
    <n v="1488.95"/>
  </r>
  <r>
    <x v="664"/>
    <x v="0"/>
    <s v="Straight Cut"/>
    <n v="2"/>
    <n v="973.63"/>
    <n v="1947.26"/>
    <m/>
    <n v="1947.26"/>
    <x v="22"/>
    <s v="Delhi"/>
    <s v="B2C"/>
    <n v="-148.66999999999999"/>
  </r>
  <r>
    <x v="665"/>
    <x v="2"/>
    <s v="Sneakers"/>
    <n v="2"/>
    <n v="4021"/>
    <n v="8042"/>
    <m/>
    <n v="8042"/>
    <x v="158"/>
    <s v="Mumbai"/>
    <s v="B2B"/>
    <n v="2323.66"/>
  </r>
  <r>
    <x v="666"/>
    <x v="0"/>
    <s v="Boyfriend Jeans"/>
    <n v="2"/>
    <n v="2534.08"/>
    <n v="5068.16"/>
    <m/>
    <n v="5068.16"/>
    <x v="13"/>
    <s v="NaviMumbai"/>
    <s v="B2C"/>
    <n v="941.2"/>
  </r>
  <r>
    <x v="667"/>
    <x v="2"/>
    <s v="Boots"/>
    <n v="0"/>
    <n v="1838.63"/>
    <n v="0"/>
    <m/>
    <n v="0"/>
    <x v="4"/>
    <s v="Pune"/>
    <s v="B2C"/>
    <n v="-524.25"/>
  </r>
  <r>
    <x v="668"/>
    <x v="4"/>
    <s v="Classic Tee"/>
    <n v="2"/>
    <m/>
    <n v="0"/>
    <n v="0.69"/>
    <n v="0"/>
    <x v="43"/>
    <s v="NaviMumbai"/>
    <s v="B2B"/>
    <n v="462.22"/>
  </r>
  <r>
    <x v="669"/>
    <x v="0"/>
    <s v="Slim Fit Jeans"/>
    <n v="2"/>
    <n v="4417.34"/>
    <n v="8834.68"/>
    <m/>
    <n v="8834.68"/>
    <x v="185"/>
    <s v="Ahmedabad"/>
    <s v="B2B"/>
    <n v="-72.28"/>
  </r>
  <r>
    <x v="670"/>
    <x v="3"/>
    <s v="Belts"/>
    <n v="5"/>
    <m/>
    <n v="0"/>
    <m/>
    <n v="0"/>
    <x v="4"/>
    <s v="Delhi"/>
    <s v="B2B"/>
    <n v="-587.27"/>
  </r>
  <r>
    <x v="671"/>
    <x v="3"/>
    <s v="Watches"/>
    <n v="2"/>
    <n v="3992.21"/>
    <n v="7984.42"/>
    <n v="0.67"/>
    <n v="2634.8585999999996"/>
    <x v="4"/>
    <s v="Mumbai"/>
    <s v="B2C"/>
    <n v="617.12"/>
  </r>
  <r>
    <x v="672"/>
    <x v="0"/>
    <s v="Straight Cut"/>
    <n v="2"/>
    <m/>
    <n v="0"/>
    <n v="0.19"/>
    <n v="0"/>
    <x v="276"/>
    <s v="Bangalore"/>
    <s v="B2C"/>
    <n v="-680.26"/>
  </r>
  <r>
    <x v="673"/>
    <x v="5"/>
    <s v="Casual Midi"/>
    <n v="2"/>
    <m/>
    <n v="0"/>
    <m/>
    <n v="0"/>
    <x v="78"/>
    <s v="Mumbai"/>
    <s v="B2C"/>
    <n v="340.43"/>
  </r>
  <r>
    <x v="674"/>
    <x v="5"/>
    <s v="Maxi Dress"/>
    <n v="0"/>
    <n v="4351.82"/>
    <n v="0"/>
    <m/>
    <n v="0"/>
    <x v="4"/>
    <s v="Bangalore"/>
    <s v="B2C"/>
    <n v="1818.14"/>
  </r>
  <r>
    <x v="675"/>
    <x v="1"/>
    <s v="Bomber Jacket"/>
    <n v="2"/>
    <n v="4639.8599999999997"/>
    <n v="9279.7199999999993"/>
    <n v="0.69"/>
    <n v="2876.7132000000001"/>
    <x v="328"/>
    <s v="NaviMumbai"/>
    <s v="B2C"/>
    <n v="1323.79"/>
  </r>
  <r>
    <x v="676"/>
    <x v="3"/>
    <s v="Watches"/>
    <n v="4"/>
    <n v="1429.93"/>
    <n v="5719.72"/>
    <m/>
    <n v="5719.72"/>
    <x v="329"/>
    <s v="Ahmedabad"/>
    <s v="B2B"/>
    <n v="1844.84"/>
  </r>
  <r>
    <x v="677"/>
    <x v="4"/>
    <s v="Classic Tee"/>
    <n v="1"/>
    <n v="4198.5"/>
    <n v="4198.5"/>
    <m/>
    <n v="4198.5"/>
    <x v="330"/>
    <s v="Pune"/>
    <s v="B2C"/>
    <n v="2518.86"/>
  </r>
  <r>
    <x v="678"/>
    <x v="0"/>
    <s v="Straight Cut"/>
    <n v="2"/>
    <m/>
    <n v="0"/>
    <m/>
    <n v="0"/>
    <x v="190"/>
    <s v="Ahmedabad"/>
    <s v="B2B"/>
    <n v="2873.92"/>
  </r>
  <r>
    <x v="679"/>
    <x v="5"/>
    <s v="Maxi Dress"/>
    <n v="2"/>
    <m/>
    <n v="0"/>
    <n v="0.26"/>
    <n v="0"/>
    <x v="331"/>
    <s v="Ahmedabad"/>
    <s v="B2B"/>
    <n v="-579.16"/>
  </r>
  <r>
    <x v="680"/>
    <x v="3"/>
    <s v="Sunglasses"/>
    <n v="5"/>
    <n v="4307.08"/>
    <n v="21535.4"/>
    <n v="1.26"/>
    <n v="-5599.2040000000006"/>
    <x v="332"/>
    <s v="Delhi"/>
    <s v="B2C"/>
    <n v="961.46"/>
  </r>
  <r>
    <x v="681"/>
    <x v="0"/>
    <s v="Ripped Denim"/>
    <n v="2"/>
    <n v="1743.64"/>
    <n v="3487.28"/>
    <m/>
    <n v="3487.28"/>
    <x v="4"/>
    <s v="Pune"/>
    <s v="B2C"/>
    <n v="32.33"/>
  </r>
  <r>
    <x v="682"/>
    <x v="5"/>
    <s v="Maxi Dress"/>
    <n v="-2"/>
    <n v="3537.97"/>
    <n v="-7075.94"/>
    <n v="0.26"/>
    <n v="-5236.1956"/>
    <x v="333"/>
    <s v="Bangalore"/>
    <s v="B2C"/>
    <n v="1385.75"/>
  </r>
  <r>
    <x v="683"/>
    <x v="5"/>
    <s v="Bodycon"/>
    <n v="4"/>
    <m/>
    <n v="0"/>
    <m/>
    <n v="0"/>
    <x v="4"/>
    <s v="NaviMumbai"/>
    <s v="B2B"/>
    <n v="1108.04"/>
  </r>
  <r>
    <x v="684"/>
    <x v="0"/>
    <s v="Boyfriend Jeans"/>
    <n v="1"/>
    <m/>
    <n v="0"/>
    <n v="0.06"/>
    <n v="0"/>
    <x v="4"/>
    <s v="Pune"/>
    <s v="B2C"/>
    <n v="718.58"/>
  </r>
  <r>
    <x v="685"/>
    <x v="1"/>
    <s v="Denim Jacket"/>
    <n v="2"/>
    <m/>
    <n v="0"/>
    <m/>
    <n v="0"/>
    <x v="334"/>
    <s v="NaviMumbai"/>
    <s v="B2C"/>
    <n v="1132.23"/>
  </r>
  <r>
    <x v="686"/>
    <x v="3"/>
    <s v="Watches"/>
    <n v="2"/>
    <n v="4177.8599999999997"/>
    <n v="8355.7199999999993"/>
    <m/>
    <n v="8355.7199999999993"/>
    <x v="4"/>
    <s v="NaviMumbai"/>
    <s v="B2C"/>
    <n v="2610.69"/>
  </r>
  <r>
    <x v="687"/>
    <x v="4"/>
    <s v="Oversized T-shirt"/>
    <n v="2"/>
    <n v="1193.48"/>
    <n v="2386.96"/>
    <m/>
    <n v="2386.96"/>
    <x v="4"/>
    <s v="Pune"/>
    <s v="B2C"/>
    <n v="2629.51"/>
  </r>
  <r>
    <x v="688"/>
    <x v="1"/>
    <s v="Puffer Coat"/>
    <n v="5"/>
    <n v="1941.39"/>
    <n v="9706.9500000000007"/>
    <n v="0.54"/>
    <n v="4465.1970000000001"/>
    <x v="68"/>
    <s v="Delhi"/>
    <s v="B2C"/>
    <n v="206.95"/>
  </r>
  <r>
    <x v="689"/>
    <x v="2"/>
    <s v="Boots"/>
    <n v="6"/>
    <n v="2878.51"/>
    <n v="17271.060000000001"/>
    <m/>
    <n v="17271.060000000001"/>
    <x v="142"/>
    <s v="Mumbai"/>
    <s v="B2C"/>
    <n v="2503.5100000000002"/>
  </r>
  <r>
    <x v="690"/>
    <x v="4"/>
    <s v="Oversized T-shirt"/>
    <n v="2"/>
    <n v="2509.38"/>
    <n v="5018.76"/>
    <n v="0.67"/>
    <n v="1656.1907999999999"/>
    <x v="335"/>
    <s v="Ahmedabad"/>
    <s v="B2C"/>
    <n v="39.25"/>
  </r>
  <r>
    <x v="691"/>
    <x v="1"/>
    <s v="Leather Jacket"/>
    <n v="1"/>
    <m/>
    <n v="0"/>
    <m/>
    <n v="0"/>
    <x v="336"/>
    <s v="Bangalore"/>
    <s v="B2C"/>
    <n v="2028.4"/>
  </r>
  <r>
    <x v="692"/>
    <x v="0"/>
    <s v="Boyfriend Jeans"/>
    <n v="2"/>
    <m/>
    <n v="0"/>
    <m/>
    <n v="0"/>
    <x v="204"/>
    <s v="NaviMumbai"/>
    <s v="B2B"/>
    <n v="264.60000000000002"/>
  </r>
  <r>
    <x v="693"/>
    <x v="1"/>
    <s v="Leather Jacket"/>
    <n v="2"/>
    <n v="3785.14"/>
    <n v="7570.28"/>
    <m/>
    <n v="7570.28"/>
    <x v="4"/>
    <s v="Mumbai"/>
    <s v="B2C"/>
    <n v="-982.7"/>
  </r>
  <r>
    <x v="694"/>
    <x v="2"/>
    <s v="Sneakers"/>
    <n v="2"/>
    <n v="532.47"/>
    <n v="1064.94"/>
    <m/>
    <n v="1064.94"/>
    <x v="4"/>
    <s v="Mumbai"/>
    <s v="B2B"/>
    <n v="666.49"/>
  </r>
  <r>
    <x v="695"/>
    <x v="3"/>
    <s v="Belts"/>
    <n v="2"/>
    <n v="1758.97"/>
    <n v="3517.94"/>
    <m/>
    <n v="3517.94"/>
    <x v="39"/>
    <s v="Delhi"/>
    <s v="B2C"/>
    <n v="2026.97"/>
  </r>
  <r>
    <x v="696"/>
    <x v="2"/>
    <s v="Loafers"/>
    <n v="2"/>
    <n v="2111.87"/>
    <n v="4223.74"/>
    <m/>
    <n v="4223.74"/>
    <x v="337"/>
    <s v="NaviMumbai"/>
    <s v="B2C"/>
    <n v="-621"/>
  </r>
  <r>
    <x v="697"/>
    <x v="2"/>
    <s v="Sneakers"/>
    <n v="6"/>
    <n v="701.16"/>
    <n v="4206.96"/>
    <m/>
    <n v="4206.96"/>
    <x v="338"/>
    <s v="Delhi"/>
    <s v="B2C"/>
    <n v="2632.17"/>
  </r>
  <r>
    <x v="698"/>
    <x v="4"/>
    <s v="Oversized T-shirt"/>
    <n v="2"/>
    <n v="3332.06"/>
    <n v="6664.12"/>
    <n v="0.47"/>
    <n v="3531.9836"/>
    <x v="88"/>
    <s v="Mumbai"/>
    <s v="B2C"/>
    <n v="1969.67"/>
  </r>
  <r>
    <x v="699"/>
    <x v="5"/>
    <s v="Wrap Dress"/>
    <n v="2"/>
    <n v="3402.47"/>
    <n v="6804.94"/>
    <n v="1.05"/>
    <n v="-340.2470000000003"/>
    <x v="4"/>
    <s v="Ahmedabad"/>
    <s v="B2C"/>
    <n v="1713.45"/>
  </r>
  <r>
    <x v="700"/>
    <x v="2"/>
    <s v="Sneakers"/>
    <n v="2"/>
    <n v="792.36"/>
    <n v="1584.72"/>
    <m/>
    <n v="1584.72"/>
    <x v="292"/>
    <s v="Ahmedabad"/>
    <s v="B2C"/>
    <n v="990.35"/>
  </r>
  <r>
    <x v="701"/>
    <x v="0"/>
    <s v="Slim Fit Jeans"/>
    <n v="2"/>
    <m/>
    <n v="0"/>
    <n v="0.92"/>
    <n v="0"/>
    <x v="339"/>
    <s v="Pune"/>
    <s v="B2B"/>
    <n v="-96.41"/>
  </r>
  <r>
    <x v="702"/>
    <x v="4"/>
    <s v="Classic Tee"/>
    <n v="2"/>
    <m/>
    <n v="0"/>
    <n v="0.47"/>
    <n v="0"/>
    <x v="10"/>
    <s v="Bangalore"/>
    <s v="B2B"/>
    <n v="2611.36"/>
  </r>
  <r>
    <x v="703"/>
    <x v="2"/>
    <s v="Sneakers"/>
    <n v="-2"/>
    <n v="4170.76"/>
    <n v="-8341.52"/>
    <m/>
    <n v="-8341.52"/>
    <x v="206"/>
    <s v="Bangalore"/>
    <s v="B2C"/>
    <n v="826.76"/>
  </r>
  <r>
    <x v="704"/>
    <x v="1"/>
    <s v="Denim Jacket"/>
    <n v="5"/>
    <n v="4827.8900000000003"/>
    <n v="24139.45"/>
    <n v="0.84"/>
    <n v="3862.3120000000008"/>
    <x v="4"/>
    <s v="Ahmedabad"/>
    <s v="B2C"/>
    <n v="2824.1"/>
  </r>
  <r>
    <x v="705"/>
    <x v="1"/>
    <s v="Puffer Coat"/>
    <n v="6"/>
    <m/>
    <n v="0"/>
    <m/>
    <n v="0"/>
    <x v="4"/>
    <s v="Mumbai"/>
    <s v="B2B"/>
    <n v="1903.2"/>
  </r>
  <r>
    <x v="706"/>
    <x v="3"/>
    <s v="Sunglasses"/>
    <n v="0"/>
    <m/>
    <n v="0"/>
    <n v="0.55000000000000004"/>
    <n v="0"/>
    <x v="340"/>
    <s v="Delhi"/>
    <s v="B2C"/>
    <n v="1400.39"/>
  </r>
  <r>
    <x v="707"/>
    <x v="1"/>
    <s v="Denim Jacket"/>
    <n v="5"/>
    <n v="1717.79"/>
    <n v="8588.9500000000007"/>
    <m/>
    <n v="8588.9500000000007"/>
    <x v="134"/>
    <s v="Ahmedabad"/>
    <s v="B2B"/>
    <n v="2264.16"/>
  </r>
  <r>
    <x v="708"/>
    <x v="3"/>
    <s v="Watches"/>
    <n v="-1"/>
    <m/>
    <n v="0"/>
    <n v="0.45"/>
    <n v="0"/>
    <x v="284"/>
    <s v="Ahmedabad"/>
    <s v="B2C"/>
    <n v="-333.46"/>
  </r>
  <r>
    <x v="709"/>
    <x v="3"/>
    <s v="Watches"/>
    <n v="2"/>
    <n v="2685.92"/>
    <n v="5371.84"/>
    <m/>
    <n v="5371.84"/>
    <x v="144"/>
    <s v="Pune"/>
    <s v="B2B"/>
    <n v="2804.29"/>
  </r>
  <r>
    <x v="710"/>
    <x v="3"/>
    <s v="Belts"/>
    <n v="-1"/>
    <n v="2386.58"/>
    <n v="-2386.58"/>
    <m/>
    <n v="-2386.58"/>
    <x v="43"/>
    <s v="Pune"/>
    <s v="B2B"/>
    <n v="1879.59"/>
  </r>
  <r>
    <x v="711"/>
    <x v="4"/>
    <s v="Graphic Tee"/>
    <n v="2"/>
    <m/>
    <n v="0"/>
    <m/>
    <n v="0"/>
    <x v="341"/>
    <s v="Pune"/>
    <s v="B2C"/>
    <n v="832.34"/>
  </r>
  <r>
    <x v="712"/>
    <x v="4"/>
    <s v="Graphic Tee"/>
    <n v="2"/>
    <m/>
    <n v="0"/>
    <m/>
    <n v="0"/>
    <x v="4"/>
    <s v="NaviMumbai"/>
    <s v="B2C"/>
    <n v="-746.03"/>
  </r>
  <r>
    <x v="713"/>
    <x v="3"/>
    <s v="Watches"/>
    <n v="2"/>
    <n v="3863.51"/>
    <n v="7727.02"/>
    <m/>
    <n v="7727.02"/>
    <x v="342"/>
    <s v="Mumbai"/>
    <s v="B2C"/>
    <n v="-830.55"/>
  </r>
  <r>
    <x v="714"/>
    <x v="5"/>
    <s v="Casual Midi"/>
    <n v="2"/>
    <n v="980.17"/>
    <n v="1960.34"/>
    <m/>
    <n v="1960.34"/>
    <x v="343"/>
    <s v="Mumbai"/>
    <s v="B2B"/>
    <n v="275.05"/>
  </r>
  <r>
    <x v="715"/>
    <x v="4"/>
    <s v="Crop Top"/>
    <n v="4"/>
    <n v="1279.2"/>
    <n v="5116.8"/>
    <n v="0.27"/>
    <n v="3735.2640000000001"/>
    <x v="27"/>
    <s v="Delhi"/>
    <s v="B2C"/>
    <n v="453.7"/>
  </r>
  <r>
    <x v="716"/>
    <x v="1"/>
    <s v="Denim Jacket"/>
    <n v="5"/>
    <n v="3988.99"/>
    <n v="19944.949999999997"/>
    <m/>
    <n v="19944.949999999997"/>
    <x v="344"/>
    <s v="NaviMumbai"/>
    <s v="B2C"/>
    <n v="1430.08"/>
  </r>
  <r>
    <x v="717"/>
    <x v="0"/>
    <s v="Boyfriend Jeans"/>
    <n v="3"/>
    <n v="4407.79"/>
    <n v="13223.369999999999"/>
    <n v="0.64"/>
    <n v="4760.4131999999991"/>
    <x v="345"/>
    <s v="Delhi"/>
    <s v="B2B"/>
    <n v="1150.06"/>
  </r>
  <r>
    <x v="718"/>
    <x v="1"/>
    <s v="Leather Jacket"/>
    <n v="3"/>
    <n v="3667.54"/>
    <n v="11002.619999999999"/>
    <n v="0.56999999999999995"/>
    <n v="4731.1266000000005"/>
    <x v="346"/>
    <s v="Ahmedabad"/>
    <s v="B2B"/>
    <n v="459.43"/>
  </r>
  <r>
    <x v="719"/>
    <x v="5"/>
    <s v="Wrap Dress"/>
    <n v="2"/>
    <m/>
    <n v="0"/>
    <m/>
    <n v="0"/>
    <x v="100"/>
    <s v="Delhi"/>
    <s v="B2C"/>
    <n v="788.55"/>
  </r>
  <r>
    <x v="720"/>
    <x v="1"/>
    <s v="Bomber Jacket"/>
    <n v="2"/>
    <m/>
    <n v="0"/>
    <n v="0.85"/>
    <n v="0"/>
    <x v="4"/>
    <s v="Mumbai"/>
    <s v="B2C"/>
    <n v="1010.08"/>
  </r>
  <r>
    <x v="721"/>
    <x v="5"/>
    <s v="Bodycon"/>
    <n v="4"/>
    <m/>
    <n v="0"/>
    <n v="0.2"/>
    <n v="0"/>
    <x v="246"/>
    <s v="Ahmedabad"/>
    <s v="B2B"/>
    <n v="351.59"/>
  </r>
  <r>
    <x v="722"/>
    <x v="0"/>
    <s v="Ripped Denim"/>
    <n v="2"/>
    <n v="2047.6"/>
    <n v="4095.2"/>
    <n v="0.92"/>
    <n v="327.61599999999981"/>
    <x v="10"/>
    <s v="Bangalore"/>
    <s v="B2B"/>
    <n v="123.78"/>
  </r>
  <r>
    <x v="723"/>
    <x v="5"/>
    <s v="Maxi Dress"/>
    <n v="3"/>
    <n v="671.5"/>
    <n v="2014.5"/>
    <m/>
    <n v="2014.5"/>
    <x v="89"/>
    <s v="NaviMumbai"/>
    <s v="B2B"/>
    <n v="1938.72"/>
  </r>
  <r>
    <x v="724"/>
    <x v="5"/>
    <s v="Bodycon"/>
    <n v="5"/>
    <n v="1363.51"/>
    <n v="6817.55"/>
    <n v="1.26"/>
    <n v="-1772.5630000000001"/>
    <x v="347"/>
    <s v="Bangalore"/>
    <s v="B2C"/>
    <n v="2854.74"/>
  </r>
  <r>
    <x v="725"/>
    <x v="3"/>
    <s v="Watches"/>
    <n v="5"/>
    <m/>
    <n v="0"/>
    <n v="0.76"/>
    <n v="0"/>
    <x v="4"/>
    <s v="Mumbai"/>
    <s v="B2C"/>
    <n v="1252.83"/>
  </r>
  <r>
    <x v="726"/>
    <x v="2"/>
    <s v="Loafers"/>
    <n v="1"/>
    <n v="733.15"/>
    <n v="733.15"/>
    <n v="0.27"/>
    <n v="535.19949999999994"/>
    <x v="21"/>
    <s v="Ahmedabad"/>
    <s v="B2B"/>
    <n v="273.12"/>
  </r>
  <r>
    <x v="727"/>
    <x v="0"/>
    <s v="Boyfriend Jeans"/>
    <n v="2"/>
    <n v="416.58"/>
    <n v="833.16"/>
    <m/>
    <n v="833.16"/>
    <x v="4"/>
    <s v="Bangalore"/>
    <s v="B2B"/>
    <n v="-765.44"/>
  </r>
  <r>
    <x v="728"/>
    <x v="5"/>
    <s v="Wrap Dress"/>
    <n v="0"/>
    <n v="3933.55"/>
    <n v="0"/>
    <m/>
    <n v="0"/>
    <x v="107"/>
    <s v="Bangalore"/>
    <s v="B2C"/>
    <n v="2728.66"/>
  </r>
  <r>
    <x v="729"/>
    <x v="1"/>
    <s v="Leather Jacket"/>
    <n v="2"/>
    <m/>
    <n v="0"/>
    <n v="1"/>
    <n v="0"/>
    <x v="348"/>
    <s v="Mumbai"/>
    <s v="B2C"/>
    <n v="2108.61"/>
  </r>
  <r>
    <x v="730"/>
    <x v="5"/>
    <s v="Wrap Dress"/>
    <n v="5"/>
    <n v="4982.68"/>
    <n v="24913.4"/>
    <m/>
    <n v="24913.4"/>
    <x v="349"/>
    <s v="Mumbai"/>
    <s v="B2B"/>
    <n v="2239.42"/>
  </r>
  <r>
    <x v="731"/>
    <x v="1"/>
    <s v="Bomber Jacket"/>
    <n v="-2"/>
    <n v="721.25"/>
    <n v="-1442.5"/>
    <m/>
    <n v="-1442.5"/>
    <x v="350"/>
    <s v="Delhi"/>
    <s v="B2C"/>
    <n v="-936.38"/>
  </r>
  <r>
    <x v="732"/>
    <x v="1"/>
    <s v="Leather Jacket"/>
    <n v="0"/>
    <m/>
    <n v="0"/>
    <m/>
    <n v="0"/>
    <x v="339"/>
    <s v="NaviMumbai"/>
    <s v="B2C"/>
    <n v="-461.7"/>
  </r>
  <r>
    <x v="733"/>
    <x v="1"/>
    <s v="Puffer Coat"/>
    <n v="4"/>
    <m/>
    <n v="0"/>
    <n v="1.06"/>
    <n v="0"/>
    <x v="332"/>
    <s v="Mumbai"/>
    <s v="B2C"/>
    <n v="2607.4299999999998"/>
  </r>
  <r>
    <x v="734"/>
    <x v="1"/>
    <s v="Puffer Coat"/>
    <n v="2"/>
    <n v="1144.47"/>
    <n v="2288.94"/>
    <n v="0.09"/>
    <n v="2082.9354000000003"/>
    <x v="83"/>
    <s v="Bangalore"/>
    <s v="B2B"/>
    <n v="1236.6199999999999"/>
  </r>
  <r>
    <x v="735"/>
    <x v="5"/>
    <s v="Casual Midi"/>
    <n v="5"/>
    <n v="2220.4699999999998"/>
    <n v="11102.349999999999"/>
    <m/>
    <n v="11102.349999999999"/>
    <x v="4"/>
    <s v="Pune"/>
    <s v="B2C"/>
    <n v="-156.87"/>
  </r>
  <r>
    <x v="736"/>
    <x v="4"/>
    <s v="Classic Tee"/>
    <n v="2"/>
    <n v="1171.19"/>
    <n v="2342.38"/>
    <m/>
    <n v="2342.38"/>
    <x v="32"/>
    <s v="Ahmedabad"/>
    <s v="B2C"/>
    <n v="2205.44"/>
  </r>
  <r>
    <x v="737"/>
    <x v="1"/>
    <s v="Denim Jacket"/>
    <n v="3"/>
    <n v="963.18"/>
    <n v="2889.54"/>
    <m/>
    <n v="2889.54"/>
    <x v="351"/>
    <s v="Mumbai"/>
    <s v="B2B"/>
    <n v="-114.6"/>
  </r>
  <r>
    <x v="738"/>
    <x v="0"/>
    <s v="Slim Fit Jeans"/>
    <n v="2"/>
    <m/>
    <n v="0"/>
    <m/>
    <n v="0"/>
    <x v="141"/>
    <s v="Ahmedabad"/>
    <s v="B2B"/>
    <n v="796.49"/>
  </r>
  <r>
    <x v="739"/>
    <x v="4"/>
    <s v="Graphic Tee"/>
    <n v="1"/>
    <n v="1762.56"/>
    <n v="1762.56"/>
    <n v="0.98"/>
    <n v="35.251200000000033"/>
    <x v="352"/>
    <s v="Ahmedabad"/>
    <s v="B2B"/>
    <n v="1217.93"/>
  </r>
  <r>
    <x v="740"/>
    <x v="0"/>
    <s v="Ripped Denim"/>
    <n v="2"/>
    <m/>
    <n v="0"/>
    <n v="0.03"/>
    <n v="0"/>
    <x v="4"/>
    <s v="Bangalore"/>
    <s v="B2C"/>
    <n v="-222.56"/>
  </r>
  <r>
    <x v="741"/>
    <x v="4"/>
    <s v="Crop Top"/>
    <n v="2"/>
    <m/>
    <n v="0"/>
    <m/>
    <n v="0"/>
    <x v="80"/>
    <s v="Pune"/>
    <s v="B2C"/>
    <n v="1490.6"/>
  </r>
  <r>
    <x v="742"/>
    <x v="2"/>
    <s v="Boots"/>
    <n v="2"/>
    <m/>
    <n v="0"/>
    <m/>
    <n v="0"/>
    <x v="353"/>
    <s v="Mumbai"/>
    <s v="B2C"/>
    <n v="1939.6"/>
  </r>
  <r>
    <x v="743"/>
    <x v="4"/>
    <s v="Graphic Tee"/>
    <n v="4"/>
    <m/>
    <n v="0"/>
    <n v="0.43"/>
    <n v="0"/>
    <x v="354"/>
    <s v="Bangalore"/>
    <s v="B2C"/>
    <n v="723.22"/>
  </r>
  <r>
    <x v="744"/>
    <x v="0"/>
    <s v="Slim Fit Jeans"/>
    <n v="2"/>
    <m/>
    <n v="0"/>
    <n v="0.37"/>
    <n v="0"/>
    <x v="258"/>
    <s v="Bangalore"/>
    <s v="B2C"/>
    <n v="2037.45"/>
  </r>
  <r>
    <x v="745"/>
    <x v="4"/>
    <s v="Oversized T-shirt"/>
    <n v="2"/>
    <n v="405.37"/>
    <n v="810.74"/>
    <m/>
    <n v="810.74"/>
    <x v="4"/>
    <s v="Pune"/>
    <s v="B2C"/>
    <n v="375.4"/>
  </r>
  <r>
    <x v="746"/>
    <x v="5"/>
    <s v="Wrap Dress"/>
    <n v="2"/>
    <m/>
    <n v="0"/>
    <m/>
    <n v="0"/>
    <x v="31"/>
    <s v="Ahmedabad"/>
    <s v="B2B"/>
    <n v="1687.82"/>
  </r>
  <r>
    <x v="179"/>
    <x v="2"/>
    <s v="Loafers"/>
    <n v="2"/>
    <n v="4499.3900000000003"/>
    <n v="8998.7800000000007"/>
    <m/>
    <n v="8998.7800000000007"/>
    <x v="138"/>
    <s v="Delhi"/>
    <s v="B2C"/>
    <n v="17.489999999999998"/>
  </r>
  <r>
    <x v="747"/>
    <x v="5"/>
    <s v="Maxi Dress"/>
    <n v="2"/>
    <n v="2653.9"/>
    <n v="5307.8"/>
    <n v="0.56000000000000005"/>
    <n v="2335.4319999999998"/>
    <x v="1"/>
    <s v="Bangalore"/>
    <s v="B2B"/>
    <n v="2394.02"/>
  </r>
  <r>
    <x v="748"/>
    <x v="1"/>
    <s v="Puffer Coat"/>
    <n v="2"/>
    <m/>
    <n v="0"/>
    <m/>
    <n v="0"/>
    <x v="4"/>
    <s v="Pune"/>
    <s v="B2C"/>
    <n v="59.73"/>
  </r>
  <r>
    <x v="749"/>
    <x v="0"/>
    <s v="Slim Fit Jeans"/>
    <n v="5"/>
    <n v="2177.1999999999998"/>
    <n v="10886"/>
    <m/>
    <n v="10886"/>
    <x v="4"/>
    <s v="Pune"/>
    <s v="B2B"/>
    <n v="-341.7"/>
  </r>
  <r>
    <x v="750"/>
    <x v="1"/>
    <s v="Puffer Coat"/>
    <n v="-2"/>
    <m/>
    <n v="0"/>
    <m/>
    <n v="0"/>
    <x v="355"/>
    <s v="Ahmedabad"/>
    <s v="B2C"/>
    <n v="1848.5"/>
  </r>
  <r>
    <x v="426"/>
    <x v="3"/>
    <s v="Caps"/>
    <n v="2"/>
    <m/>
    <n v="0"/>
    <n v="0.56999999999999995"/>
    <n v="0"/>
    <x v="356"/>
    <s v="Delhi"/>
    <s v="B2C"/>
    <n v="1945.55"/>
  </r>
  <r>
    <x v="751"/>
    <x v="2"/>
    <s v="Sneakers"/>
    <n v="2"/>
    <m/>
    <n v="0"/>
    <n v="0.76"/>
    <n v="0"/>
    <x v="4"/>
    <s v="NaviMumbai"/>
    <s v="B2B"/>
    <n v="-255.22"/>
  </r>
  <r>
    <x v="752"/>
    <x v="2"/>
    <s v="Loafers"/>
    <n v="5"/>
    <m/>
    <n v="0"/>
    <m/>
    <n v="0"/>
    <x v="48"/>
    <s v="Mumbai"/>
    <s v="B2C"/>
    <n v="1627.12"/>
  </r>
  <r>
    <x v="753"/>
    <x v="0"/>
    <s v="Slim Fit Jeans"/>
    <n v="2"/>
    <n v="3405.13"/>
    <n v="6810.26"/>
    <n v="0.91"/>
    <n v="612.92339999999979"/>
    <x v="4"/>
    <s v="Bangalore"/>
    <s v="B2C"/>
    <n v="1804.47"/>
  </r>
  <r>
    <x v="754"/>
    <x v="2"/>
    <s v="Sneakers"/>
    <n v="2"/>
    <n v="1307.6400000000001"/>
    <n v="2615.2800000000002"/>
    <n v="0.18"/>
    <n v="2144.5296000000003"/>
    <x v="357"/>
    <s v="Mumbai"/>
    <s v="B2B"/>
    <n v="-122.33"/>
  </r>
  <r>
    <x v="755"/>
    <x v="4"/>
    <s v="Crop Top"/>
    <n v="0"/>
    <m/>
    <n v="0"/>
    <m/>
    <n v="0"/>
    <x v="332"/>
    <s v="Ahmedabad"/>
    <s v="B2C"/>
    <n v="-278.64999999999998"/>
  </r>
  <r>
    <x v="756"/>
    <x v="3"/>
    <s v="Watches"/>
    <n v="3"/>
    <n v="4326.6000000000004"/>
    <n v="12979.800000000001"/>
    <m/>
    <n v="12979.800000000001"/>
    <x v="291"/>
    <s v="Ahmedabad"/>
    <s v="B2B"/>
    <n v="1495.82"/>
  </r>
  <r>
    <x v="757"/>
    <x v="1"/>
    <s v="Leather Jacket"/>
    <n v="3"/>
    <m/>
    <n v="0"/>
    <n v="0.37"/>
    <n v="0"/>
    <x v="167"/>
    <s v="Mumbai"/>
    <s v="B2B"/>
    <n v="2989.57"/>
  </r>
  <r>
    <x v="758"/>
    <x v="1"/>
    <s v="Puffer Coat"/>
    <n v="2"/>
    <n v="1364.9"/>
    <n v="2729.8"/>
    <n v="0.17"/>
    <n v="2265.7339999999999"/>
    <x v="101"/>
    <s v="Delhi"/>
    <s v="B2C"/>
    <n v="1591.99"/>
  </r>
  <r>
    <x v="759"/>
    <x v="2"/>
    <s v="Slip-ons"/>
    <n v="2"/>
    <n v="1874.56"/>
    <n v="3749.12"/>
    <m/>
    <n v="3749.12"/>
    <x v="4"/>
    <s v="Pune"/>
    <s v="B2C"/>
    <n v="1906.32"/>
  </r>
  <r>
    <x v="760"/>
    <x v="1"/>
    <s v="Bomber Jacket"/>
    <n v="3"/>
    <n v="4343.12"/>
    <n v="13029.36"/>
    <m/>
    <n v="13029.36"/>
    <x v="255"/>
    <s v="NaviMumbai"/>
    <s v="B2C"/>
    <n v="2997.11"/>
  </r>
  <r>
    <x v="761"/>
    <x v="0"/>
    <s v="Straight Cut"/>
    <n v="6"/>
    <n v="1016.5"/>
    <n v="6099"/>
    <m/>
    <n v="6099"/>
    <x v="358"/>
    <s v="Mumbai"/>
    <s v="B2C"/>
    <n v="-420.11"/>
  </r>
  <r>
    <x v="762"/>
    <x v="1"/>
    <s v="Denim Jacket"/>
    <n v="0"/>
    <n v="3589.19"/>
    <n v="0"/>
    <m/>
    <n v="0"/>
    <x v="49"/>
    <s v="Mumbai"/>
    <s v="B2C"/>
    <n v="1880.22"/>
  </r>
  <r>
    <x v="763"/>
    <x v="5"/>
    <s v="Maxi Dress"/>
    <n v="2"/>
    <n v="2151.92"/>
    <n v="4303.84"/>
    <m/>
    <n v="4303.84"/>
    <x v="334"/>
    <s v="Mumbai"/>
    <s v="B2B"/>
    <n v="2383.83"/>
  </r>
  <r>
    <x v="764"/>
    <x v="2"/>
    <s v="Slip-ons"/>
    <n v="5"/>
    <n v="3548.22"/>
    <n v="17741.099999999999"/>
    <m/>
    <n v="17741.099999999999"/>
    <x v="359"/>
    <s v="Mumbai"/>
    <s v="B2B"/>
    <n v="2960.22"/>
  </r>
  <r>
    <x v="765"/>
    <x v="1"/>
    <s v="Leather Jacket"/>
    <n v="2"/>
    <m/>
    <n v="0"/>
    <n v="1"/>
    <n v="0"/>
    <x v="185"/>
    <s v="Delhi"/>
    <s v="B2C"/>
    <n v="989.57"/>
  </r>
  <r>
    <x v="766"/>
    <x v="5"/>
    <s v="Maxi Dress"/>
    <n v="0"/>
    <m/>
    <n v="0"/>
    <m/>
    <n v="0"/>
    <x v="360"/>
    <s v="Pune"/>
    <s v="B2C"/>
    <n v="2366.9699999999998"/>
  </r>
  <r>
    <x v="767"/>
    <x v="2"/>
    <s v="Slip-ons"/>
    <n v="-1"/>
    <n v="730.48"/>
    <n v="-730.48"/>
    <m/>
    <n v="-730.48"/>
    <x v="52"/>
    <s v="NaviMumbai"/>
    <s v="B2C"/>
    <n v="-162.02000000000001"/>
  </r>
  <r>
    <x v="768"/>
    <x v="0"/>
    <s v="Boyfriend Jeans"/>
    <n v="2"/>
    <m/>
    <n v="0"/>
    <n v="0.38"/>
    <n v="0"/>
    <x v="205"/>
    <s v="Ahmedabad"/>
    <s v="B2C"/>
    <n v="545.03"/>
  </r>
  <r>
    <x v="769"/>
    <x v="3"/>
    <s v="Watches"/>
    <n v="2"/>
    <n v="444.82"/>
    <n v="889.64"/>
    <n v="0.51"/>
    <n v="435.92359999999996"/>
    <x v="4"/>
    <s v="NaviMumbai"/>
    <s v="B2C"/>
    <n v="1838.59"/>
  </r>
  <r>
    <x v="770"/>
    <x v="3"/>
    <s v="Sunglasses"/>
    <n v="3"/>
    <n v="4137.43"/>
    <n v="12412.29"/>
    <m/>
    <n v="12412.29"/>
    <x v="281"/>
    <s v="Ahmedabad"/>
    <s v="B2C"/>
    <n v="895.53"/>
  </r>
  <r>
    <x v="771"/>
    <x v="4"/>
    <s v="Graphic Tee"/>
    <n v="2"/>
    <m/>
    <n v="0"/>
    <n v="1.01"/>
    <n v="0"/>
    <x v="4"/>
    <s v="Ahmedabad"/>
    <s v="B2C"/>
    <n v="2275.5500000000002"/>
  </r>
  <r>
    <x v="772"/>
    <x v="2"/>
    <s v="Boots"/>
    <n v="4"/>
    <n v="4684.9799999999996"/>
    <n v="18739.919999999998"/>
    <m/>
    <n v="18739.919999999998"/>
    <x v="4"/>
    <s v="Pune"/>
    <s v="B2C"/>
    <n v="-360.88"/>
  </r>
  <r>
    <x v="773"/>
    <x v="5"/>
    <s v="Wrap Dress"/>
    <n v="2"/>
    <m/>
    <n v="0"/>
    <m/>
    <n v="0"/>
    <x v="90"/>
    <s v="Delhi"/>
    <s v="B2B"/>
    <n v="1292.0899999999999"/>
  </r>
  <r>
    <x v="774"/>
    <x v="4"/>
    <s v="Crop Top"/>
    <n v="5"/>
    <n v="2716.57"/>
    <n v="13582.85"/>
    <m/>
    <n v="13582.85"/>
    <x v="108"/>
    <s v="Mumbai"/>
    <s v="B2C"/>
    <n v="2059.98"/>
  </r>
  <r>
    <x v="42"/>
    <x v="0"/>
    <s v="Boyfriend Jeans"/>
    <n v="2"/>
    <m/>
    <n v="0"/>
    <m/>
    <n v="0"/>
    <x v="237"/>
    <s v="NaviMumbai"/>
    <s v="B2C"/>
    <n v="1861.39"/>
  </r>
  <r>
    <x v="775"/>
    <x v="1"/>
    <s v="Leather Jacket"/>
    <n v="2"/>
    <m/>
    <n v="0"/>
    <m/>
    <n v="0"/>
    <x v="116"/>
    <s v="Delhi"/>
    <s v="B2B"/>
    <n v="2756.02"/>
  </r>
  <r>
    <x v="776"/>
    <x v="5"/>
    <s v="Casual Midi"/>
    <n v="2"/>
    <m/>
    <n v="0"/>
    <m/>
    <n v="0"/>
    <x v="59"/>
    <s v="Mumbai"/>
    <s v="B2C"/>
    <n v="213.46"/>
  </r>
  <r>
    <x v="777"/>
    <x v="1"/>
    <s v="Denim Jacket"/>
    <n v="6"/>
    <m/>
    <n v="0"/>
    <m/>
    <n v="0"/>
    <x v="361"/>
    <s v="Mumbai"/>
    <s v="B2B"/>
    <n v="1802.32"/>
  </r>
  <r>
    <x v="778"/>
    <x v="1"/>
    <s v="Denim Jacket"/>
    <n v="2"/>
    <m/>
    <n v="0"/>
    <n v="0.93"/>
    <n v="0"/>
    <x v="362"/>
    <s v="NaviMumbai"/>
    <s v="B2C"/>
    <n v="34.35"/>
  </r>
  <r>
    <x v="779"/>
    <x v="4"/>
    <s v="Crop Top"/>
    <n v="4"/>
    <n v="2068.0500000000002"/>
    <n v="8272.2000000000007"/>
    <m/>
    <n v="8272.2000000000007"/>
    <x v="363"/>
    <s v="Mumbai"/>
    <s v="B2C"/>
    <n v="-379.91"/>
  </r>
  <r>
    <x v="780"/>
    <x v="4"/>
    <s v="Oversized T-shirt"/>
    <n v="3"/>
    <n v="4103"/>
    <n v="12309"/>
    <m/>
    <n v="12309"/>
    <x v="8"/>
    <s v="NaviMumbai"/>
    <s v="B2C"/>
    <n v="567.89"/>
  </r>
  <r>
    <x v="781"/>
    <x v="2"/>
    <s v="Sneakers"/>
    <n v="2"/>
    <m/>
    <n v="0"/>
    <n v="1.1100000000000001"/>
    <n v="0"/>
    <x v="138"/>
    <s v="Pune"/>
    <s v="B2C"/>
    <n v="1462.24"/>
  </r>
  <r>
    <x v="782"/>
    <x v="3"/>
    <s v="Caps"/>
    <n v="6"/>
    <m/>
    <n v="0"/>
    <m/>
    <n v="0"/>
    <x v="364"/>
    <s v="Delhi"/>
    <s v="B2C"/>
    <n v="1294"/>
  </r>
  <r>
    <x v="783"/>
    <x v="0"/>
    <s v="Slim Fit Jeans"/>
    <n v="5"/>
    <n v="2951.4"/>
    <n v="14757"/>
    <m/>
    <n v="14757"/>
    <x v="22"/>
    <s v="Delhi"/>
    <s v="B2C"/>
    <n v="2811.87"/>
  </r>
  <r>
    <x v="784"/>
    <x v="1"/>
    <s v="Bomber Jacket"/>
    <n v="2"/>
    <n v="1433.92"/>
    <n v="2867.84"/>
    <n v="0.11"/>
    <n v="2552.3776000000003"/>
    <x v="201"/>
    <s v="NaviMumbai"/>
    <s v="B2C"/>
    <n v="315.07"/>
  </r>
  <r>
    <x v="785"/>
    <x v="1"/>
    <s v="Bomber Jacket"/>
    <n v="1"/>
    <n v="3268.42"/>
    <n v="3268.42"/>
    <m/>
    <n v="3268.42"/>
    <x v="365"/>
    <s v="Delhi"/>
    <s v="B2C"/>
    <n v="259.67"/>
  </r>
  <r>
    <x v="786"/>
    <x v="5"/>
    <s v="Casual Midi"/>
    <n v="2"/>
    <n v="2123.69"/>
    <n v="4247.38"/>
    <n v="0.69"/>
    <n v="1316.6878000000002"/>
    <x v="268"/>
    <s v="Bangalore"/>
    <s v="B2C"/>
    <n v="2894.66"/>
  </r>
  <r>
    <x v="787"/>
    <x v="0"/>
    <s v="Boyfriend Jeans"/>
    <n v="2"/>
    <m/>
    <n v="0"/>
    <n v="0.83"/>
    <n v="0"/>
    <x v="366"/>
    <s v="Mumbai"/>
    <s v="B2B"/>
    <n v="-116.82"/>
  </r>
  <r>
    <x v="788"/>
    <x v="5"/>
    <s v="Maxi Dress"/>
    <n v="5"/>
    <n v="1887.84"/>
    <n v="9439.1999999999989"/>
    <m/>
    <n v="9439.1999999999989"/>
    <x v="169"/>
    <s v="Ahmedabad"/>
    <s v="B2C"/>
    <n v="1275.03"/>
  </r>
  <r>
    <x v="789"/>
    <x v="1"/>
    <s v="Denim Jacket"/>
    <n v="2"/>
    <m/>
    <n v="0"/>
    <m/>
    <n v="0"/>
    <x v="212"/>
    <s v="Bangalore"/>
    <s v="B2B"/>
    <n v="2115.2600000000002"/>
  </r>
  <r>
    <x v="790"/>
    <x v="3"/>
    <s v="Caps"/>
    <n v="2"/>
    <m/>
    <n v="0"/>
    <m/>
    <n v="0"/>
    <x v="187"/>
    <s v="NaviMumbai"/>
    <s v="B2C"/>
    <n v="301.5"/>
  </r>
  <r>
    <x v="791"/>
    <x v="5"/>
    <s v="Maxi Dress"/>
    <n v="-1"/>
    <m/>
    <n v="0"/>
    <n v="0.94"/>
    <n v="0"/>
    <x v="4"/>
    <s v="Pune"/>
    <s v="B2C"/>
    <n v="-851"/>
  </r>
  <r>
    <x v="792"/>
    <x v="5"/>
    <s v="Casual Midi"/>
    <n v="2"/>
    <n v="4305.0200000000004"/>
    <n v="8610.0400000000009"/>
    <m/>
    <n v="8610.0400000000009"/>
    <x v="291"/>
    <s v="Ahmedabad"/>
    <s v="B2C"/>
    <n v="2296.37"/>
  </r>
  <r>
    <x v="793"/>
    <x v="2"/>
    <s v="Boots"/>
    <n v="2"/>
    <n v="2490.16"/>
    <n v="4980.32"/>
    <m/>
    <n v="4980.32"/>
    <x v="38"/>
    <s v="Mumbai"/>
    <s v="B2C"/>
    <n v="905.43"/>
  </r>
  <r>
    <x v="794"/>
    <x v="2"/>
    <s v="Boots"/>
    <n v="2"/>
    <n v="1101.5"/>
    <n v="2203"/>
    <n v="0.81"/>
    <n v="418.56999999999988"/>
    <x v="4"/>
    <s v="Mumbai"/>
    <s v="B2C"/>
    <n v="-967.63"/>
  </r>
  <r>
    <x v="795"/>
    <x v="1"/>
    <s v="Puffer Coat"/>
    <n v="6"/>
    <m/>
    <n v="0"/>
    <n v="0.93"/>
    <n v="0"/>
    <x v="94"/>
    <s v="Mumbai"/>
    <s v="B2B"/>
    <n v="855.26"/>
  </r>
  <r>
    <x v="796"/>
    <x v="2"/>
    <s v="Sneakers"/>
    <n v="-2"/>
    <m/>
    <n v="0"/>
    <m/>
    <n v="0"/>
    <x v="87"/>
    <s v="Bangalore"/>
    <s v="B2C"/>
    <n v="1463.67"/>
  </r>
  <r>
    <x v="797"/>
    <x v="2"/>
    <s v="Slip-ons"/>
    <n v="-1"/>
    <m/>
    <n v="0"/>
    <m/>
    <n v="0"/>
    <x v="257"/>
    <s v="Delhi"/>
    <s v="B2C"/>
    <n v="-618.71"/>
  </r>
  <r>
    <x v="798"/>
    <x v="3"/>
    <s v="Sunglasses"/>
    <n v="2"/>
    <m/>
    <n v="0"/>
    <m/>
    <n v="0"/>
    <x v="4"/>
    <s v="Mumbai"/>
    <s v="B2C"/>
    <n v="409.58"/>
  </r>
  <r>
    <x v="799"/>
    <x v="5"/>
    <s v="Maxi Dress"/>
    <n v="2"/>
    <m/>
    <n v="0"/>
    <m/>
    <n v="0"/>
    <x v="74"/>
    <s v="Mumbai"/>
    <s v="B2C"/>
    <n v="1896.92"/>
  </r>
  <r>
    <x v="800"/>
    <x v="3"/>
    <s v="Sunglasses"/>
    <n v="1"/>
    <n v="1534.98"/>
    <n v="1534.98"/>
    <m/>
    <n v="1534.98"/>
    <x v="362"/>
    <s v="Bangalore"/>
    <s v="B2B"/>
    <n v="2042.17"/>
  </r>
  <r>
    <x v="801"/>
    <x v="5"/>
    <s v="Maxi Dress"/>
    <n v="1"/>
    <m/>
    <n v="0"/>
    <m/>
    <n v="0"/>
    <x v="323"/>
    <s v="Pune"/>
    <s v="B2C"/>
    <n v="1003.57"/>
  </r>
  <r>
    <x v="802"/>
    <x v="0"/>
    <s v="Boyfriend Jeans"/>
    <n v="4"/>
    <n v="2308.12"/>
    <n v="9232.48"/>
    <m/>
    <n v="9232.48"/>
    <x v="367"/>
    <s v="Bangalore"/>
    <s v="B2C"/>
    <n v="362.88"/>
  </r>
  <r>
    <x v="422"/>
    <x v="4"/>
    <s v="Oversized T-shirt"/>
    <n v="2"/>
    <n v="4582.21"/>
    <n v="9164.42"/>
    <n v="0.7"/>
    <n v="2749.3260000000005"/>
    <x v="4"/>
    <s v="Bangalore"/>
    <s v="B2B"/>
    <n v="-67.84"/>
  </r>
  <r>
    <x v="803"/>
    <x v="5"/>
    <s v="Wrap Dress"/>
    <n v="2"/>
    <n v="3799.39"/>
    <n v="7598.78"/>
    <n v="0.76"/>
    <n v="1823.7071999999998"/>
    <x v="91"/>
    <s v="Bangalore"/>
    <s v="B2C"/>
    <n v="-599.61"/>
  </r>
  <r>
    <x v="804"/>
    <x v="3"/>
    <s v="Sunglasses"/>
    <n v="2"/>
    <m/>
    <n v="0"/>
    <n v="0.39"/>
    <n v="0"/>
    <x v="238"/>
    <s v="Mumbai"/>
    <s v="B2B"/>
    <n v="-148.03"/>
  </r>
  <r>
    <x v="805"/>
    <x v="2"/>
    <s v="Boots"/>
    <n v="2"/>
    <m/>
    <n v="0"/>
    <n v="0.99"/>
    <n v="0"/>
    <x v="368"/>
    <s v="Bangalore"/>
    <s v="B2C"/>
    <n v="1662.7"/>
  </r>
  <r>
    <x v="806"/>
    <x v="1"/>
    <s v="Denim Jacket"/>
    <n v="2"/>
    <m/>
    <n v="0"/>
    <m/>
    <n v="0"/>
    <x v="369"/>
    <s v="Delhi"/>
    <s v="B2B"/>
    <n v="-36.380000000000003"/>
  </r>
  <r>
    <x v="807"/>
    <x v="1"/>
    <s v="Leather Jacket"/>
    <n v="0"/>
    <m/>
    <n v="0"/>
    <m/>
    <n v="0"/>
    <x v="23"/>
    <s v="Ahmedabad"/>
    <s v="B2B"/>
    <n v="1718.02"/>
  </r>
  <r>
    <x v="808"/>
    <x v="4"/>
    <s v="Oversized T-shirt"/>
    <n v="2"/>
    <m/>
    <n v="0"/>
    <m/>
    <n v="0"/>
    <x v="268"/>
    <s v="Delhi"/>
    <s v="B2B"/>
    <n v="2724.05"/>
  </r>
  <r>
    <x v="809"/>
    <x v="5"/>
    <s v="Casual Midi"/>
    <n v="2"/>
    <m/>
    <n v="0"/>
    <m/>
    <n v="0"/>
    <x v="183"/>
    <s v="Bangalore"/>
    <s v="B2C"/>
    <n v="1057.3599999999999"/>
  </r>
  <r>
    <x v="810"/>
    <x v="4"/>
    <s v="Graphic Tee"/>
    <n v="1"/>
    <n v="1130.83"/>
    <n v="1130.83"/>
    <n v="0.84"/>
    <n v="180.93280000000001"/>
    <x v="61"/>
    <s v="NaviMumbai"/>
    <s v="B2C"/>
    <n v="-804.96"/>
  </r>
  <r>
    <x v="811"/>
    <x v="2"/>
    <s v="Slip-ons"/>
    <n v="2"/>
    <n v="2964.88"/>
    <n v="5929.76"/>
    <n v="1.28"/>
    <n v="-1660.3328000000001"/>
    <x v="370"/>
    <s v="Mumbai"/>
    <s v="B2C"/>
    <n v="591.28"/>
  </r>
  <r>
    <x v="812"/>
    <x v="3"/>
    <s v="Belts"/>
    <n v="-1"/>
    <n v="3449.33"/>
    <n v="-3449.33"/>
    <n v="0.43"/>
    <n v="-1966.1181000000001"/>
    <x v="4"/>
    <s v="Delhi"/>
    <s v="B2C"/>
    <n v="601.45000000000005"/>
  </r>
  <r>
    <x v="749"/>
    <x v="3"/>
    <s v="Watches"/>
    <n v="6"/>
    <n v="1761.18"/>
    <n v="10567.08"/>
    <m/>
    <n v="10567.08"/>
    <x v="4"/>
    <s v="Mumbai"/>
    <s v="B2B"/>
    <n v="2069.36"/>
  </r>
  <r>
    <x v="813"/>
    <x v="4"/>
    <s v="Graphic Tee"/>
    <n v="5"/>
    <n v="1965.04"/>
    <n v="9825.2000000000007"/>
    <m/>
    <n v="9825.2000000000007"/>
    <x v="223"/>
    <s v="Pune"/>
    <s v="B2C"/>
    <n v="20.89"/>
  </r>
  <r>
    <x v="814"/>
    <x v="1"/>
    <s v="Leather Jacket"/>
    <n v="2"/>
    <m/>
    <n v="0"/>
    <n v="0.65"/>
    <n v="0"/>
    <x v="4"/>
    <s v="Ahmedabad"/>
    <s v="B2C"/>
    <n v="403.42"/>
  </r>
  <r>
    <x v="815"/>
    <x v="1"/>
    <s v="Bomber Jacket"/>
    <n v="2"/>
    <n v="938.86"/>
    <n v="1877.72"/>
    <n v="0.05"/>
    <n v="1783.8339999999998"/>
    <x v="244"/>
    <s v="NaviMumbai"/>
    <s v="B2C"/>
    <n v="-824.79"/>
  </r>
  <r>
    <x v="816"/>
    <x v="4"/>
    <s v="Oversized T-shirt"/>
    <n v="2"/>
    <n v="3887.15"/>
    <n v="7774.3"/>
    <m/>
    <n v="7774.3"/>
    <x v="84"/>
    <s v="Ahmedabad"/>
    <s v="B2C"/>
    <n v="2088.25"/>
  </r>
  <r>
    <x v="817"/>
    <x v="3"/>
    <s v="Watches"/>
    <n v="0"/>
    <n v="4146.2700000000004"/>
    <n v="0"/>
    <n v="1.29"/>
    <n v="0"/>
    <x v="371"/>
    <s v="NaviMumbai"/>
    <s v="B2B"/>
    <n v="2397.9299999999998"/>
  </r>
  <r>
    <x v="818"/>
    <x v="1"/>
    <s v="Bomber Jacket"/>
    <n v="6"/>
    <n v="982.65"/>
    <n v="5895.9"/>
    <m/>
    <n v="5895.9"/>
    <x v="4"/>
    <s v="Mumbai"/>
    <s v="B2B"/>
    <n v="2186.63"/>
  </r>
  <r>
    <x v="819"/>
    <x v="4"/>
    <s v="Crop Top"/>
    <n v="6"/>
    <m/>
    <n v="0"/>
    <m/>
    <n v="0"/>
    <x v="372"/>
    <s v="Delhi"/>
    <s v="B2B"/>
    <n v="413.87"/>
  </r>
  <r>
    <x v="820"/>
    <x v="0"/>
    <s v="Straight Cut"/>
    <n v="2"/>
    <n v="3109.74"/>
    <n v="6219.48"/>
    <m/>
    <n v="6219.48"/>
    <x v="4"/>
    <s v="Mumbai"/>
    <s v="B2C"/>
    <n v="-828.23"/>
  </r>
  <r>
    <x v="821"/>
    <x v="5"/>
    <s v="Maxi Dress"/>
    <n v="2"/>
    <n v="4427.9399999999996"/>
    <n v="8855.8799999999992"/>
    <n v="0.25"/>
    <n v="6641.91"/>
    <x v="9"/>
    <s v="Mumbai"/>
    <s v="B2C"/>
    <n v="-476.77"/>
  </r>
  <r>
    <x v="822"/>
    <x v="2"/>
    <s v="Sneakers"/>
    <n v="2"/>
    <m/>
    <n v="0"/>
    <m/>
    <n v="0"/>
    <x v="373"/>
    <s v="Delhi"/>
    <s v="B2B"/>
    <n v="1019.58"/>
  </r>
  <r>
    <x v="823"/>
    <x v="5"/>
    <s v="Casual Midi"/>
    <n v="2"/>
    <m/>
    <n v="0"/>
    <m/>
    <n v="0"/>
    <x v="370"/>
    <s v="Pune"/>
    <s v="B2C"/>
    <n v="602.58000000000004"/>
  </r>
  <r>
    <x v="824"/>
    <x v="2"/>
    <s v="Loafers"/>
    <n v="2"/>
    <n v="895.34"/>
    <n v="1790.68"/>
    <m/>
    <n v="1790.68"/>
    <x v="320"/>
    <s v="Bangalore"/>
    <s v="B2B"/>
    <n v="2150.1"/>
  </r>
  <r>
    <x v="825"/>
    <x v="2"/>
    <s v="Loafers"/>
    <n v="2"/>
    <m/>
    <n v="0"/>
    <n v="0.43"/>
    <n v="0"/>
    <x v="203"/>
    <s v="Ahmedabad"/>
    <s v="B2C"/>
    <n v="708.3"/>
  </r>
  <r>
    <x v="97"/>
    <x v="5"/>
    <s v="Wrap Dress"/>
    <n v="3"/>
    <n v="3051.77"/>
    <n v="9155.31"/>
    <n v="1.19"/>
    <n v="-1739.5088999999994"/>
    <x v="350"/>
    <s v="NaviMumbai"/>
    <s v="B2B"/>
    <n v="2470.5500000000002"/>
  </r>
  <r>
    <x v="826"/>
    <x v="1"/>
    <s v="Denim Jacket"/>
    <n v="0"/>
    <m/>
    <n v="0"/>
    <n v="0.94"/>
    <n v="0"/>
    <x v="294"/>
    <s v="Ahmedabad"/>
    <s v="B2C"/>
    <n v="-663.74"/>
  </r>
  <r>
    <x v="827"/>
    <x v="0"/>
    <s v="Ripped Denim"/>
    <n v="0"/>
    <m/>
    <n v="0"/>
    <n v="0.51"/>
    <n v="0"/>
    <x v="119"/>
    <s v="NaviMumbai"/>
    <s v="B2C"/>
    <n v="1851.02"/>
  </r>
  <r>
    <x v="828"/>
    <x v="0"/>
    <s v="Straight Cut"/>
    <n v="2"/>
    <n v="2105.94"/>
    <n v="4211.88"/>
    <n v="0.16"/>
    <n v="3537.9791999999998"/>
    <x v="4"/>
    <s v="Ahmedabad"/>
    <s v="B2B"/>
    <n v="1782.55"/>
  </r>
  <r>
    <x v="829"/>
    <x v="1"/>
    <s v="Leather Jacket"/>
    <n v="4"/>
    <m/>
    <n v="0"/>
    <m/>
    <n v="0"/>
    <x v="69"/>
    <s v="Mumbai"/>
    <s v="B2B"/>
    <n v="1663.32"/>
  </r>
  <r>
    <x v="830"/>
    <x v="5"/>
    <s v="Bodycon"/>
    <n v="-2"/>
    <m/>
    <n v="0"/>
    <m/>
    <n v="0"/>
    <x v="374"/>
    <s v="Pune"/>
    <s v="B2C"/>
    <n v="1657.14"/>
  </r>
  <r>
    <x v="831"/>
    <x v="4"/>
    <s v="Classic Tee"/>
    <n v="2"/>
    <n v="2067.64"/>
    <n v="4135.28"/>
    <m/>
    <n v="4135.28"/>
    <x v="4"/>
    <s v="Bangalore"/>
    <s v="B2B"/>
    <n v="-276.17"/>
  </r>
  <r>
    <x v="832"/>
    <x v="3"/>
    <s v="Watches"/>
    <n v="0"/>
    <n v="1462.1"/>
    <n v="0"/>
    <n v="0.3"/>
    <n v="0"/>
    <x v="343"/>
    <s v="Ahmedabad"/>
    <s v="B2B"/>
    <n v="59.79"/>
  </r>
  <r>
    <x v="833"/>
    <x v="1"/>
    <s v="Puffer Coat"/>
    <n v="2"/>
    <m/>
    <n v="0"/>
    <m/>
    <n v="0"/>
    <x v="127"/>
    <s v="Delhi"/>
    <s v="B2C"/>
    <n v="-780.96"/>
  </r>
  <r>
    <x v="834"/>
    <x v="1"/>
    <s v="Leather Jacket"/>
    <n v="2"/>
    <m/>
    <n v="0"/>
    <n v="0.11"/>
    <n v="0"/>
    <x v="236"/>
    <s v="NaviMumbai"/>
    <s v="B2C"/>
    <n v="2041.06"/>
  </r>
  <r>
    <x v="835"/>
    <x v="5"/>
    <s v="Casual Midi"/>
    <n v="-2"/>
    <m/>
    <n v="0"/>
    <n v="0.06"/>
    <n v="0"/>
    <x v="205"/>
    <s v="NaviMumbai"/>
    <s v="B2B"/>
    <n v="406.45"/>
  </r>
  <r>
    <x v="836"/>
    <x v="3"/>
    <s v="Sunglasses"/>
    <n v="2"/>
    <m/>
    <n v="0"/>
    <m/>
    <n v="0"/>
    <x v="375"/>
    <s v="Delhi"/>
    <s v="B2C"/>
    <n v="1910.76"/>
  </r>
  <r>
    <x v="837"/>
    <x v="4"/>
    <s v="Crop Top"/>
    <n v="2"/>
    <m/>
    <n v="0"/>
    <n v="0.12"/>
    <n v="0"/>
    <x v="122"/>
    <s v="Pune"/>
    <s v="B2C"/>
    <n v="1013.64"/>
  </r>
  <r>
    <x v="838"/>
    <x v="3"/>
    <s v="Sunglasses"/>
    <n v="-1"/>
    <n v="694.71"/>
    <n v="-694.71"/>
    <m/>
    <n v="-694.71"/>
    <x v="369"/>
    <s v="Ahmedabad"/>
    <s v="B2B"/>
    <n v="2991.27"/>
  </r>
  <r>
    <x v="839"/>
    <x v="5"/>
    <s v="Bodycon"/>
    <n v="2"/>
    <n v="1334.66"/>
    <n v="2669.32"/>
    <n v="1.29"/>
    <n v="-774.10280000000012"/>
    <x v="365"/>
    <s v="Bangalore"/>
    <s v="B2C"/>
    <n v="2897.72"/>
  </r>
  <r>
    <x v="840"/>
    <x v="4"/>
    <s v="Graphic Tee"/>
    <n v="-1"/>
    <m/>
    <n v="0"/>
    <m/>
    <n v="0"/>
    <x v="376"/>
    <s v="Delhi"/>
    <s v="B2C"/>
    <n v="-56.68"/>
  </r>
  <r>
    <x v="841"/>
    <x v="4"/>
    <s v="Oversized T-shirt"/>
    <n v="2"/>
    <n v="927.04"/>
    <n v="1854.08"/>
    <m/>
    <n v="1854.08"/>
    <x v="4"/>
    <s v="Ahmedabad"/>
    <s v="B2C"/>
    <n v="880.71"/>
  </r>
  <r>
    <x v="842"/>
    <x v="3"/>
    <s v="Belts"/>
    <n v="2"/>
    <n v="1307.27"/>
    <n v="2614.54"/>
    <n v="1.27"/>
    <n v="-705.92579999999998"/>
    <x v="377"/>
    <s v="NaviMumbai"/>
    <s v="B2C"/>
    <n v="1757.18"/>
  </r>
  <r>
    <x v="843"/>
    <x v="0"/>
    <s v="Slim Fit Jeans"/>
    <n v="5"/>
    <n v="1505"/>
    <n v="7525"/>
    <m/>
    <n v="7525"/>
    <x v="288"/>
    <s v="Bangalore"/>
    <s v="B2B"/>
    <n v="-29.76"/>
  </r>
  <r>
    <x v="844"/>
    <x v="4"/>
    <s v="Graphic Tee"/>
    <n v="2"/>
    <n v="1985.55"/>
    <n v="3971.1"/>
    <n v="0.13"/>
    <n v="3454.857"/>
    <x v="378"/>
    <s v="Ahmedabad"/>
    <s v="B2C"/>
    <n v="1754.79"/>
  </r>
  <r>
    <x v="845"/>
    <x v="3"/>
    <s v="Watches"/>
    <n v="3"/>
    <n v="2862.48"/>
    <n v="8587.44"/>
    <m/>
    <n v="8587.44"/>
    <x v="379"/>
    <s v="Ahmedabad"/>
    <s v="B2B"/>
    <n v="2555.84"/>
  </r>
  <r>
    <x v="846"/>
    <x v="0"/>
    <s v="Boyfriend Jeans"/>
    <n v="2"/>
    <n v="3822.93"/>
    <n v="7645.86"/>
    <n v="1.07"/>
    <n v="-535.21020000000044"/>
    <x v="4"/>
    <s v="NaviMumbai"/>
    <s v="B2B"/>
    <n v="40.200000000000003"/>
  </r>
  <r>
    <x v="847"/>
    <x v="4"/>
    <s v="Crop Top"/>
    <n v="5"/>
    <n v="3870.85"/>
    <n v="19354.25"/>
    <m/>
    <n v="19354.25"/>
    <x v="347"/>
    <s v="Bangalore"/>
    <s v="B2C"/>
    <n v="2313.58"/>
  </r>
  <r>
    <x v="848"/>
    <x v="5"/>
    <s v="Wrap Dress"/>
    <n v="1"/>
    <n v="2737.23"/>
    <n v="2737.23"/>
    <m/>
    <n v="2737.23"/>
    <x v="58"/>
    <s v="Mumbai"/>
    <s v="B2B"/>
    <n v="2855.35"/>
  </r>
  <r>
    <x v="849"/>
    <x v="3"/>
    <s v="Watches"/>
    <n v="2"/>
    <m/>
    <n v="0"/>
    <m/>
    <n v="0"/>
    <x v="380"/>
    <s v="Mumbai"/>
    <s v="B2C"/>
    <n v="-564.27"/>
  </r>
  <r>
    <x v="850"/>
    <x v="0"/>
    <s v="Ripped Denim"/>
    <n v="2"/>
    <n v="3647.61"/>
    <n v="7295.22"/>
    <m/>
    <n v="7295.22"/>
    <x v="28"/>
    <s v="Mumbai"/>
    <s v="B2B"/>
    <n v="1789.65"/>
  </r>
  <r>
    <x v="851"/>
    <x v="3"/>
    <s v="Sunglasses"/>
    <n v="4"/>
    <n v="1442.86"/>
    <n v="5771.44"/>
    <n v="0.85"/>
    <n v="865.71600000000012"/>
    <x v="381"/>
    <s v="NaviMumbai"/>
    <s v="B2B"/>
    <n v="1183.93"/>
  </r>
  <r>
    <x v="852"/>
    <x v="5"/>
    <s v="Maxi Dress"/>
    <n v="3"/>
    <m/>
    <n v="0"/>
    <n v="1.1499999999999999"/>
    <n v="0"/>
    <x v="4"/>
    <s v="Bangalore"/>
    <s v="B2B"/>
    <n v="57.35"/>
  </r>
  <r>
    <x v="853"/>
    <x v="1"/>
    <s v="Bomber Jacket"/>
    <n v="2"/>
    <m/>
    <n v="0"/>
    <m/>
    <n v="0"/>
    <x v="261"/>
    <s v="Ahmedabad"/>
    <s v="B2B"/>
    <n v="-934.61"/>
  </r>
  <r>
    <x v="854"/>
    <x v="5"/>
    <s v="Casual Midi"/>
    <n v="5"/>
    <n v="4739.66"/>
    <n v="23698.3"/>
    <m/>
    <n v="23698.3"/>
    <x v="4"/>
    <s v="Delhi"/>
    <s v="B2C"/>
    <n v="-315.41000000000003"/>
  </r>
  <r>
    <x v="855"/>
    <x v="2"/>
    <s v="Sneakers"/>
    <n v="2"/>
    <n v="3521.17"/>
    <n v="7042.34"/>
    <n v="0.79"/>
    <n v="1478.8913999999997"/>
    <x v="382"/>
    <s v="Ahmedabad"/>
    <s v="B2B"/>
    <n v="612.84"/>
  </r>
  <r>
    <x v="856"/>
    <x v="3"/>
    <s v="Caps"/>
    <n v="4"/>
    <n v="1570.06"/>
    <n v="6280.24"/>
    <m/>
    <n v="6280.24"/>
    <x v="383"/>
    <s v="Delhi"/>
    <s v="B2C"/>
    <n v="1017.26"/>
  </r>
  <r>
    <x v="857"/>
    <x v="1"/>
    <s v="Leather Jacket"/>
    <n v="2"/>
    <n v="2496.81"/>
    <n v="4993.62"/>
    <m/>
    <n v="4993.62"/>
    <x v="90"/>
    <s v="NaviMumbai"/>
    <s v="B2C"/>
    <n v="28.7"/>
  </r>
  <r>
    <x v="858"/>
    <x v="4"/>
    <s v="Graphic Tee"/>
    <n v="4"/>
    <n v="4471.17"/>
    <n v="17884.68"/>
    <n v="0.6"/>
    <n v="7153.8720000000003"/>
    <x v="87"/>
    <s v="Pune"/>
    <s v="B2C"/>
    <n v="1335.92"/>
  </r>
  <r>
    <x v="859"/>
    <x v="5"/>
    <s v="Bodycon"/>
    <n v="2"/>
    <n v="1892.54"/>
    <n v="3785.08"/>
    <n v="0.09"/>
    <n v="3444.4227999999998"/>
    <x v="154"/>
    <s v="Ahmedabad"/>
    <s v="B2C"/>
    <n v="-702.11"/>
  </r>
  <r>
    <x v="860"/>
    <x v="2"/>
    <s v="Boots"/>
    <n v="2"/>
    <m/>
    <n v="0"/>
    <m/>
    <n v="0"/>
    <x v="89"/>
    <s v="Delhi"/>
    <s v="B2B"/>
    <n v="182.74"/>
  </r>
  <r>
    <x v="861"/>
    <x v="1"/>
    <s v="Denim Jacket"/>
    <n v="2"/>
    <m/>
    <n v="0"/>
    <m/>
    <n v="0"/>
    <x v="4"/>
    <s v="Ahmedabad"/>
    <s v="B2C"/>
    <n v="75.28"/>
  </r>
  <r>
    <x v="862"/>
    <x v="2"/>
    <s v="Sneakers"/>
    <n v="2"/>
    <n v="1870.68"/>
    <n v="3741.36"/>
    <m/>
    <n v="3741.36"/>
    <x v="4"/>
    <s v="Pune"/>
    <s v="B2C"/>
    <n v="2695.81"/>
  </r>
  <r>
    <x v="863"/>
    <x v="5"/>
    <s v="Wrap Dress"/>
    <n v="2"/>
    <m/>
    <n v="0"/>
    <m/>
    <n v="0"/>
    <x v="85"/>
    <s v="Bangalore"/>
    <s v="B2C"/>
    <n v="-431.93"/>
  </r>
  <r>
    <x v="864"/>
    <x v="4"/>
    <s v="Graphic Tee"/>
    <n v="1"/>
    <n v="3381.64"/>
    <n v="3381.64"/>
    <n v="0.48"/>
    <n v="1758.4528"/>
    <x v="4"/>
    <s v="Delhi"/>
    <s v="B2C"/>
    <n v="953.93"/>
  </r>
  <r>
    <x v="865"/>
    <x v="1"/>
    <s v="Bomber Jacket"/>
    <n v="2"/>
    <m/>
    <n v="0"/>
    <m/>
    <n v="0"/>
    <x v="384"/>
    <s v="Delhi"/>
    <s v="B2C"/>
    <n v="-632.25"/>
  </r>
  <r>
    <x v="866"/>
    <x v="2"/>
    <s v="Slip-ons"/>
    <n v="5"/>
    <n v="2847.02"/>
    <n v="14235.1"/>
    <m/>
    <n v="14235.1"/>
    <x v="115"/>
    <s v="Ahmedabad"/>
    <s v="B2C"/>
    <n v="-573.97"/>
  </r>
  <r>
    <x v="867"/>
    <x v="3"/>
    <s v="Watches"/>
    <n v="2"/>
    <m/>
    <n v="0"/>
    <m/>
    <n v="0"/>
    <x v="385"/>
    <s v="Pune"/>
    <s v="B2C"/>
    <n v="1125.5"/>
  </r>
  <r>
    <x v="868"/>
    <x v="2"/>
    <s v="Loafers"/>
    <n v="2"/>
    <m/>
    <n v="0"/>
    <n v="0.32"/>
    <n v="0"/>
    <x v="225"/>
    <s v="Mumbai"/>
    <s v="B2C"/>
    <n v="986.09"/>
  </r>
  <r>
    <x v="869"/>
    <x v="4"/>
    <s v="Crop Top"/>
    <n v="-1"/>
    <m/>
    <n v="0"/>
    <m/>
    <n v="0"/>
    <x v="46"/>
    <s v="Pune"/>
    <s v="B2B"/>
    <n v="1149.23"/>
  </r>
  <r>
    <x v="870"/>
    <x v="5"/>
    <s v="Maxi Dress"/>
    <n v="4"/>
    <m/>
    <n v="0"/>
    <m/>
    <n v="0"/>
    <x v="256"/>
    <s v="Bangalore"/>
    <s v="B2C"/>
    <n v="2247.4899999999998"/>
  </r>
  <r>
    <x v="871"/>
    <x v="3"/>
    <s v="Belts"/>
    <n v="0"/>
    <n v="444.11"/>
    <n v="0"/>
    <m/>
    <n v="0"/>
    <x v="31"/>
    <s v="Ahmedabad"/>
    <s v="B2C"/>
    <n v="2762.27"/>
  </r>
  <r>
    <x v="872"/>
    <x v="3"/>
    <s v="Watches"/>
    <n v="1"/>
    <n v="772.97"/>
    <n v="772.97"/>
    <n v="0.9"/>
    <n v="77.296999999999983"/>
    <x v="100"/>
    <s v="Pune"/>
    <s v="B2B"/>
    <n v="843.81"/>
  </r>
  <r>
    <x v="873"/>
    <x v="2"/>
    <s v="Slip-ons"/>
    <n v="3"/>
    <n v="1772.6"/>
    <n v="5317.7999999999993"/>
    <m/>
    <n v="5317.7999999999993"/>
    <x v="46"/>
    <s v="Bangalore"/>
    <s v="B2B"/>
    <n v="993.92"/>
  </r>
  <r>
    <x v="874"/>
    <x v="1"/>
    <s v="Denim Jacket"/>
    <n v="2"/>
    <n v="1622.79"/>
    <n v="3245.58"/>
    <m/>
    <n v="3245.58"/>
    <x v="280"/>
    <s v="Delhi"/>
    <s v="B2C"/>
    <n v="1020.63"/>
  </r>
  <r>
    <x v="875"/>
    <x v="0"/>
    <s v="Straight Cut"/>
    <n v="-1"/>
    <n v="4350.8599999999997"/>
    <n v="-4350.8599999999997"/>
    <m/>
    <n v="-4350.8599999999997"/>
    <x v="4"/>
    <s v="Pune"/>
    <s v="B2B"/>
    <n v="2845.42"/>
  </r>
  <r>
    <x v="876"/>
    <x v="2"/>
    <s v="Slip-ons"/>
    <n v="6"/>
    <m/>
    <n v="0"/>
    <m/>
    <n v="0"/>
    <x v="243"/>
    <s v="Delhi"/>
    <s v="B2C"/>
    <n v="-856.25"/>
  </r>
  <r>
    <x v="877"/>
    <x v="4"/>
    <s v="Classic Tee"/>
    <n v="0"/>
    <m/>
    <n v="0"/>
    <m/>
    <n v="0"/>
    <x v="295"/>
    <s v="Delhi"/>
    <s v="B2B"/>
    <n v="-571.28"/>
  </r>
  <r>
    <x v="878"/>
    <x v="3"/>
    <s v="Sunglasses"/>
    <n v="6"/>
    <n v="1229.0999999999999"/>
    <n v="7374.5999999999995"/>
    <m/>
    <n v="7374.5999999999995"/>
    <x v="4"/>
    <s v="NaviMumbai"/>
    <s v="B2C"/>
    <n v="1005.96"/>
  </r>
  <r>
    <x v="879"/>
    <x v="4"/>
    <s v="Classic Tee"/>
    <n v="3"/>
    <m/>
    <n v="0"/>
    <m/>
    <n v="0"/>
    <x v="386"/>
    <s v="Ahmedabad"/>
    <s v="B2B"/>
    <n v="111.88"/>
  </r>
  <r>
    <x v="880"/>
    <x v="2"/>
    <s v="Sneakers"/>
    <n v="6"/>
    <m/>
    <n v="0"/>
    <n v="0.39"/>
    <n v="0"/>
    <x v="4"/>
    <s v="Mumbai"/>
    <s v="B2B"/>
    <n v="-80.61"/>
  </r>
  <r>
    <x v="881"/>
    <x v="5"/>
    <s v="Maxi Dress"/>
    <n v="2"/>
    <n v="3948.83"/>
    <n v="7897.66"/>
    <m/>
    <n v="7897.66"/>
    <x v="278"/>
    <s v="Pune"/>
    <s v="B2C"/>
    <n v="1935.77"/>
  </r>
  <r>
    <x v="882"/>
    <x v="3"/>
    <s v="Belts"/>
    <n v="2"/>
    <n v="3772.51"/>
    <n v="7545.02"/>
    <m/>
    <n v="7545.02"/>
    <x v="4"/>
    <s v="Bangalore"/>
    <s v="B2B"/>
    <n v="792.89"/>
  </r>
  <r>
    <x v="883"/>
    <x v="4"/>
    <s v="Crop Top"/>
    <n v="2"/>
    <n v="2727.86"/>
    <n v="5455.72"/>
    <m/>
    <n v="5455.72"/>
    <x v="370"/>
    <s v="Ahmedabad"/>
    <s v="B2C"/>
    <n v="849.07"/>
  </r>
  <r>
    <x v="884"/>
    <x v="0"/>
    <s v="Slim Fit Jeans"/>
    <n v="2"/>
    <m/>
    <n v="0"/>
    <n v="1.1399999999999999"/>
    <n v="0"/>
    <x v="4"/>
    <s v="Delhi"/>
    <s v="B2B"/>
    <n v="330.14"/>
  </r>
  <r>
    <x v="885"/>
    <x v="3"/>
    <s v="Watches"/>
    <n v="2"/>
    <n v="4456.45"/>
    <n v="8912.9"/>
    <m/>
    <n v="8912.9"/>
    <x v="4"/>
    <s v="Delhi"/>
    <s v="B2B"/>
    <n v="870.63"/>
  </r>
  <r>
    <x v="886"/>
    <x v="1"/>
    <s v="Leather Jacket"/>
    <n v="2"/>
    <n v="2793.89"/>
    <n v="5587.78"/>
    <m/>
    <n v="5587.78"/>
    <x v="387"/>
    <s v="NaviMumbai"/>
    <s v="B2B"/>
    <n v="-512.73"/>
  </r>
  <r>
    <x v="887"/>
    <x v="0"/>
    <s v="Ripped Denim"/>
    <n v="-2"/>
    <m/>
    <n v="0"/>
    <m/>
    <n v="0"/>
    <x v="157"/>
    <s v="Pune"/>
    <s v="B2B"/>
    <n v="2368.6999999999998"/>
  </r>
  <r>
    <x v="888"/>
    <x v="4"/>
    <s v="Oversized T-shirt"/>
    <n v="5"/>
    <n v="4829.8500000000004"/>
    <n v="24149.25"/>
    <m/>
    <n v="24149.25"/>
    <x v="4"/>
    <s v="NaviMumbai"/>
    <s v="B2B"/>
    <n v="2993.71"/>
  </r>
  <r>
    <x v="889"/>
    <x v="0"/>
    <s v="Straight Cut"/>
    <n v="2"/>
    <m/>
    <n v="0"/>
    <n v="0.34"/>
    <n v="0"/>
    <x v="127"/>
    <s v="NaviMumbai"/>
    <s v="B2C"/>
    <n v="499.61"/>
  </r>
  <r>
    <x v="890"/>
    <x v="4"/>
    <s v="Classic Tee"/>
    <n v="5"/>
    <n v="776.98"/>
    <n v="3884.9"/>
    <m/>
    <n v="3884.9"/>
    <x v="388"/>
    <s v="Mumbai"/>
    <s v="B2C"/>
    <n v="2977.35"/>
  </r>
  <r>
    <x v="891"/>
    <x v="2"/>
    <s v="Sneakers"/>
    <n v="2"/>
    <m/>
    <n v="0"/>
    <m/>
    <n v="0"/>
    <x v="4"/>
    <s v="Delhi"/>
    <s v="B2C"/>
    <n v="500.04"/>
  </r>
  <r>
    <x v="892"/>
    <x v="4"/>
    <s v="Oversized T-shirt"/>
    <n v="3"/>
    <m/>
    <n v="0"/>
    <m/>
    <n v="0"/>
    <x v="309"/>
    <s v="Delhi"/>
    <s v="B2C"/>
    <n v="959.32"/>
  </r>
  <r>
    <x v="893"/>
    <x v="3"/>
    <s v="Belts"/>
    <n v="4"/>
    <n v="781.91"/>
    <n v="3127.64"/>
    <n v="1.2"/>
    <n v="-625.52799999999979"/>
    <x v="36"/>
    <s v="Pune"/>
    <s v="B2C"/>
    <n v="1002.98"/>
  </r>
  <r>
    <x v="894"/>
    <x v="3"/>
    <s v="Caps"/>
    <n v="0"/>
    <n v="3402.85"/>
    <n v="0"/>
    <n v="0.63"/>
    <n v="0"/>
    <x v="4"/>
    <s v="Pune"/>
    <s v="B2C"/>
    <n v="1333.09"/>
  </r>
  <r>
    <x v="895"/>
    <x v="5"/>
    <s v="Maxi Dress"/>
    <n v="-1"/>
    <m/>
    <n v="0"/>
    <n v="0.08"/>
    <n v="0"/>
    <x v="121"/>
    <s v="Mumbai"/>
    <s v="B2C"/>
    <n v="1264.02"/>
  </r>
  <r>
    <x v="896"/>
    <x v="0"/>
    <s v="Ripped Denim"/>
    <n v="-1"/>
    <n v="1339.18"/>
    <n v="-1339.18"/>
    <m/>
    <n v="-1339.18"/>
    <x v="23"/>
    <s v="Bangalore"/>
    <s v="B2C"/>
    <n v="554.92999999999995"/>
  </r>
  <r>
    <x v="897"/>
    <x v="5"/>
    <s v="Bodycon"/>
    <n v="2"/>
    <n v="759.78"/>
    <n v="1519.56"/>
    <m/>
    <n v="1519.56"/>
    <x v="4"/>
    <s v="Pune"/>
    <s v="B2B"/>
    <n v="2254.8200000000002"/>
  </r>
  <r>
    <x v="898"/>
    <x v="5"/>
    <s v="Bodycon"/>
    <n v="-1"/>
    <m/>
    <n v="0"/>
    <m/>
    <n v="0"/>
    <x v="1"/>
    <s v="Bangalore"/>
    <s v="B2C"/>
    <n v="406.55"/>
  </r>
  <r>
    <x v="899"/>
    <x v="1"/>
    <s v="Puffer Coat"/>
    <n v="2"/>
    <m/>
    <n v="0"/>
    <m/>
    <n v="0"/>
    <x v="211"/>
    <s v="NaviMumbai"/>
    <s v="B2C"/>
    <n v="305.87"/>
  </r>
  <r>
    <x v="900"/>
    <x v="0"/>
    <s v="Boyfriend Jeans"/>
    <n v="2"/>
    <m/>
    <n v="0"/>
    <m/>
    <n v="0"/>
    <x v="4"/>
    <s v="NaviMumbai"/>
    <s v="B2C"/>
    <n v="205.56"/>
  </r>
  <r>
    <x v="901"/>
    <x v="3"/>
    <s v="Sunglasses"/>
    <n v="1"/>
    <n v="3114.13"/>
    <n v="3114.13"/>
    <m/>
    <n v="3114.13"/>
    <x v="389"/>
    <s v="Pune"/>
    <s v="B2B"/>
    <n v="2743.54"/>
  </r>
  <r>
    <x v="902"/>
    <x v="4"/>
    <s v="Oversized T-shirt"/>
    <n v="0"/>
    <n v="2155.16"/>
    <n v="0"/>
    <m/>
    <n v="0"/>
    <x v="59"/>
    <s v="Ahmedabad"/>
    <s v="B2B"/>
    <n v="425.89"/>
  </r>
  <r>
    <x v="903"/>
    <x v="0"/>
    <s v="Ripped Denim"/>
    <n v="6"/>
    <n v="2357.6999999999998"/>
    <n v="14146.199999999999"/>
    <m/>
    <n v="14146.199999999999"/>
    <x v="370"/>
    <s v="Ahmedabad"/>
    <s v="B2C"/>
    <n v="1901.07"/>
  </r>
  <r>
    <x v="904"/>
    <x v="3"/>
    <s v="Belts"/>
    <n v="2"/>
    <m/>
    <n v="0"/>
    <m/>
    <n v="0"/>
    <x v="4"/>
    <s v="Pune"/>
    <s v="B2C"/>
    <n v="2721.15"/>
  </r>
  <r>
    <x v="905"/>
    <x v="3"/>
    <s v="Watches"/>
    <n v="5"/>
    <m/>
    <n v="0"/>
    <m/>
    <n v="0"/>
    <x v="4"/>
    <s v="Mumbai"/>
    <s v="B2C"/>
    <n v="1490.96"/>
  </r>
  <r>
    <x v="906"/>
    <x v="0"/>
    <s v="Boyfriend Jeans"/>
    <n v="6"/>
    <n v="3661.49"/>
    <n v="21968.94"/>
    <n v="0.11"/>
    <n v="19552.356599999999"/>
    <x v="390"/>
    <s v="Pune"/>
    <s v="B2C"/>
    <n v="-527.32000000000005"/>
  </r>
  <r>
    <x v="907"/>
    <x v="3"/>
    <s v="Sunglasses"/>
    <n v="2"/>
    <m/>
    <n v="0"/>
    <m/>
    <n v="0"/>
    <x v="391"/>
    <s v="Delhi"/>
    <s v="B2B"/>
    <n v="944.36"/>
  </r>
  <r>
    <x v="908"/>
    <x v="5"/>
    <s v="Maxi Dress"/>
    <n v="2"/>
    <n v="2117.0700000000002"/>
    <n v="4234.1400000000003"/>
    <n v="0.13"/>
    <n v="3683.7018000000003"/>
    <x v="350"/>
    <s v="Delhi"/>
    <s v="B2C"/>
    <n v="2423.2399999999998"/>
  </r>
  <r>
    <x v="909"/>
    <x v="2"/>
    <s v="Slip-ons"/>
    <n v="2"/>
    <m/>
    <n v="0"/>
    <m/>
    <n v="0"/>
    <x v="130"/>
    <s v="Ahmedabad"/>
    <s v="B2C"/>
    <n v="1173.48"/>
  </r>
  <r>
    <x v="910"/>
    <x v="5"/>
    <s v="Bodycon"/>
    <n v="2"/>
    <n v="581.49"/>
    <n v="1162.98"/>
    <m/>
    <n v="1162.98"/>
    <x v="392"/>
    <s v="Ahmedabad"/>
    <s v="B2C"/>
    <n v="-714.88"/>
  </r>
  <r>
    <x v="911"/>
    <x v="5"/>
    <s v="Maxi Dress"/>
    <n v="2"/>
    <n v="1460.71"/>
    <n v="2921.42"/>
    <m/>
    <n v="2921.42"/>
    <x v="4"/>
    <s v="Ahmedabad"/>
    <s v="B2C"/>
    <n v="2917.9"/>
  </r>
  <r>
    <x v="912"/>
    <x v="1"/>
    <s v="Denim Jacket"/>
    <n v="2"/>
    <n v="4141.2299999999996"/>
    <n v="8282.4599999999991"/>
    <m/>
    <n v="8282.4599999999991"/>
    <x v="309"/>
    <s v="Mumbai"/>
    <s v="B2C"/>
    <n v="1455.81"/>
  </r>
  <r>
    <x v="913"/>
    <x v="3"/>
    <s v="Watches"/>
    <n v="2"/>
    <n v="4224.3100000000004"/>
    <n v="8448.6200000000008"/>
    <m/>
    <n v="8448.6200000000008"/>
    <x v="4"/>
    <s v="NaviMumbai"/>
    <s v="B2B"/>
    <n v="2660.84"/>
  </r>
  <r>
    <x v="914"/>
    <x v="5"/>
    <s v="Wrap Dress"/>
    <n v="2"/>
    <m/>
    <n v="0"/>
    <m/>
    <n v="0"/>
    <x v="204"/>
    <s v="Delhi"/>
    <s v="B2C"/>
    <n v="-616.36"/>
  </r>
  <r>
    <x v="915"/>
    <x v="1"/>
    <s v="Puffer Coat"/>
    <n v="2"/>
    <n v="3865.62"/>
    <n v="7731.24"/>
    <m/>
    <n v="7731.24"/>
    <x v="393"/>
    <s v="Bangalore"/>
    <s v="B2C"/>
    <n v="-56.4"/>
  </r>
  <r>
    <x v="916"/>
    <x v="0"/>
    <s v="Boyfriend Jeans"/>
    <n v="2"/>
    <n v="2999.49"/>
    <n v="5998.98"/>
    <m/>
    <n v="5998.98"/>
    <x v="352"/>
    <s v="Ahmedabad"/>
    <s v="B2C"/>
    <n v="-988.45"/>
  </r>
  <r>
    <x v="917"/>
    <x v="3"/>
    <s v="Caps"/>
    <n v="2"/>
    <n v="1429.24"/>
    <n v="2858.48"/>
    <m/>
    <n v="2858.48"/>
    <x v="101"/>
    <s v="Delhi"/>
    <s v="B2C"/>
    <n v="2081.7800000000002"/>
  </r>
  <r>
    <x v="918"/>
    <x v="2"/>
    <s v="Slip-ons"/>
    <n v="-2"/>
    <n v="2533.37"/>
    <n v="-5066.74"/>
    <m/>
    <n v="-5066.74"/>
    <x v="188"/>
    <s v="Bangalore"/>
    <s v="B2C"/>
    <n v="-490.96"/>
  </r>
  <r>
    <x v="919"/>
    <x v="4"/>
    <s v="Classic Tee"/>
    <n v="5"/>
    <m/>
    <n v="0"/>
    <m/>
    <n v="0"/>
    <x v="281"/>
    <s v="NaviMumbai"/>
    <s v="B2B"/>
    <n v="1844.54"/>
  </r>
  <r>
    <x v="920"/>
    <x v="5"/>
    <s v="Casual Midi"/>
    <n v="-2"/>
    <m/>
    <n v="0"/>
    <m/>
    <n v="0"/>
    <x v="394"/>
    <s v="Delhi"/>
    <s v="B2B"/>
    <n v="2676.77"/>
  </r>
  <r>
    <x v="921"/>
    <x v="3"/>
    <s v="Watches"/>
    <n v="-2"/>
    <n v="3618.48"/>
    <n v="-7236.96"/>
    <m/>
    <n v="-7236.96"/>
    <x v="4"/>
    <s v="Delhi"/>
    <s v="B2B"/>
    <n v="1383.46"/>
  </r>
  <r>
    <x v="922"/>
    <x v="0"/>
    <s v="Boyfriend Jeans"/>
    <n v="2"/>
    <n v="3017.82"/>
    <n v="6035.64"/>
    <m/>
    <n v="6035.64"/>
    <x v="4"/>
    <s v="Ahmedabad"/>
    <s v="B2B"/>
    <n v="1257.0999999999999"/>
  </r>
  <r>
    <x v="923"/>
    <x v="0"/>
    <s v="Boyfriend Jeans"/>
    <n v="-1"/>
    <m/>
    <n v="0"/>
    <m/>
    <n v="0"/>
    <x v="4"/>
    <s v="Pune"/>
    <s v="B2C"/>
    <n v="1820.4"/>
  </r>
  <r>
    <x v="924"/>
    <x v="4"/>
    <s v="Crop Top"/>
    <n v="2"/>
    <n v="436.31"/>
    <n v="872.62"/>
    <m/>
    <n v="872.62"/>
    <x v="328"/>
    <s v="Pune"/>
    <s v="B2B"/>
    <n v="1632.83"/>
  </r>
  <r>
    <x v="925"/>
    <x v="1"/>
    <s v="Leather Jacket"/>
    <n v="2"/>
    <n v="1403.41"/>
    <n v="2806.82"/>
    <m/>
    <n v="2806.82"/>
    <x v="4"/>
    <s v="Pune"/>
    <s v="B2B"/>
    <n v="635.85"/>
  </r>
  <r>
    <x v="926"/>
    <x v="0"/>
    <s v="Straight Cut"/>
    <n v="2"/>
    <n v="3369.03"/>
    <n v="6738.06"/>
    <m/>
    <n v="6738.06"/>
    <x v="309"/>
    <s v="NaviMumbai"/>
    <s v="B2C"/>
    <n v="-144.96"/>
  </r>
  <r>
    <x v="927"/>
    <x v="1"/>
    <s v="Puffer Coat"/>
    <n v="6"/>
    <m/>
    <n v="0"/>
    <m/>
    <n v="0"/>
    <x v="332"/>
    <s v="Mumbai"/>
    <s v="B2C"/>
    <n v="2390.71"/>
  </r>
  <r>
    <x v="928"/>
    <x v="0"/>
    <s v="Ripped Denim"/>
    <n v="5"/>
    <n v="804.78"/>
    <n v="4023.8999999999996"/>
    <m/>
    <n v="4023.8999999999996"/>
    <x v="123"/>
    <s v="Ahmedabad"/>
    <s v="B2C"/>
    <n v="1109.21"/>
  </r>
  <r>
    <x v="929"/>
    <x v="3"/>
    <s v="Watches"/>
    <n v="4"/>
    <n v="643.24"/>
    <n v="2572.96"/>
    <m/>
    <n v="2572.96"/>
    <x v="270"/>
    <s v="Ahmedabad"/>
    <s v="B2C"/>
    <n v="1670.97"/>
  </r>
  <r>
    <x v="930"/>
    <x v="1"/>
    <s v="Puffer Coat"/>
    <n v="4"/>
    <m/>
    <n v="0"/>
    <n v="0.34"/>
    <n v="0"/>
    <x v="183"/>
    <s v="NaviMumbai"/>
    <s v="B2C"/>
    <n v="-528.58000000000004"/>
  </r>
  <r>
    <x v="931"/>
    <x v="1"/>
    <s v="Leather Jacket"/>
    <n v="2"/>
    <m/>
    <n v="0"/>
    <n v="0.99"/>
    <n v="0"/>
    <x v="321"/>
    <s v="Bangalore"/>
    <s v="B2B"/>
    <n v="693.96"/>
  </r>
  <r>
    <x v="932"/>
    <x v="5"/>
    <s v="Bodycon"/>
    <n v="2"/>
    <n v="3428.02"/>
    <n v="6856.04"/>
    <m/>
    <n v="6856.04"/>
    <x v="98"/>
    <s v="Mumbai"/>
    <s v="B2B"/>
    <n v="-881.03"/>
  </r>
  <r>
    <x v="933"/>
    <x v="2"/>
    <s v="Loafers"/>
    <n v="4"/>
    <m/>
    <n v="0"/>
    <m/>
    <n v="0"/>
    <x v="107"/>
    <s v="Ahmedabad"/>
    <s v="B2C"/>
    <n v="-298.48"/>
  </r>
  <r>
    <x v="934"/>
    <x v="1"/>
    <s v="Puffer Coat"/>
    <n v="2"/>
    <n v="3710.07"/>
    <n v="7420.14"/>
    <n v="0.83"/>
    <n v="1261.4238000000003"/>
    <x v="395"/>
    <s v="Mumbai"/>
    <s v="B2C"/>
    <n v="2682.86"/>
  </r>
  <r>
    <x v="935"/>
    <x v="2"/>
    <s v="Sneakers"/>
    <n v="4"/>
    <n v="3153.49"/>
    <n v="12613.96"/>
    <m/>
    <n v="12613.96"/>
    <x v="4"/>
    <s v="Ahmedabad"/>
    <s v="B2C"/>
    <n v="763.19"/>
  </r>
  <r>
    <x v="936"/>
    <x v="0"/>
    <s v="Boyfriend Jeans"/>
    <n v="-1"/>
    <n v="3227.22"/>
    <n v="-3227.22"/>
    <m/>
    <n v="-3227.22"/>
    <x v="4"/>
    <s v="Mumbai"/>
    <s v="B2C"/>
    <n v="597.80999999999995"/>
  </r>
  <r>
    <x v="937"/>
    <x v="0"/>
    <s v="Ripped Denim"/>
    <n v="2"/>
    <n v="2803.56"/>
    <n v="5607.12"/>
    <n v="1.05"/>
    <n v="-280.35600000000022"/>
    <x v="396"/>
    <s v="Delhi"/>
    <s v="B2C"/>
    <n v="-624.79"/>
  </r>
  <r>
    <x v="938"/>
    <x v="0"/>
    <s v="Ripped Denim"/>
    <n v="2"/>
    <n v="2355.36"/>
    <n v="4710.72"/>
    <m/>
    <n v="4710.72"/>
    <x v="236"/>
    <s v="Delhi"/>
    <s v="B2B"/>
    <n v="2397.33"/>
  </r>
  <r>
    <x v="939"/>
    <x v="0"/>
    <s v="Straight Cut"/>
    <n v="2"/>
    <m/>
    <n v="0"/>
    <n v="0.2"/>
    <n v="0"/>
    <x v="73"/>
    <s v="Mumbai"/>
    <s v="B2C"/>
    <n v="1608.36"/>
  </r>
  <r>
    <x v="940"/>
    <x v="0"/>
    <s v="Slim Fit Jeans"/>
    <n v="2"/>
    <n v="2755.59"/>
    <n v="5511.18"/>
    <n v="1.06"/>
    <n v="-330.67080000000033"/>
    <x v="357"/>
    <s v="Ahmedabad"/>
    <s v="B2C"/>
    <n v="1058.83"/>
  </r>
  <r>
    <x v="941"/>
    <x v="2"/>
    <s v="Slip-ons"/>
    <n v="2"/>
    <n v="4000.18"/>
    <n v="8000.36"/>
    <n v="0.89"/>
    <n v="880.03959999999984"/>
    <x v="4"/>
    <s v="Mumbai"/>
    <s v="B2C"/>
    <n v="713.58"/>
  </r>
  <r>
    <x v="942"/>
    <x v="5"/>
    <s v="Maxi Dress"/>
    <n v="0"/>
    <n v="2270.65"/>
    <n v="0"/>
    <n v="0"/>
    <n v="0"/>
    <x v="397"/>
    <s v="Ahmedabad"/>
    <s v="B2C"/>
    <n v="2324.34"/>
  </r>
  <r>
    <x v="943"/>
    <x v="2"/>
    <s v="Loafers"/>
    <n v="2"/>
    <n v="2390.4299999999998"/>
    <n v="4780.8599999999997"/>
    <n v="0.35"/>
    <n v="3107.5589999999997"/>
    <x v="95"/>
    <s v="Delhi"/>
    <s v="B2C"/>
    <n v="-634.86"/>
  </r>
  <r>
    <x v="944"/>
    <x v="0"/>
    <s v="Ripped Denim"/>
    <n v="5"/>
    <m/>
    <n v="0"/>
    <m/>
    <n v="0"/>
    <x v="398"/>
    <s v="Pune"/>
    <s v="B2C"/>
    <n v="2835.63"/>
  </r>
  <r>
    <x v="945"/>
    <x v="1"/>
    <s v="Bomber Jacket"/>
    <n v="2"/>
    <m/>
    <n v="0"/>
    <m/>
    <n v="0"/>
    <x v="73"/>
    <s v="Mumbai"/>
    <s v="B2B"/>
    <n v="1996.25"/>
  </r>
  <r>
    <x v="946"/>
    <x v="0"/>
    <s v="Ripped Denim"/>
    <n v="-2"/>
    <n v="2315.7800000000002"/>
    <n v="-4631.5600000000004"/>
    <m/>
    <n v="-4631.5600000000004"/>
    <x v="129"/>
    <s v="Ahmedabad"/>
    <s v="B2C"/>
    <n v="2501.64"/>
  </r>
  <r>
    <x v="947"/>
    <x v="2"/>
    <s v="Sneakers"/>
    <n v="1"/>
    <n v="2787.46"/>
    <n v="2787.46"/>
    <n v="0.92"/>
    <n v="222.99679999999989"/>
    <x v="297"/>
    <s v="Mumbai"/>
    <s v="B2B"/>
    <n v="2909.73"/>
  </r>
  <r>
    <x v="948"/>
    <x v="1"/>
    <s v="Puffer Coat"/>
    <n v="2"/>
    <m/>
    <n v="0"/>
    <m/>
    <n v="0"/>
    <x v="63"/>
    <s v="Bangalore"/>
    <s v="B2B"/>
    <n v="-850.76"/>
  </r>
  <r>
    <x v="949"/>
    <x v="3"/>
    <s v="Watches"/>
    <n v="2"/>
    <n v="494.81"/>
    <n v="989.62"/>
    <m/>
    <n v="989.62"/>
    <x v="399"/>
    <s v="NaviMumbai"/>
    <s v="B2C"/>
    <n v="-35.32"/>
  </r>
  <r>
    <x v="950"/>
    <x v="4"/>
    <s v="Crop Top"/>
    <n v="2"/>
    <n v="3068.38"/>
    <n v="6136.76"/>
    <m/>
    <n v="6136.76"/>
    <x v="337"/>
    <s v="Bangalore"/>
    <s v="B2C"/>
    <n v="2376.6799999999998"/>
  </r>
  <r>
    <x v="951"/>
    <x v="1"/>
    <s v="Denim Jacket"/>
    <n v="2"/>
    <n v="3805.09"/>
    <n v="7610.18"/>
    <m/>
    <n v="7610.18"/>
    <x v="4"/>
    <s v="Ahmedabad"/>
    <s v="B2C"/>
    <n v="-476"/>
  </r>
  <r>
    <x v="952"/>
    <x v="2"/>
    <s v="Slip-ons"/>
    <n v="2"/>
    <n v="1369.81"/>
    <n v="2739.62"/>
    <n v="0.67"/>
    <n v="904.0745999999998"/>
    <x v="364"/>
    <s v="Pune"/>
    <s v="B2B"/>
    <n v="1179.44"/>
  </r>
  <r>
    <x v="953"/>
    <x v="1"/>
    <s v="Denim Jacket"/>
    <n v="2"/>
    <n v="2204.39"/>
    <n v="4408.78"/>
    <m/>
    <n v="4408.78"/>
    <x v="400"/>
    <s v="Pune"/>
    <s v="B2B"/>
    <n v="-546.19000000000005"/>
  </r>
  <r>
    <x v="954"/>
    <x v="2"/>
    <s v="Sneakers"/>
    <n v="-2"/>
    <m/>
    <n v="0"/>
    <m/>
    <n v="0"/>
    <x v="401"/>
    <s v="Delhi"/>
    <s v="B2B"/>
    <n v="1408.3"/>
  </r>
  <r>
    <x v="955"/>
    <x v="2"/>
    <s v="Boots"/>
    <n v="2"/>
    <n v="1935.29"/>
    <n v="3870.58"/>
    <m/>
    <n v="3870.58"/>
    <x v="169"/>
    <s v="Mumbai"/>
    <s v="B2B"/>
    <n v="-114.47"/>
  </r>
  <r>
    <x v="956"/>
    <x v="4"/>
    <s v="Oversized T-shirt"/>
    <n v="-2"/>
    <m/>
    <n v="0"/>
    <m/>
    <n v="0"/>
    <x v="4"/>
    <s v="Bangalore"/>
    <s v="B2B"/>
    <n v="2202.2800000000002"/>
  </r>
  <r>
    <x v="957"/>
    <x v="5"/>
    <s v="Bodycon"/>
    <n v="0"/>
    <m/>
    <n v="0"/>
    <m/>
    <n v="0"/>
    <x v="402"/>
    <s v="Pune"/>
    <s v="B2B"/>
    <n v="2663.36"/>
  </r>
  <r>
    <x v="958"/>
    <x v="2"/>
    <s v="Loafers"/>
    <n v="2"/>
    <m/>
    <n v="0"/>
    <m/>
    <n v="0"/>
    <x v="4"/>
    <s v="Pune"/>
    <s v="B2B"/>
    <n v="2887.5"/>
  </r>
  <r>
    <x v="959"/>
    <x v="4"/>
    <s v="Graphic Tee"/>
    <n v="2"/>
    <m/>
    <n v="0"/>
    <m/>
    <n v="0"/>
    <x v="4"/>
    <s v="Ahmedabad"/>
    <s v="B2B"/>
    <n v="1310.86"/>
  </r>
  <r>
    <x v="960"/>
    <x v="1"/>
    <s v="Puffer Coat"/>
    <n v="5"/>
    <m/>
    <n v="0"/>
    <m/>
    <n v="0"/>
    <x v="97"/>
    <s v="Bangalore"/>
    <s v="B2C"/>
    <n v="-168.76"/>
  </r>
  <r>
    <x v="961"/>
    <x v="0"/>
    <s v="Slim Fit Jeans"/>
    <n v="2"/>
    <n v="2153.5700000000002"/>
    <n v="4307.1400000000003"/>
    <m/>
    <n v="4307.1400000000003"/>
    <x v="364"/>
    <s v="Mumbai"/>
    <s v="B2C"/>
    <n v="1200.02"/>
  </r>
  <r>
    <x v="962"/>
    <x v="1"/>
    <s v="Denim Jacket"/>
    <n v="6"/>
    <m/>
    <n v="0"/>
    <m/>
    <n v="0"/>
    <x v="4"/>
    <s v="Pune"/>
    <s v="B2C"/>
    <n v="1016.11"/>
  </r>
  <r>
    <x v="963"/>
    <x v="3"/>
    <s v="Sunglasses"/>
    <n v="0"/>
    <n v="4746.5200000000004"/>
    <n v="0"/>
    <m/>
    <n v="0"/>
    <x v="62"/>
    <s v="Mumbai"/>
    <s v="B2B"/>
    <n v="1981.22"/>
  </r>
  <r>
    <x v="964"/>
    <x v="1"/>
    <s v="Bomber Jacket"/>
    <n v="-1"/>
    <m/>
    <n v="0"/>
    <m/>
    <n v="0"/>
    <x v="169"/>
    <s v="Delhi"/>
    <s v="B2C"/>
    <n v="-161.86000000000001"/>
  </r>
  <r>
    <x v="965"/>
    <x v="3"/>
    <s v="Caps"/>
    <n v="2"/>
    <m/>
    <n v="0"/>
    <m/>
    <n v="0"/>
    <x v="292"/>
    <s v="Pune"/>
    <s v="B2C"/>
    <n v="838.06"/>
  </r>
  <r>
    <x v="966"/>
    <x v="0"/>
    <s v="Ripped Denim"/>
    <n v="2"/>
    <n v="3286.66"/>
    <n v="6573.32"/>
    <m/>
    <n v="6573.32"/>
    <x v="4"/>
    <s v="Ahmedabad"/>
    <s v="B2B"/>
    <n v="1019.91"/>
  </r>
  <r>
    <x v="967"/>
    <x v="4"/>
    <s v="Classic Tee"/>
    <n v="2"/>
    <n v="3853.49"/>
    <n v="7706.98"/>
    <m/>
    <n v="7706.98"/>
    <x v="4"/>
    <s v="Mumbai"/>
    <s v="B2B"/>
    <n v="77.2"/>
  </r>
  <r>
    <x v="968"/>
    <x v="0"/>
    <s v="Ripped Denim"/>
    <n v="2"/>
    <n v="4363.08"/>
    <n v="8726.16"/>
    <m/>
    <n v="8726.16"/>
    <x v="129"/>
    <s v="Delhi"/>
    <s v="B2C"/>
    <n v="-16.09"/>
  </r>
  <r>
    <x v="969"/>
    <x v="4"/>
    <s v="Oversized T-shirt"/>
    <n v="2"/>
    <n v="4126.29"/>
    <n v="8252.58"/>
    <m/>
    <n v="8252.58"/>
    <x v="4"/>
    <s v="Mumbai"/>
    <s v="B2C"/>
    <n v="-578.63"/>
  </r>
  <r>
    <x v="970"/>
    <x v="4"/>
    <s v="Classic Tee"/>
    <n v="4"/>
    <m/>
    <n v="0"/>
    <m/>
    <n v="0"/>
    <x v="403"/>
    <s v="Mumbai"/>
    <s v="B2C"/>
    <n v="-120.11"/>
  </r>
  <r>
    <x v="971"/>
    <x v="5"/>
    <s v="Bodycon"/>
    <n v="-2"/>
    <n v="4375.7"/>
    <n v="-8751.4"/>
    <n v="0.91"/>
    <n v="-787.62599999999975"/>
    <x v="272"/>
    <s v="Bangalore"/>
    <s v="B2B"/>
    <n v="250.46"/>
  </r>
  <r>
    <x v="972"/>
    <x v="3"/>
    <s v="Caps"/>
    <n v="1"/>
    <n v="1426.73"/>
    <n v="1426.73"/>
    <m/>
    <n v="1426.73"/>
    <x v="310"/>
    <s v="Pune"/>
    <s v="B2C"/>
    <n v="2451.9899999999998"/>
  </r>
  <r>
    <x v="973"/>
    <x v="5"/>
    <s v="Maxi Dress"/>
    <n v="0"/>
    <m/>
    <n v="0"/>
    <m/>
    <n v="0"/>
    <x v="4"/>
    <s v="Delhi"/>
    <s v="B2B"/>
    <n v="1171.6500000000001"/>
  </r>
  <r>
    <x v="974"/>
    <x v="5"/>
    <s v="Wrap Dress"/>
    <n v="2"/>
    <n v="3701.72"/>
    <n v="7403.44"/>
    <m/>
    <n v="7403.44"/>
    <x v="4"/>
    <s v="Ahmedabad"/>
    <s v="B2C"/>
    <n v="1936.33"/>
  </r>
  <r>
    <x v="975"/>
    <x v="1"/>
    <s v="Bomber Jacket"/>
    <n v="2"/>
    <n v="2348.2600000000002"/>
    <n v="4696.5200000000004"/>
    <m/>
    <n v="4696.5200000000004"/>
    <x v="404"/>
    <s v="Bangalore"/>
    <s v="B2B"/>
    <n v="358.59"/>
  </r>
  <r>
    <x v="976"/>
    <x v="5"/>
    <s v="Maxi Dress"/>
    <n v="2"/>
    <m/>
    <n v="0"/>
    <n v="1.25"/>
    <n v="0"/>
    <x v="53"/>
    <s v="Bangalore"/>
    <s v="B2B"/>
    <n v="881.47"/>
  </r>
  <r>
    <x v="977"/>
    <x v="2"/>
    <s v="Boots"/>
    <n v="2"/>
    <n v="1668.18"/>
    <n v="3336.36"/>
    <n v="0.63"/>
    <n v="1234.4531999999999"/>
    <x v="192"/>
    <s v="Delhi"/>
    <s v="B2C"/>
    <n v="-553.53"/>
  </r>
  <r>
    <x v="978"/>
    <x v="5"/>
    <s v="Casual Midi"/>
    <n v="0"/>
    <m/>
    <n v="0"/>
    <n v="0.06"/>
    <n v="0"/>
    <x v="48"/>
    <s v="NaviMumbai"/>
    <s v="B2C"/>
    <n v="2806.51"/>
  </r>
  <r>
    <x v="979"/>
    <x v="3"/>
    <s v="Belts"/>
    <n v="2"/>
    <m/>
    <n v="0"/>
    <n v="0.8"/>
    <n v="0"/>
    <x v="123"/>
    <s v="NaviMumbai"/>
    <s v="B2C"/>
    <n v="2732.84"/>
  </r>
  <r>
    <x v="980"/>
    <x v="2"/>
    <s v="Boots"/>
    <n v="2"/>
    <m/>
    <n v="0"/>
    <m/>
    <n v="0"/>
    <x v="157"/>
    <s v="Bangalore"/>
    <s v="B2B"/>
    <n v="-298.07"/>
  </r>
  <r>
    <x v="981"/>
    <x v="4"/>
    <s v="Crop Top"/>
    <n v="2"/>
    <m/>
    <n v="0"/>
    <m/>
    <n v="0"/>
    <x v="160"/>
    <s v="Ahmedabad"/>
    <s v="B2C"/>
    <n v="2646.08"/>
  </r>
  <r>
    <x v="982"/>
    <x v="0"/>
    <s v="Boyfriend Jeans"/>
    <n v="-1"/>
    <n v="1203.45"/>
    <n v="-1203.45"/>
    <m/>
    <n v="-1203.45"/>
    <x v="266"/>
    <s v="Delhi"/>
    <s v="B2C"/>
    <n v="1184.3599999999999"/>
  </r>
  <r>
    <x v="983"/>
    <x v="1"/>
    <s v="Leather Jacket"/>
    <n v="2"/>
    <n v="2808.46"/>
    <n v="5616.92"/>
    <n v="0.67"/>
    <n v="1853.5835999999997"/>
    <x v="4"/>
    <s v="Mumbai"/>
    <s v="B2C"/>
    <n v="1592.37"/>
  </r>
  <r>
    <x v="984"/>
    <x v="4"/>
    <s v="Classic Tee"/>
    <n v="2"/>
    <m/>
    <n v="0"/>
    <n v="0.72"/>
    <n v="0"/>
    <x v="4"/>
    <s v="Bangalore"/>
    <s v="B2B"/>
    <n v="2416.37"/>
  </r>
  <r>
    <x v="985"/>
    <x v="2"/>
    <s v="Boots"/>
    <n v="0"/>
    <m/>
    <n v="0"/>
    <m/>
    <n v="0"/>
    <x v="405"/>
    <s v="Pune"/>
    <s v="B2C"/>
    <n v="937.22"/>
  </r>
  <r>
    <x v="986"/>
    <x v="0"/>
    <s v="Ripped Denim"/>
    <n v="-1"/>
    <n v="1010.48"/>
    <n v="-1010.48"/>
    <m/>
    <n v="-1010.48"/>
    <x v="176"/>
    <s v="NaviMumbai"/>
    <s v="B2C"/>
    <n v="2321.5300000000002"/>
  </r>
  <r>
    <x v="987"/>
    <x v="1"/>
    <s v="Leather Jacket"/>
    <n v="4"/>
    <m/>
    <n v="0"/>
    <m/>
    <n v="0"/>
    <x v="306"/>
    <s v="Delhi"/>
    <s v="B2C"/>
    <n v="1815.94"/>
  </r>
  <r>
    <x v="988"/>
    <x v="3"/>
    <s v="Watches"/>
    <n v="2"/>
    <m/>
    <n v="0"/>
    <m/>
    <n v="0"/>
    <x v="281"/>
    <s v="Mumbai"/>
    <s v="B2C"/>
    <n v="1145.05"/>
  </r>
  <r>
    <x v="989"/>
    <x v="1"/>
    <s v="Puffer Coat"/>
    <n v="4"/>
    <m/>
    <n v="0"/>
    <n v="0.53"/>
    <n v="0"/>
    <x v="236"/>
    <s v="Delhi"/>
    <s v="B2C"/>
    <n v="141.76"/>
  </r>
  <r>
    <x v="990"/>
    <x v="4"/>
    <s v="Classic Tee"/>
    <n v="5"/>
    <n v="2567.59"/>
    <n v="12837.95"/>
    <m/>
    <n v="12837.95"/>
    <x v="406"/>
    <s v="Delhi"/>
    <s v="B2C"/>
    <n v="-702.7"/>
  </r>
  <r>
    <x v="991"/>
    <x v="2"/>
    <s v="Slip-ons"/>
    <n v="2"/>
    <m/>
    <n v="0"/>
    <n v="0.81"/>
    <n v="0"/>
    <x v="36"/>
    <s v="NaviMumbai"/>
    <s v="B2C"/>
    <n v="938.71"/>
  </r>
  <r>
    <x v="992"/>
    <x v="1"/>
    <s v="Leather Jacket"/>
    <n v="-1"/>
    <n v="1966.21"/>
    <n v="-1966.21"/>
    <m/>
    <n v="-1966.21"/>
    <x v="320"/>
    <s v="Bangalore"/>
    <s v="B2C"/>
    <n v="2035.1"/>
  </r>
  <r>
    <x v="993"/>
    <x v="5"/>
    <s v="Wrap Dress"/>
    <n v="1"/>
    <m/>
    <n v="0"/>
    <m/>
    <n v="0"/>
    <x v="4"/>
    <s v="Mumbai"/>
    <s v="B2C"/>
    <n v="1592.62"/>
  </r>
  <r>
    <x v="994"/>
    <x v="4"/>
    <s v="Crop Top"/>
    <n v="2"/>
    <n v="1335.29"/>
    <n v="2670.58"/>
    <m/>
    <n v="2670.58"/>
    <x v="372"/>
    <s v="Ahmedabad"/>
    <s v="B2C"/>
    <n v="1372.9"/>
  </r>
  <r>
    <x v="995"/>
    <x v="1"/>
    <s v="Denim Jacket"/>
    <n v="2"/>
    <n v="2910.84"/>
    <n v="5821.68"/>
    <m/>
    <n v="5821.68"/>
    <x v="253"/>
    <s v="Ahmedabad"/>
    <s v="B2C"/>
    <n v="-304.63"/>
  </r>
  <r>
    <x v="996"/>
    <x v="1"/>
    <s v="Bomber Jacket"/>
    <n v="-1"/>
    <m/>
    <n v="0"/>
    <m/>
    <n v="0"/>
    <x v="60"/>
    <s v="Mumbai"/>
    <s v="B2B"/>
    <n v="1452.85"/>
  </r>
  <r>
    <x v="997"/>
    <x v="0"/>
    <s v="Straight Cut"/>
    <n v="2"/>
    <m/>
    <n v="0"/>
    <m/>
    <n v="0"/>
    <x v="322"/>
    <s v="Delhi"/>
    <s v="B2C"/>
    <n v="559.6"/>
  </r>
  <r>
    <x v="998"/>
    <x v="3"/>
    <s v="Caps"/>
    <n v="2"/>
    <n v="1283.6199999999999"/>
    <n v="2567.2399999999998"/>
    <m/>
    <n v="2567.2399999999998"/>
    <x v="4"/>
    <s v="Ahmedabad"/>
    <s v="B2C"/>
    <n v="541.27"/>
  </r>
  <r>
    <x v="999"/>
    <x v="1"/>
    <s v="Leather Jacket"/>
    <n v="3"/>
    <n v="3413.11"/>
    <n v="10239.33"/>
    <n v="0.9"/>
    <n v="1023.9329999999998"/>
    <x v="4"/>
    <s v="NaviMumbai"/>
    <s v="B2B"/>
    <n v="-440.8"/>
  </r>
  <r>
    <x v="1000"/>
    <x v="5"/>
    <s v="Maxi Dress"/>
    <n v="3"/>
    <n v="1284.3599999999999"/>
    <n v="3853.08"/>
    <m/>
    <n v="3853.08"/>
    <x v="4"/>
    <s v="Ahmedabad"/>
    <s v="B2C"/>
    <n v="108.58"/>
  </r>
  <r>
    <x v="1001"/>
    <x v="0"/>
    <s v="Straight Cut"/>
    <n v="2"/>
    <n v="3385.59"/>
    <n v="6771.18"/>
    <n v="0.02"/>
    <n v="6635.7564000000002"/>
    <x v="320"/>
    <s v="Bangalore"/>
    <s v="B2B"/>
    <n v="-927.71"/>
  </r>
  <r>
    <x v="1002"/>
    <x v="4"/>
    <s v="Graphic Tee"/>
    <n v="-1"/>
    <n v="3630.24"/>
    <n v="-3630.24"/>
    <m/>
    <n v="-3630.24"/>
    <x v="96"/>
    <s v="Ahmedabad"/>
    <s v="B2C"/>
    <n v="-194.42"/>
  </r>
  <r>
    <x v="1003"/>
    <x v="2"/>
    <s v="Slip-ons"/>
    <n v="1"/>
    <n v="3989.68"/>
    <n v="3989.68"/>
    <m/>
    <n v="3989.68"/>
    <x v="127"/>
    <s v="Mumbai"/>
    <s v="B2C"/>
    <n v="999.35"/>
  </r>
  <r>
    <x v="1004"/>
    <x v="4"/>
    <s v="Oversized T-shirt"/>
    <n v="2"/>
    <n v="2674.79"/>
    <n v="5349.58"/>
    <n v="0.8"/>
    <n v="1069.9159999999997"/>
    <x v="136"/>
    <s v="Ahmedabad"/>
    <s v="B2C"/>
    <n v="537.29999999999995"/>
  </r>
  <r>
    <x v="1005"/>
    <x v="2"/>
    <s v="Sneakers"/>
    <n v="2"/>
    <m/>
    <n v="0"/>
    <m/>
    <n v="0"/>
    <x v="342"/>
    <s v="Mumbai"/>
    <s v="B2C"/>
    <n v="644.41999999999996"/>
  </r>
  <r>
    <x v="1006"/>
    <x v="1"/>
    <s v="Leather Jacket"/>
    <n v="2"/>
    <m/>
    <n v="0"/>
    <m/>
    <n v="0"/>
    <x v="4"/>
    <s v="Delhi"/>
    <s v="B2C"/>
    <n v="763.62"/>
  </r>
  <r>
    <x v="1007"/>
    <x v="5"/>
    <s v="Casual Midi"/>
    <n v="2"/>
    <m/>
    <n v="0"/>
    <m/>
    <n v="0"/>
    <x v="14"/>
    <s v="Delhi"/>
    <s v="B2B"/>
    <n v="182.23"/>
  </r>
  <r>
    <x v="1008"/>
    <x v="2"/>
    <s v="Boots"/>
    <n v="-2"/>
    <n v="1435.85"/>
    <n v="-2871.7"/>
    <m/>
    <n v="-2871.7"/>
    <x v="407"/>
    <s v="NaviMumbai"/>
    <s v="B2B"/>
    <n v="317.58"/>
  </r>
  <r>
    <x v="1009"/>
    <x v="0"/>
    <s v="Ripped Denim"/>
    <n v="2"/>
    <n v="3549.93"/>
    <n v="7099.86"/>
    <m/>
    <n v="7099.86"/>
    <x v="4"/>
    <s v="Ahmedabad"/>
    <s v="B2C"/>
    <n v="652.09"/>
  </r>
  <r>
    <x v="1010"/>
    <x v="0"/>
    <s v="Ripped Denim"/>
    <n v="5"/>
    <m/>
    <n v="0"/>
    <n v="0.91"/>
    <n v="0"/>
    <x v="269"/>
    <s v="Mumbai"/>
    <s v="B2C"/>
    <n v="-730.39"/>
  </r>
  <r>
    <x v="1011"/>
    <x v="0"/>
    <s v="Straight Cut"/>
    <n v="2"/>
    <n v="1797.91"/>
    <n v="3595.82"/>
    <m/>
    <n v="3595.82"/>
    <x v="94"/>
    <s v="Ahmedabad"/>
    <s v="B2C"/>
    <n v="2132.08"/>
  </r>
  <r>
    <x v="1012"/>
    <x v="0"/>
    <s v="Straight Cut"/>
    <n v="-2"/>
    <n v="3954.73"/>
    <n v="-7909.46"/>
    <n v="0.3"/>
    <n v="-5536.6219999999994"/>
    <x v="196"/>
    <s v="Bangalore"/>
    <s v="B2C"/>
    <n v="-78.22"/>
  </r>
  <r>
    <x v="1013"/>
    <x v="2"/>
    <s v="Sneakers"/>
    <n v="2"/>
    <n v="4178.18"/>
    <n v="8356.36"/>
    <n v="1.27"/>
    <n v="-2256.2172000000005"/>
    <x v="259"/>
    <s v="Mumbai"/>
    <s v="B2C"/>
    <n v="2952.52"/>
  </r>
  <r>
    <x v="1014"/>
    <x v="2"/>
    <s v="Loafers"/>
    <n v="2"/>
    <n v="3094.77"/>
    <n v="6189.54"/>
    <m/>
    <n v="6189.54"/>
    <x v="143"/>
    <s v="Pune"/>
    <s v="B2B"/>
    <n v="2340.79"/>
  </r>
  <r>
    <x v="1015"/>
    <x v="2"/>
    <s v="Boots"/>
    <n v="3"/>
    <n v="618.17999999999995"/>
    <n v="1854.54"/>
    <m/>
    <n v="1854.54"/>
    <x v="4"/>
    <s v="Ahmedabad"/>
    <s v="B2C"/>
    <n v="404.9"/>
  </r>
  <r>
    <x v="1016"/>
    <x v="5"/>
    <s v="Casual Midi"/>
    <n v="4"/>
    <n v="4220.2"/>
    <n v="16880.8"/>
    <m/>
    <n v="16880.8"/>
    <x v="408"/>
    <s v="Delhi"/>
    <s v="B2C"/>
    <n v="2488.92"/>
  </r>
  <r>
    <x v="1017"/>
    <x v="3"/>
    <s v="Watches"/>
    <n v="4"/>
    <m/>
    <n v="0"/>
    <m/>
    <n v="0"/>
    <x v="307"/>
    <s v="Delhi"/>
    <s v="B2B"/>
    <n v="1259.95"/>
  </r>
  <r>
    <x v="1018"/>
    <x v="2"/>
    <s v="Sneakers"/>
    <n v="2"/>
    <m/>
    <n v="0"/>
    <m/>
    <n v="0"/>
    <x v="232"/>
    <s v="Ahmedabad"/>
    <s v="B2C"/>
    <n v="83.33"/>
  </r>
  <r>
    <x v="1019"/>
    <x v="2"/>
    <s v="Slip-ons"/>
    <n v="5"/>
    <n v="2734.95"/>
    <n v="13674.75"/>
    <n v="0.17"/>
    <n v="11350.0425"/>
    <x v="63"/>
    <s v="Mumbai"/>
    <s v="B2C"/>
    <n v="-657.03"/>
  </r>
  <r>
    <x v="1020"/>
    <x v="1"/>
    <s v="Leather Jacket"/>
    <n v="2"/>
    <m/>
    <n v="0"/>
    <m/>
    <n v="0"/>
    <x v="220"/>
    <s v="Bangalore"/>
    <s v="B2B"/>
    <n v="2393.48"/>
  </r>
  <r>
    <x v="1021"/>
    <x v="1"/>
    <s v="Bomber Jacket"/>
    <n v="6"/>
    <m/>
    <n v="0"/>
    <m/>
    <n v="0"/>
    <x v="409"/>
    <s v="Bangalore"/>
    <s v="B2B"/>
    <n v="2374.9"/>
  </r>
  <r>
    <x v="1022"/>
    <x v="5"/>
    <s v="Wrap Dress"/>
    <n v="1"/>
    <n v="1354.69"/>
    <n v="1354.69"/>
    <m/>
    <n v="1354.69"/>
    <x v="288"/>
    <s v="NaviMumbai"/>
    <s v="B2C"/>
    <n v="-710.56"/>
  </r>
  <r>
    <x v="1023"/>
    <x v="5"/>
    <s v="Maxi Dress"/>
    <n v="2"/>
    <m/>
    <n v="0"/>
    <m/>
    <n v="0"/>
    <x v="141"/>
    <s v="Delhi"/>
    <s v="B2C"/>
    <n v="2655.01"/>
  </r>
  <r>
    <x v="1024"/>
    <x v="3"/>
    <s v="Sunglasses"/>
    <n v="2"/>
    <n v="4910.91"/>
    <n v="9821.82"/>
    <n v="1.1200000000000001"/>
    <n v="-1178.618400000001"/>
    <x v="259"/>
    <s v="NaviMumbai"/>
    <s v="B2B"/>
    <n v="1419.21"/>
  </r>
  <r>
    <x v="1025"/>
    <x v="5"/>
    <s v="Casual Midi"/>
    <n v="6"/>
    <m/>
    <n v="0"/>
    <m/>
    <n v="0"/>
    <x v="4"/>
    <s v="NaviMumbai"/>
    <s v="B2B"/>
    <n v="63.41"/>
  </r>
  <r>
    <x v="1026"/>
    <x v="3"/>
    <s v="Sunglasses"/>
    <n v="6"/>
    <n v="3080.12"/>
    <n v="18480.72"/>
    <n v="0.26"/>
    <n v="13675.732800000002"/>
    <x v="280"/>
    <s v="NaviMumbai"/>
    <s v="B2C"/>
    <n v="-678.89"/>
  </r>
  <r>
    <x v="1027"/>
    <x v="5"/>
    <s v="Maxi Dress"/>
    <n v="0"/>
    <n v="2516.6"/>
    <n v="0"/>
    <m/>
    <n v="0"/>
    <x v="187"/>
    <s v="Ahmedabad"/>
    <s v="B2C"/>
    <n v="2860.05"/>
  </r>
  <r>
    <x v="1028"/>
    <x v="4"/>
    <s v="Graphic Tee"/>
    <n v="-2"/>
    <m/>
    <n v="0"/>
    <n v="0.72"/>
    <n v="0"/>
    <x v="4"/>
    <s v="Ahmedabad"/>
    <s v="B2C"/>
    <n v="106.67"/>
  </r>
  <r>
    <x v="1029"/>
    <x v="2"/>
    <s v="Boots"/>
    <n v="1"/>
    <n v="1120.52"/>
    <n v="1120.52"/>
    <m/>
    <n v="1120.52"/>
    <x v="41"/>
    <s v="NaviMumbai"/>
    <s v="B2B"/>
    <n v="-523.32000000000005"/>
  </r>
  <r>
    <x v="1030"/>
    <x v="4"/>
    <s v="Oversized T-shirt"/>
    <n v="2"/>
    <m/>
    <n v="0"/>
    <m/>
    <n v="0"/>
    <x v="391"/>
    <s v="NaviMumbai"/>
    <s v="B2C"/>
    <n v="2548.6"/>
  </r>
  <r>
    <x v="1031"/>
    <x v="1"/>
    <s v="Puffer Coat"/>
    <n v="2"/>
    <n v="1802.43"/>
    <n v="3604.86"/>
    <m/>
    <n v="3604.86"/>
    <x v="4"/>
    <s v="NaviMumbai"/>
    <s v="B2B"/>
    <n v="644.27"/>
  </r>
  <r>
    <x v="1032"/>
    <x v="5"/>
    <s v="Bodycon"/>
    <n v="2"/>
    <m/>
    <n v="0"/>
    <n v="0.34"/>
    <n v="0"/>
    <x v="117"/>
    <s v="NaviMumbai"/>
    <s v="B2C"/>
    <n v="-838.24"/>
  </r>
  <r>
    <x v="1033"/>
    <x v="5"/>
    <s v="Bodycon"/>
    <n v="2"/>
    <n v="854.8"/>
    <n v="1709.6"/>
    <m/>
    <n v="1709.6"/>
    <x v="410"/>
    <s v="Delhi"/>
    <s v="B2C"/>
    <n v="400.41"/>
  </r>
  <r>
    <x v="1034"/>
    <x v="4"/>
    <s v="Classic Tee"/>
    <n v="3"/>
    <m/>
    <n v="0"/>
    <m/>
    <n v="0"/>
    <x v="4"/>
    <s v="Mumbai"/>
    <s v="B2C"/>
    <n v="80.86"/>
  </r>
  <r>
    <x v="1035"/>
    <x v="4"/>
    <s v="Crop Top"/>
    <n v="2"/>
    <m/>
    <n v="0"/>
    <n v="0.74"/>
    <n v="0"/>
    <x v="251"/>
    <s v="Bangalore"/>
    <s v="B2C"/>
    <n v="647.80999999999995"/>
  </r>
  <r>
    <x v="1036"/>
    <x v="3"/>
    <s v="Belts"/>
    <n v="2"/>
    <n v="2912.48"/>
    <n v="5824.96"/>
    <n v="0.39"/>
    <n v="3553.2255999999998"/>
    <x v="407"/>
    <s v="Mumbai"/>
    <s v="B2C"/>
    <n v="565.53"/>
  </r>
  <r>
    <x v="1037"/>
    <x v="1"/>
    <s v="Puffer Coat"/>
    <n v="-1"/>
    <n v="473.68"/>
    <n v="-473.68"/>
    <m/>
    <n v="-473.68"/>
    <x v="4"/>
    <s v="NaviMumbai"/>
    <s v="B2C"/>
    <n v="-108.72"/>
  </r>
  <r>
    <x v="1038"/>
    <x v="3"/>
    <s v="Watches"/>
    <n v="6"/>
    <m/>
    <n v="0"/>
    <n v="0.6"/>
    <n v="0"/>
    <x v="411"/>
    <s v="Mumbai"/>
    <s v="B2C"/>
    <n v="1657.74"/>
  </r>
  <r>
    <x v="1039"/>
    <x v="0"/>
    <s v="Boyfriend Jeans"/>
    <n v="2"/>
    <m/>
    <n v="0"/>
    <m/>
    <n v="0"/>
    <x v="412"/>
    <s v="Mumbai"/>
    <s v="B2C"/>
    <n v="238.33"/>
  </r>
  <r>
    <x v="1040"/>
    <x v="2"/>
    <s v="Slip-ons"/>
    <n v="2"/>
    <n v="1469.13"/>
    <n v="2938.26"/>
    <n v="0.11"/>
    <n v="2615.0514000000003"/>
    <x v="108"/>
    <s v="Ahmedabad"/>
    <s v="B2C"/>
    <n v="665.1"/>
  </r>
  <r>
    <x v="1041"/>
    <x v="2"/>
    <s v="Loafers"/>
    <n v="-1"/>
    <n v="2462.92"/>
    <n v="-2462.92"/>
    <m/>
    <n v="-2462.92"/>
    <x v="4"/>
    <s v="Delhi"/>
    <s v="B2B"/>
    <n v="825.06"/>
  </r>
  <r>
    <x v="1042"/>
    <x v="4"/>
    <s v="Oversized T-shirt"/>
    <n v="1"/>
    <n v="4234.28"/>
    <n v="4234.28"/>
    <n v="1.03"/>
    <n v="-127.0284000000001"/>
    <x v="413"/>
    <s v="Mumbai"/>
    <s v="B2B"/>
    <n v="2931.9"/>
  </r>
  <r>
    <x v="1043"/>
    <x v="3"/>
    <s v="Sunglasses"/>
    <n v="2"/>
    <n v="1234.27"/>
    <n v="2468.54"/>
    <m/>
    <n v="2468.54"/>
    <x v="414"/>
    <s v="Pune"/>
    <s v="B2B"/>
    <n v="-911.71"/>
  </r>
  <r>
    <x v="1044"/>
    <x v="5"/>
    <s v="Maxi Dress"/>
    <n v="3"/>
    <n v="4971.74"/>
    <n v="14915.22"/>
    <m/>
    <n v="14915.22"/>
    <x v="415"/>
    <s v="Bangalore"/>
    <s v="B2C"/>
    <n v="1386.13"/>
  </r>
  <r>
    <x v="1045"/>
    <x v="3"/>
    <s v="Belts"/>
    <n v="2"/>
    <m/>
    <n v="0"/>
    <m/>
    <n v="0"/>
    <x v="416"/>
    <s v="Pune"/>
    <s v="B2B"/>
    <n v="-940.51"/>
  </r>
  <r>
    <x v="1046"/>
    <x v="0"/>
    <s v="Boyfriend Jeans"/>
    <n v="1"/>
    <n v="1254.77"/>
    <n v="1254.77"/>
    <n v="0.62"/>
    <n v="476.81259999999997"/>
    <x v="4"/>
    <s v="NaviMumbai"/>
    <s v="B2B"/>
    <n v="2605.15"/>
  </r>
  <r>
    <x v="1047"/>
    <x v="0"/>
    <s v="Slim Fit Jeans"/>
    <n v="2"/>
    <n v="677.9"/>
    <n v="1355.8"/>
    <n v="0.15"/>
    <n v="1152.4299999999998"/>
    <x v="4"/>
    <s v="NaviMumbai"/>
    <s v="B2C"/>
    <n v="-503.02"/>
  </r>
  <r>
    <x v="1048"/>
    <x v="5"/>
    <s v="Wrap Dress"/>
    <n v="0"/>
    <m/>
    <n v="0"/>
    <n v="0.7"/>
    <n v="0"/>
    <x v="379"/>
    <s v="Ahmedabad"/>
    <s v="B2B"/>
    <n v="2544.92"/>
  </r>
  <r>
    <x v="1049"/>
    <x v="0"/>
    <s v="Ripped Denim"/>
    <n v="-1"/>
    <m/>
    <n v="0"/>
    <m/>
    <n v="0"/>
    <x v="226"/>
    <s v="Mumbai"/>
    <s v="B2B"/>
    <n v="17.96"/>
  </r>
  <r>
    <x v="1050"/>
    <x v="4"/>
    <s v="Classic Tee"/>
    <n v="6"/>
    <m/>
    <n v="0"/>
    <m/>
    <n v="0"/>
    <x v="363"/>
    <s v="Ahmedabad"/>
    <s v="B2B"/>
    <n v="-248.49"/>
  </r>
  <r>
    <x v="1051"/>
    <x v="3"/>
    <s v="Sunglasses"/>
    <n v="3"/>
    <n v="1193.03"/>
    <n v="3579.09"/>
    <m/>
    <n v="3579.09"/>
    <x v="28"/>
    <s v="Mumbai"/>
    <s v="B2B"/>
    <n v="-876.83"/>
  </r>
  <r>
    <x v="1052"/>
    <x v="4"/>
    <s v="Oversized T-shirt"/>
    <n v="2"/>
    <n v="3725.58"/>
    <n v="7451.16"/>
    <m/>
    <n v="7451.16"/>
    <x v="34"/>
    <s v="Pune"/>
    <s v="B2C"/>
    <n v="2544.5500000000002"/>
  </r>
  <r>
    <x v="1053"/>
    <x v="2"/>
    <s v="Boots"/>
    <n v="2"/>
    <n v="2077.8200000000002"/>
    <n v="4155.6400000000003"/>
    <m/>
    <n v="4155.6400000000003"/>
    <x v="357"/>
    <s v="Pune"/>
    <s v="B2C"/>
    <n v="2769.01"/>
  </r>
  <r>
    <x v="1054"/>
    <x v="5"/>
    <s v="Casual Midi"/>
    <n v="4"/>
    <n v="2975.64"/>
    <n v="11902.56"/>
    <m/>
    <n v="11902.56"/>
    <x v="337"/>
    <s v="NaviMumbai"/>
    <s v="B2C"/>
    <n v="-644.20000000000005"/>
  </r>
  <r>
    <x v="1055"/>
    <x v="4"/>
    <s v="Oversized T-shirt"/>
    <n v="5"/>
    <m/>
    <n v="0"/>
    <m/>
    <n v="0"/>
    <x v="13"/>
    <s v="Pune"/>
    <s v="B2C"/>
    <n v="2549.09"/>
  </r>
  <r>
    <x v="1056"/>
    <x v="3"/>
    <s v="Sunglasses"/>
    <n v="2"/>
    <n v="702.86"/>
    <n v="1405.72"/>
    <m/>
    <n v="1405.72"/>
    <x v="226"/>
    <s v="Pune"/>
    <s v="B2C"/>
    <n v="577.70000000000005"/>
  </r>
  <r>
    <x v="1057"/>
    <x v="4"/>
    <s v="Crop Top"/>
    <n v="4"/>
    <n v="3590.4"/>
    <n v="14361.6"/>
    <m/>
    <n v="14361.6"/>
    <x v="9"/>
    <s v="Bangalore"/>
    <s v="B2C"/>
    <n v="-86.57"/>
  </r>
  <r>
    <x v="1058"/>
    <x v="0"/>
    <s v="Straight Cut"/>
    <n v="0"/>
    <m/>
    <n v="0"/>
    <m/>
    <n v="0"/>
    <x v="4"/>
    <s v="Mumbai"/>
    <s v="B2C"/>
    <n v="2532.65"/>
  </r>
  <r>
    <x v="506"/>
    <x v="5"/>
    <s v="Wrap Dress"/>
    <n v="2"/>
    <n v="2975.33"/>
    <n v="5950.66"/>
    <m/>
    <n v="5950.66"/>
    <x v="153"/>
    <s v="NaviMumbai"/>
    <s v="B2C"/>
    <n v="1035.45"/>
  </r>
  <r>
    <x v="1059"/>
    <x v="2"/>
    <s v="Slip-ons"/>
    <n v="2"/>
    <m/>
    <n v="0"/>
    <n v="1"/>
    <n v="0"/>
    <x v="417"/>
    <s v="Delhi"/>
    <s v="B2C"/>
    <n v="999.95"/>
  </r>
  <r>
    <x v="1060"/>
    <x v="4"/>
    <s v="Graphic Tee"/>
    <n v="2"/>
    <n v="3266.05"/>
    <n v="6532.1"/>
    <m/>
    <n v="6532.1"/>
    <x v="216"/>
    <s v="Mumbai"/>
    <s v="B2C"/>
    <n v="1188.8900000000001"/>
  </r>
  <r>
    <x v="1061"/>
    <x v="3"/>
    <s v="Sunglasses"/>
    <n v="-1"/>
    <m/>
    <n v="0"/>
    <m/>
    <n v="0"/>
    <x v="236"/>
    <s v="Mumbai"/>
    <s v="B2B"/>
    <n v="614.38"/>
  </r>
  <r>
    <x v="1062"/>
    <x v="2"/>
    <s v="Slip-ons"/>
    <n v="2"/>
    <m/>
    <n v="0"/>
    <n v="0.98"/>
    <n v="0"/>
    <x v="75"/>
    <s v="Mumbai"/>
    <s v="B2C"/>
    <n v="1522.69"/>
  </r>
  <r>
    <x v="1063"/>
    <x v="5"/>
    <s v="Casual Midi"/>
    <n v="2"/>
    <m/>
    <n v="0"/>
    <m/>
    <n v="0"/>
    <x v="78"/>
    <s v="NaviMumbai"/>
    <s v="B2C"/>
    <n v="-670.22"/>
  </r>
  <r>
    <x v="1064"/>
    <x v="2"/>
    <s v="Slip-ons"/>
    <n v="3"/>
    <n v="1596.02"/>
    <n v="4788.0599999999995"/>
    <m/>
    <n v="4788.0599999999995"/>
    <x v="4"/>
    <s v="Ahmedabad"/>
    <s v="B2C"/>
    <n v="-217.87"/>
  </r>
  <r>
    <x v="1065"/>
    <x v="3"/>
    <s v="Caps"/>
    <n v="4"/>
    <m/>
    <n v="0"/>
    <m/>
    <n v="0"/>
    <x v="363"/>
    <s v="Bangalore"/>
    <s v="B2C"/>
    <n v="2628.09"/>
  </r>
  <r>
    <x v="1066"/>
    <x v="1"/>
    <s v="Puffer Coat"/>
    <n v="0"/>
    <m/>
    <n v="0"/>
    <m/>
    <n v="0"/>
    <x v="4"/>
    <s v="Bangalore"/>
    <s v="B2B"/>
    <n v="1501.9"/>
  </r>
  <r>
    <x v="1067"/>
    <x v="2"/>
    <s v="Sneakers"/>
    <n v="2"/>
    <n v="1151.07"/>
    <n v="2302.14"/>
    <m/>
    <n v="2302.14"/>
    <x v="418"/>
    <s v="Bangalore"/>
    <s v="B2B"/>
    <n v="854.02"/>
  </r>
  <r>
    <x v="1068"/>
    <x v="4"/>
    <s v="Oversized T-shirt"/>
    <n v="2"/>
    <m/>
    <n v="0"/>
    <m/>
    <n v="0"/>
    <x v="4"/>
    <s v="Pune"/>
    <s v="B2C"/>
    <n v="1082.3599999999999"/>
  </r>
  <r>
    <x v="1069"/>
    <x v="4"/>
    <s v="Classic Tee"/>
    <n v="2"/>
    <n v="1760.85"/>
    <n v="3521.7"/>
    <m/>
    <n v="3521.7"/>
    <x v="305"/>
    <s v="Pune"/>
    <s v="B2C"/>
    <n v="-542.71"/>
  </r>
  <r>
    <x v="1070"/>
    <x v="3"/>
    <s v="Belts"/>
    <n v="2"/>
    <n v="2778.14"/>
    <n v="5556.28"/>
    <n v="1.21"/>
    <n v="-1166.8187999999998"/>
    <x v="4"/>
    <s v="Ahmedabad"/>
    <s v="B2B"/>
    <n v="516.66"/>
  </r>
  <r>
    <x v="1071"/>
    <x v="3"/>
    <s v="Watches"/>
    <n v="3"/>
    <n v="4672.3500000000004"/>
    <n v="14017.050000000001"/>
    <m/>
    <n v="14017.050000000001"/>
    <x v="4"/>
    <s v="Delhi"/>
    <s v="B2B"/>
    <n v="991.5"/>
  </r>
  <r>
    <x v="1072"/>
    <x v="4"/>
    <s v="Crop Top"/>
    <n v="2"/>
    <n v="2809.88"/>
    <n v="5619.76"/>
    <m/>
    <n v="5619.76"/>
    <x v="334"/>
    <s v="Ahmedabad"/>
    <s v="B2B"/>
    <n v="1063.07"/>
  </r>
  <r>
    <x v="1073"/>
    <x v="1"/>
    <s v="Leather Jacket"/>
    <n v="5"/>
    <m/>
    <n v="0"/>
    <n v="1.1499999999999999"/>
    <n v="0"/>
    <x v="419"/>
    <s v="Mumbai"/>
    <s v="B2C"/>
    <n v="-208.43"/>
  </r>
  <r>
    <x v="1074"/>
    <x v="2"/>
    <s v="Slip-ons"/>
    <n v="2"/>
    <n v="2105.7399999999998"/>
    <n v="4211.4799999999996"/>
    <n v="0.34"/>
    <n v="2779.5767999999994"/>
    <x v="59"/>
    <s v="Delhi"/>
    <s v="B2C"/>
    <n v="-907.84"/>
  </r>
  <r>
    <x v="1075"/>
    <x v="1"/>
    <s v="Puffer Coat"/>
    <n v="6"/>
    <n v="4068.82"/>
    <n v="24412.920000000002"/>
    <m/>
    <n v="24412.920000000002"/>
    <x v="307"/>
    <s v="Ahmedabad"/>
    <s v="B2B"/>
    <n v="719.55"/>
  </r>
  <r>
    <x v="1076"/>
    <x v="1"/>
    <s v="Denim Jacket"/>
    <n v="2"/>
    <m/>
    <n v="0"/>
    <m/>
    <n v="0"/>
    <x v="420"/>
    <s v="NaviMumbai"/>
    <s v="B2C"/>
    <n v="212.87"/>
  </r>
  <r>
    <x v="1077"/>
    <x v="4"/>
    <s v="Classic Tee"/>
    <n v="2"/>
    <m/>
    <n v="0"/>
    <m/>
    <n v="0"/>
    <x v="4"/>
    <s v="Pune"/>
    <s v="B2C"/>
    <n v="2811.88"/>
  </r>
  <r>
    <x v="1078"/>
    <x v="5"/>
    <s v="Wrap Dress"/>
    <n v="2"/>
    <n v="2610.84"/>
    <n v="5221.68"/>
    <m/>
    <n v="5221.68"/>
    <x v="416"/>
    <s v="Bangalore"/>
    <s v="B2C"/>
    <n v="-904.51"/>
  </r>
  <r>
    <x v="1079"/>
    <x v="2"/>
    <s v="Sneakers"/>
    <n v="2"/>
    <m/>
    <n v="0"/>
    <m/>
    <n v="0"/>
    <x v="395"/>
    <s v="Mumbai"/>
    <s v="B2C"/>
    <n v="1353.01"/>
  </r>
  <r>
    <x v="1080"/>
    <x v="3"/>
    <s v="Caps"/>
    <n v="2"/>
    <n v="1571.58"/>
    <n v="3143.16"/>
    <n v="1.17"/>
    <n v="-534.33719999999971"/>
    <x v="421"/>
    <s v="NaviMumbai"/>
    <s v="B2B"/>
    <n v="1195.3399999999999"/>
  </r>
  <r>
    <x v="1081"/>
    <x v="3"/>
    <s v="Caps"/>
    <n v="2"/>
    <n v="940.71"/>
    <n v="1881.42"/>
    <m/>
    <n v="1881.42"/>
    <x v="422"/>
    <s v="Delhi"/>
    <s v="B2C"/>
    <n v="1317.26"/>
  </r>
  <r>
    <x v="1082"/>
    <x v="5"/>
    <s v="Casual Midi"/>
    <n v="2"/>
    <n v="1323.61"/>
    <n v="2647.22"/>
    <m/>
    <n v="2647.22"/>
    <x v="276"/>
    <s v="Delhi"/>
    <s v="B2C"/>
    <n v="-63.42"/>
  </r>
  <r>
    <x v="1083"/>
    <x v="2"/>
    <s v="Boots"/>
    <n v="2"/>
    <n v="4459.2"/>
    <n v="8918.4"/>
    <m/>
    <n v="8918.4"/>
    <x v="124"/>
    <s v="Delhi"/>
    <s v="B2C"/>
    <n v="1008.2"/>
  </r>
  <r>
    <x v="1084"/>
    <x v="4"/>
    <s v="Classic Tee"/>
    <n v="2"/>
    <n v="3163.95"/>
    <n v="6327.9"/>
    <m/>
    <n v="6327.9"/>
    <x v="423"/>
    <s v="Mumbai"/>
    <s v="B2C"/>
    <n v="1267.01"/>
  </r>
  <r>
    <x v="1085"/>
    <x v="5"/>
    <s v="Bodycon"/>
    <n v="5"/>
    <m/>
    <n v="0"/>
    <m/>
    <n v="0"/>
    <x v="4"/>
    <s v="Mumbai"/>
    <s v="B2C"/>
    <n v="-769.25"/>
  </r>
  <r>
    <x v="1086"/>
    <x v="4"/>
    <s v="Classic Tee"/>
    <n v="2"/>
    <n v="3809.95"/>
    <n v="7619.9"/>
    <n v="1.29"/>
    <n v="-2209.7710000000002"/>
    <x v="424"/>
    <s v="Bangalore"/>
    <s v="B2B"/>
    <n v="1252.0999999999999"/>
  </r>
  <r>
    <x v="1087"/>
    <x v="0"/>
    <s v="Ripped Denim"/>
    <n v="2"/>
    <n v="3906.15"/>
    <n v="7812.3"/>
    <n v="1.19"/>
    <n v="-1484.3369999999995"/>
    <x v="4"/>
    <s v="Bangalore"/>
    <s v="B2B"/>
    <n v="2500.02"/>
  </r>
  <r>
    <x v="1088"/>
    <x v="4"/>
    <s v="Classic Tee"/>
    <n v="3"/>
    <m/>
    <n v="0"/>
    <n v="0.64"/>
    <n v="0"/>
    <x v="404"/>
    <s v="Mumbai"/>
    <s v="B2C"/>
    <n v="2870.13"/>
  </r>
  <r>
    <x v="1089"/>
    <x v="1"/>
    <s v="Bomber Jacket"/>
    <n v="2"/>
    <n v="431.18"/>
    <n v="862.36"/>
    <m/>
    <n v="862.36"/>
    <x v="257"/>
    <s v="Pune"/>
    <s v="B2C"/>
    <n v="-183.75"/>
  </r>
  <r>
    <x v="1090"/>
    <x v="4"/>
    <s v="Crop Top"/>
    <n v="2"/>
    <n v="1806.81"/>
    <n v="3613.62"/>
    <n v="1.1000000000000001"/>
    <n v="-361.36200000000031"/>
    <x v="34"/>
    <s v="Ahmedabad"/>
    <s v="B2C"/>
    <n v="591.13"/>
  </r>
  <r>
    <x v="1091"/>
    <x v="2"/>
    <s v="Slip-ons"/>
    <n v="-1"/>
    <n v="1528.94"/>
    <n v="-1528.94"/>
    <n v="0.67"/>
    <n v="-504.55019999999996"/>
    <x v="369"/>
    <s v="Delhi"/>
    <s v="B2B"/>
    <n v="2294.33"/>
  </r>
  <r>
    <x v="1092"/>
    <x v="0"/>
    <s v="Boyfriend Jeans"/>
    <n v="2"/>
    <n v="1020.85"/>
    <n v="2041.7"/>
    <m/>
    <n v="2041.7"/>
    <x v="146"/>
    <s v="Ahmedabad"/>
    <s v="B2B"/>
    <n v="-881.4"/>
  </r>
  <r>
    <x v="1093"/>
    <x v="5"/>
    <s v="Maxi Dress"/>
    <n v="2"/>
    <n v="2581.29"/>
    <n v="5162.58"/>
    <m/>
    <n v="5162.58"/>
    <x v="199"/>
    <s v="NaviMumbai"/>
    <s v="B2B"/>
    <n v="2300.14"/>
  </r>
  <r>
    <x v="1094"/>
    <x v="0"/>
    <s v="Slim Fit Jeans"/>
    <n v="3"/>
    <m/>
    <n v="0"/>
    <n v="0.56000000000000005"/>
    <n v="0"/>
    <x v="4"/>
    <s v="Ahmedabad"/>
    <s v="B2C"/>
    <n v="-244.29"/>
  </r>
  <r>
    <x v="1095"/>
    <x v="4"/>
    <s v="Graphic Tee"/>
    <n v="2"/>
    <n v="2211.06"/>
    <n v="4422.12"/>
    <n v="0.26"/>
    <n v="3272.3687999999997"/>
    <x v="163"/>
    <s v="NaviMumbai"/>
    <s v="B2C"/>
    <n v="2143.54"/>
  </r>
  <r>
    <x v="1096"/>
    <x v="2"/>
    <s v="Slip-ons"/>
    <n v="-1"/>
    <n v="3643.63"/>
    <n v="-3643.63"/>
    <n v="0.19"/>
    <n v="-2951.3403000000003"/>
    <x v="425"/>
    <s v="Mumbai"/>
    <s v="B2C"/>
    <n v="375.4"/>
  </r>
  <r>
    <x v="1097"/>
    <x v="5"/>
    <s v="Wrap Dress"/>
    <n v="4"/>
    <n v="4312.21"/>
    <n v="17248.84"/>
    <m/>
    <n v="17248.84"/>
    <x v="426"/>
    <s v="Delhi"/>
    <s v="B2C"/>
    <n v="552.97"/>
  </r>
  <r>
    <x v="1098"/>
    <x v="5"/>
    <s v="Wrap Dress"/>
    <n v="2"/>
    <n v="2686.05"/>
    <n v="5372.1"/>
    <m/>
    <n v="5372.1"/>
    <x v="63"/>
    <s v="NaviMumbai"/>
    <s v="B2C"/>
    <n v="2643.46"/>
  </r>
  <r>
    <x v="1099"/>
    <x v="0"/>
    <s v="Straight Cut"/>
    <n v="0"/>
    <n v="2538.3000000000002"/>
    <n v="0"/>
    <m/>
    <n v="0"/>
    <x v="270"/>
    <s v="Mumbai"/>
    <s v="B2B"/>
    <n v="-820.5"/>
  </r>
  <r>
    <x v="1100"/>
    <x v="0"/>
    <s v="Boyfriend Jeans"/>
    <n v="2"/>
    <n v="1901.86"/>
    <n v="3803.72"/>
    <m/>
    <n v="3803.72"/>
    <x v="4"/>
    <s v="Pune"/>
    <s v="B2C"/>
    <n v="-906.34"/>
  </r>
  <r>
    <x v="1101"/>
    <x v="4"/>
    <s v="Classic Tee"/>
    <n v="2"/>
    <m/>
    <n v="0"/>
    <n v="1.21"/>
    <n v="0"/>
    <x v="4"/>
    <s v="Mumbai"/>
    <s v="B2C"/>
    <n v="2891.52"/>
  </r>
  <r>
    <x v="1102"/>
    <x v="2"/>
    <s v="Boots"/>
    <n v="2"/>
    <n v="1934.02"/>
    <n v="3868.04"/>
    <m/>
    <n v="3868.04"/>
    <x v="427"/>
    <s v="Delhi"/>
    <s v="B2B"/>
    <n v="897.11"/>
  </r>
  <r>
    <x v="1103"/>
    <x v="0"/>
    <s v="Ripped Denim"/>
    <n v="0"/>
    <n v="3248.14"/>
    <n v="0"/>
    <n v="0.18"/>
    <n v="0"/>
    <x v="4"/>
    <s v="Pune"/>
    <s v="B2B"/>
    <n v="1536.06"/>
  </r>
  <r>
    <x v="1104"/>
    <x v="5"/>
    <s v="Casual Midi"/>
    <n v="2"/>
    <m/>
    <n v="0"/>
    <m/>
    <n v="0"/>
    <x v="4"/>
    <s v="Delhi"/>
    <s v="B2B"/>
    <n v="2500.56"/>
  </r>
  <r>
    <x v="1105"/>
    <x v="5"/>
    <s v="Maxi Dress"/>
    <n v="2"/>
    <m/>
    <n v="0"/>
    <m/>
    <n v="0"/>
    <x v="92"/>
    <s v="Mumbai"/>
    <s v="B2C"/>
    <n v="1393.12"/>
  </r>
  <r>
    <x v="1106"/>
    <x v="0"/>
    <s v="Straight Cut"/>
    <n v="2"/>
    <m/>
    <n v="0"/>
    <m/>
    <n v="0"/>
    <x v="59"/>
    <s v="Ahmedabad"/>
    <s v="B2C"/>
    <n v="2100.4"/>
  </r>
  <r>
    <x v="1107"/>
    <x v="3"/>
    <s v="Caps"/>
    <n v="2"/>
    <m/>
    <n v="0"/>
    <m/>
    <n v="0"/>
    <x v="428"/>
    <s v="Ahmedabad"/>
    <s v="B2B"/>
    <n v="87.1"/>
  </r>
  <r>
    <x v="1108"/>
    <x v="5"/>
    <s v="Maxi Dress"/>
    <n v="2"/>
    <n v="4767.37"/>
    <n v="9534.74"/>
    <m/>
    <n v="9534.74"/>
    <x v="429"/>
    <s v="Delhi"/>
    <s v="B2B"/>
    <n v="2319.14"/>
  </r>
  <r>
    <x v="527"/>
    <x v="5"/>
    <s v="Wrap Dress"/>
    <n v="3"/>
    <n v="3952.46"/>
    <n v="11857.380000000001"/>
    <n v="0.82"/>
    <n v="2134.3284000000008"/>
    <x v="412"/>
    <s v="Bangalore"/>
    <s v="B2C"/>
    <n v="836.99"/>
  </r>
  <r>
    <x v="1109"/>
    <x v="2"/>
    <s v="Loafers"/>
    <n v="2"/>
    <n v="537.77"/>
    <n v="1075.54"/>
    <n v="0.05"/>
    <n v="1021.7629999999999"/>
    <x v="364"/>
    <s v="Bangalore"/>
    <s v="B2C"/>
    <n v="2205.16"/>
  </r>
  <r>
    <x v="1110"/>
    <x v="3"/>
    <s v="Watches"/>
    <n v="2"/>
    <n v="3321.05"/>
    <n v="6642.1"/>
    <n v="1.05"/>
    <n v="-332.1050000000003"/>
    <x v="382"/>
    <s v="NaviMumbai"/>
    <s v="B2C"/>
    <n v="-196.89"/>
  </r>
  <r>
    <x v="1111"/>
    <x v="0"/>
    <s v="Boyfriend Jeans"/>
    <n v="2"/>
    <n v="1209.8"/>
    <n v="2419.6"/>
    <m/>
    <n v="2419.6"/>
    <x v="430"/>
    <s v="Bangalore"/>
    <s v="B2C"/>
    <n v="959.68"/>
  </r>
  <r>
    <x v="1112"/>
    <x v="0"/>
    <s v="Straight Cut"/>
    <n v="0"/>
    <m/>
    <n v="0"/>
    <n v="0.17"/>
    <n v="0"/>
    <x v="4"/>
    <s v="Delhi"/>
    <s v="B2C"/>
    <n v="1823.39"/>
  </r>
  <r>
    <x v="1113"/>
    <x v="1"/>
    <s v="Bomber Jacket"/>
    <n v="2"/>
    <m/>
    <n v="0"/>
    <n v="1.05"/>
    <n v="0"/>
    <x v="257"/>
    <s v="Delhi"/>
    <s v="B2C"/>
    <n v="36.15"/>
  </r>
  <r>
    <x v="1114"/>
    <x v="4"/>
    <s v="Graphic Tee"/>
    <n v="2"/>
    <n v="3881.17"/>
    <n v="7762.34"/>
    <m/>
    <n v="7762.34"/>
    <x v="184"/>
    <s v="Mumbai"/>
    <s v="B2B"/>
    <n v="339.88"/>
  </r>
  <r>
    <x v="1115"/>
    <x v="0"/>
    <s v="Slim Fit Jeans"/>
    <n v="2"/>
    <m/>
    <n v="0"/>
    <n v="0.93"/>
    <n v="0"/>
    <x v="253"/>
    <s v="NaviMumbai"/>
    <s v="B2B"/>
    <n v="301.27999999999997"/>
  </r>
  <r>
    <x v="1116"/>
    <x v="3"/>
    <s v="Sunglasses"/>
    <n v="2"/>
    <n v="820.88"/>
    <n v="1641.76"/>
    <n v="0.01"/>
    <n v="1625.3424"/>
    <x v="4"/>
    <s v="Ahmedabad"/>
    <s v="B2C"/>
    <n v="597.78"/>
  </r>
  <r>
    <x v="1117"/>
    <x v="3"/>
    <s v="Sunglasses"/>
    <n v="6"/>
    <m/>
    <n v="0"/>
    <n v="0.94"/>
    <n v="0"/>
    <x v="4"/>
    <s v="Delhi"/>
    <s v="B2B"/>
    <n v="2427.9499999999998"/>
  </r>
  <r>
    <x v="1118"/>
    <x v="3"/>
    <s v="Watches"/>
    <n v="2"/>
    <m/>
    <n v="0"/>
    <n v="0.08"/>
    <n v="0"/>
    <x v="335"/>
    <s v="Bangalore"/>
    <s v="B2C"/>
    <n v="-237.66"/>
  </r>
  <r>
    <x v="1119"/>
    <x v="1"/>
    <s v="Puffer Coat"/>
    <n v="2"/>
    <n v="1685.85"/>
    <n v="3371.7"/>
    <m/>
    <n v="3371.7"/>
    <x v="4"/>
    <s v="NaviMumbai"/>
    <s v="B2C"/>
    <n v="-298.61"/>
  </r>
  <r>
    <x v="1120"/>
    <x v="1"/>
    <s v="Bomber Jacket"/>
    <n v="2"/>
    <m/>
    <n v="0"/>
    <n v="0.36"/>
    <n v="0"/>
    <x v="180"/>
    <s v="Pune"/>
    <s v="B2C"/>
    <n v="1132.58"/>
  </r>
  <r>
    <x v="1121"/>
    <x v="2"/>
    <s v="Slip-ons"/>
    <n v="1"/>
    <m/>
    <n v="0"/>
    <m/>
    <n v="0"/>
    <x v="70"/>
    <s v="Pune"/>
    <s v="B2C"/>
    <n v="1004.43"/>
  </r>
  <r>
    <x v="1122"/>
    <x v="0"/>
    <s v="Slim Fit Jeans"/>
    <n v="4"/>
    <m/>
    <n v="0"/>
    <m/>
    <n v="0"/>
    <x v="300"/>
    <s v="Mumbai"/>
    <s v="B2B"/>
    <n v="680.91"/>
  </r>
  <r>
    <x v="1123"/>
    <x v="4"/>
    <s v="Classic Tee"/>
    <n v="5"/>
    <m/>
    <n v="0"/>
    <m/>
    <n v="0"/>
    <x v="4"/>
    <s v="Pune"/>
    <s v="B2B"/>
    <n v="1700.16"/>
  </r>
  <r>
    <x v="1124"/>
    <x v="3"/>
    <s v="Sunglasses"/>
    <n v="2"/>
    <m/>
    <n v="0"/>
    <n v="0.28999999999999998"/>
    <n v="0"/>
    <x v="67"/>
    <s v="Bangalore"/>
    <s v="B2C"/>
    <n v="-986.66"/>
  </r>
  <r>
    <x v="1125"/>
    <x v="5"/>
    <s v="Casual Midi"/>
    <n v="2"/>
    <n v="857.22"/>
    <n v="1714.44"/>
    <m/>
    <n v="1714.44"/>
    <x v="431"/>
    <s v="Delhi"/>
    <s v="B2B"/>
    <n v="-806.63"/>
  </r>
  <r>
    <x v="1126"/>
    <x v="4"/>
    <s v="Graphic Tee"/>
    <n v="2"/>
    <m/>
    <n v="0"/>
    <m/>
    <n v="0"/>
    <x v="141"/>
    <s v="NaviMumbai"/>
    <s v="B2C"/>
    <n v="1627.8"/>
  </r>
  <r>
    <x v="1127"/>
    <x v="4"/>
    <s v="Classic Tee"/>
    <n v="2"/>
    <m/>
    <n v="0"/>
    <n v="1.01"/>
    <n v="0"/>
    <x v="140"/>
    <s v="Pune"/>
    <s v="B2C"/>
    <n v="1626.26"/>
  </r>
  <r>
    <x v="1128"/>
    <x v="2"/>
    <s v="Boots"/>
    <n v="-2"/>
    <n v="2426.77"/>
    <n v="-4853.54"/>
    <m/>
    <n v="-4853.54"/>
    <x v="4"/>
    <s v="Delhi"/>
    <s v="B2B"/>
    <n v="1446.08"/>
  </r>
  <r>
    <x v="1129"/>
    <x v="3"/>
    <s v="Belts"/>
    <n v="2"/>
    <n v="4142.54"/>
    <n v="8285.08"/>
    <m/>
    <n v="8285.08"/>
    <x v="357"/>
    <s v="Ahmedabad"/>
    <s v="B2B"/>
    <n v="2453.9899999999998"/>
  </r>
  <r>
    <x v="1130"/>
    <x v="2"/>
    <s v="Loafers"/>
    <n v="2"/>
    <n v="2191.65"/>
    <n v="4383.3"/>
    <m/>
    <n v="4383.3"/>
    <x v="93"/>
    <s v="Mumbai"/>
    <s v="B2C"/>
    <n v="2424.2399999999998"/>
  </r>
  <r>
    <x v="1131"/>
    <x v="1"/>
    <s v="Leather Jacket"/>
    <n v="2"/>
    <n v="1762.28"/>
    <n v="3524.56"/>
    <m/>
    <n v="3524.56"/>
    <x v="111"/>
    <s v="Delhi"/>
    <s v="B2B"/>
    <n v="2590.56"/>
  </r>
  <r>
    <x v="1132"/>
    <x v="5"/>
    <s v="Wrap Dress"/>
    <n v="0"/>
    <m/>
    <n v="0"/>
    <m/>
    <n v="0"/>
    <x v="432"/>
    <s v="Bangalore"/>
    <s v="B2C"/>
    <n v="-780.6"/>
  </r>
  <r>
    <x v="1133"/>
    <x v="5"/>
    <s v="Wrap Dress"/>
    <n v="3"/>
    <n v="662.52"/>
    <n v="1987.56"/>
    <n v="0.96"/>
    <n v="79.502400000000065"/>
    <x v="94"/>
    <s v="Bangalore"/>
    <s v="B2B"/>
    <n v="2079.0700000000002"/>
  </r>
  <r>
    <x v="1134"/>
    <x v="1"/>
    <s v="Bomber Jacket"/>
    <n v="-1"/>
    <n v="906.82"/>
    <n v="-906.82"/>
    <n v="0.92"/>
    <n v="-72.545599999999965"/>
    <x v="63"/>
    <s v="Ahmedabad"/>
    <s v="B2C"/>
    <n v="2348.39"/>
  </r>
  <r>
    <x v="1135"/>
    <x v="4"/>
    <s v="Oversized T-shirt"/>
    <n v="2"/>
    <n v="3981.39"/>
    <n v="7962.78"/>
    <m/>
    <n v="7962.78"/>
    <x v="27"/>
    <s v="Pune"/>
    <s v="B2C"/>
    <n v="1764.19"/>
  </r>
  <r>
    <x v="1136"/>
    <x v="3"/>
    <s v="Watches"/>
    <n v="2"/>
    <m/>
    <n v="0"/>
    <n v="0.65"/>
    <n v="0"/>
    <x v="133"/>
    <s v="Mumbai"/>
    <s v="B2B"/>
    <n v="2062.9699999999998"/>
  </r>
  <r>
    <x v="1137"/>
    <x v="5"/>
    <s v="Bodycon"/>
    <n v="2"/>
    <m/>
    <n v="0"/>
    <n v="0.27"/>
    <n v="0"/>
    <x v="433"/>
    <s v="Ahmedabad"/>
    <s v="B2C"/>
    <n v="2299.86"/>
  </r>
  <r>
    <x v="1138"/>
    <x v="4"/>
    <s v="Oversized T-shirt"/>
    <n v="2"/>
    <m/>
    <n v="0"/>
    <m/>
    <n v="0"/>
    <x v="4"/>
    <s v="NaviMumbai"/>
    <s v="B2C"/>
    <n v="-771.3"/>
  </r>
  <r>
    <x v="1139"/>
    <x v="1"/>
    <s v="Leather Jacket"/>
    <n v="2"/>
    <n v="2865.62"/>
    <n v="5731.24"/>
    <n v="0.8"/>
    <n v="1146.2479999999996"/>
    <x v="364"/>
    <s v="Ahmedabad"/>
    <s v="B2B"/>
    <n v="-660.8"/>
  </r>
  <r>
    <x v="1140"/>
    <x v="4"/>
    <s v="Crop Top"/>
    <n v="2"/>
    <m/>
    <n v="0"/>
    <m/>
    <n v="0"/>
    <x v="286"/>
    <s v="Delhi"/>
    <s v="B2C"/>
    <n v="-299.77999999999997"/>
  </r>
  <r>
    <x v="1141"/>
    <x v="5"/>
    <s v="Maxi Dress"/>
    <n v="2"/>
    <n v="927.64"/>
    <n v="1855.28"/>
    <m/>
    <n v="1855.28"/>
    <x v="119"/>
    <s v="Pune"/>
    <s v="B2C"/>
    <n v="-742.69"/>
  </r>
  <r>
    <x v="1142"/>
    <x v="2"/>
    <s v="Loafers"/>
    <n v="0"/>
    <m/>
    <n v="0"/>
    <m/>
    <n v="0"/>
    <x v="4"/>
    <s v="Ahmedabad"/>
    <s v="B2B"/>
    <n v="-865.58"/>
  </r>
  <r>
    <x v="639"/>
    <x v="1"/>
    <s v="Leather Jacket"/>
    <n v="0"/>
    <n v="3131.57"/>
    <n v="0"/>
    <m/>
    <n v="0"/>
    <x v="155"/>
    <s v="Ahmedabad"/>
    <s v="B2C"/>
    <n v="517.22"/>
  </r>
  <r>
    <x v="1143"/>
    <x v="3"/>
    <s v="Belts"/>
    <n v="2"/>
    <m/>
    <n v="0"/>
    <m/>
    <n v="0"/>
    <x v="365"/>
    <s v="Pune"/>
    <s v="B2B"/>
    <n v="2141.81"/>
  </r>
  <r>
    <x v="1144"/>
    <x v="4"/>
    <s v="Graphic Tee"/>
    <n v="-2"/>
    <m/>
    <n v="0"/>
    <m/>
    <n v="0"/>
    <x v="347"/>
    <s v="Bangalore"/>
    <s v="B2C"/>
    <n v="-972.74"/>
  </r>
  <r>
    <x v="1145"/>
    <x v="2"/>
    <s v="Slip-ons"/>
    <n v="2"/>
    <m/>
    <n v="0"/>
    <m/>
    <n v="0"/>
    <x v="4"/>
    <s v="Ahmedabad"/>
    <s v="B2C"/>
    <n v="1648.67"/>
  </r>
  <r>
    <x v="1146"/>
    <x v="2"/>
    <s v="Sneakers"/>
    <n v="2"/>
    <n v="2830.24"/>
    <n v="5660.48"/>
    <n v="0.97"/>
    <n v="169.81440000000015"/>
    <x v="4"/>
    <s v="Mumbai"/>
    <s v="B2B"/>
    <n v="2612.9699999999998"/>
  </r>
  <r>
    <x v="1147"/>
    <x v="2"/>
    <s v="Sneakers"/>
    <n v="2"/>
    <n v="3270.68"/>
    <n v="6541.36"/>
    <m/>
    <n v="6541.36"/>
    <x v="4"/>
    <s v="Mumbai"/>
    <s v="B2C"/>
    <n v="-437.06"/>
  </r>
  <r>
    <x v="1148"/>
    <x v="5"/>
    <s v="Casual Midi"/>
    <n v="2"/>
    <m/>
    <n v="0"/>
    <m/>
    <n v="0"/>
    <x v="149"/>
    <s v="Mumbai"/>
    <s v="B2B"/>
    <n v="-420.95"/>
  </r>
  <r>
    <x v="1149"/>
    <x v="2"/>
    <s v="Boots"/>
    <n v="2"/>
    <n v="2119.66"/>
    <n v="4239.32"/>
    <m/>
    <n v="4239.32"/>
    <x v="158"/>
    <s v="Pune"/>
    <s v="B2C"/>
    <n v="-203.89"/>
  </r>
  <r>
    <x v="1150"/>
    <x v="3"/>
    <s v="Watches"/>
    <n v="2"/>
    <n v="4376.41"/>
    <n v="8752.82"/>
    <m/>
    <n v="8752.82"/>
    <x v="425"/>
    <s v="Mumbai"/>
    <s v="B2C"/>
    <n v="1713.03"/>
  </r>
  <r>
    <x v="1151"/>
    <x v="3"/>
    <s v="Watches"/>
    <n v="1"/>
    <m/>
    <n v="0"/>
    <n v="0.71"/>
    <n v="0"/>
    <x v="141"/>
    <s v="Ahmedabad"/>
    <s v="B2C"/>
    <n v="54.58"/>
  </r>
  <r>
    <x v="1152"/>
    <x v="5"/>
    <s v="Maxi Dress"/>
    <n v="2"/>
    <m/>
    <n v="0"/>
    <m/>
    <n v="0"/>
    <x v="322"/>
    <s v="Mumbai"/>
    <s v="B2C"/>
    <n v="1205.3800000000001"/>
  </r>
  <r>
    <x v="1153"/>
    <x v="1"/>
    <s v="Puffer Coat"/>
    <n v="2"/>
    <n v="1498.8"/>
    <n v="2997.6"/>
    <m/>
    <n v="2997.6"/>
    <x v="298"/>
    <s v="Delhi"/>
    <s v="B2B"/>
    <n v="-548.47"/>
  </r>
  <r>
    <x v="1154"/>
    <x v="2"/>
    <s v="Slip-ons"/>
    <n v="2"/>
    <m/>
    <n v="0"/>
    <m/>
    <n v="0"/>
    <x v="208"/>
    <s v="Pune"/>
    <s v="B2B"/>
    <n v="-609.52"/>
  </r>
  <r>
    <x v="1155"/>
    <x v="1"/>
    <s v="Leather Jacket"/>
    <n v="2"/>
    <m/>
    <n v="0"/>
    <n v="1.08"/>
    <n v="0"/>
    <x v="4"/>
    <s v="Mumbai"/>
    <s v="B2C"/>
    <n v="-845.69"/>
  </r>
  <r>
    <x v="1156"/>
    <x v="5"/>
    <s v="Casual Midi"/>
    <n v="2"/>
    <m/>
    <n v="0"/>
    <n v="1.1200000000000001"/>
    <n v="0"/>
    <x v="4"/>
    <s v="Mumbai"/>
    <s v="B2C"/>
    <n v="-258.89"/>
  </r>
  <r>
    <x v="1157"/>
    <x v="3"/>
    <s v="Caps"/>
    <n v="-1"/>
    <n v="4446.09"/>
    <n v="-4446.09"/>
    <n v="0.47"/>
    <n v="-2356.4277000000002"/>
    <x v="4"/>
    <s v="Ahmedabad"/>
    <s v="B2B"/>
    <n v="784.1"/>
  </r>
  <r>
    <x v="1158"/>
    <x v="0"/>
    <s v="Straight Cut"/>
    <n v="2"/>
    <m/>
    <n v="0"/>
    <m/>
    <n v="0"/>
    <x v="13"/>
    <s v="Ahmedabad"/>
    <s v="B2C"/>
    <n v="1870.24"/>
  </r>
  <r>
    <x v="1159"/>
    <x v="3"/>
    <s v="Belts"/>
    <n v="2"/>
    <n v="826.11"/>
    <n v="1652.22"/>
    <n v="0.99"/>
    <n v="16.522200000000016"/>
    <x v="4"/>
    <s v="Delhi"/>
    <s v="B2B"/>
    <n v="2666.62"/>
  </r>
  <r>
    <x v="1160"/>
    <x v="4"/>
    <s v="Classic Tee"/>
    <n v="2"/>
    <n v="630.28"/>
    <n v="1260.56"/>
    <m/>
    <n v="1260.56"/>
    <x v="243"/>
    <s v="Delhi"/>
    <s v="B2B"/>
    <n v="2988.11"/>
  </r>
  <r>
    <x v="1161"/>
    <x v="4"/>
    <s v="Classic Tee"/>
    <n v="-1"/>
    <m/>
    <n v="0"/>
    <n v="1.08"/>
    <n v="0"/>
    <x v="4"/>
    <s v="Delhi"/>
    <s v="B2C"/>
    <n v="2497.36"/>
  </r>
  <r>
    <x v="1162"/>
    <x v="2"/>
    <s v="Loafers"/>
    <n v="2"/>
    <n v="2679.07"/>
    <n v="5358.14"/>
    <m/>
    <n v="5358.14"/>
    <x v="4"/>
    <s v="Mumbai"/>
    <s v="B2C"/>
    <n v="2156.1"/>
  </r>
  <r>
    <x v="1163"/>
    <x v="3"/>
    <s v="Belts"/>
    <n v="0"/>
    <n v="810.62"/>
    <n v="0"/>
    <m/>
    <n v="0"/>
    <x v="42"/>
    <s v="Bangalore"/>
    <s v="B2C"/>
    <n v="-69.8"/>
  </r>
  <r>
    <x v="1164"/>
    <x v="2"/>
    <s v="Loafers"/>
    <n v="2"/>
    <m/>
    <n v="0"/>
    <m/>
    <n v="0"/>
    <x v="434"/>
    <s v="NaviMumbai"/>
    <s v="B2C"/>
    <n v="1022.04"/>
  </r>
  <r>
    <x v="1165"/>
    <x v="1"/>
    <s v="Puffer Coat"/>
    <n v="6"/>
    <n v="4954.67"/>
    <n v="29728.02"/>
    <m/>
    <n v="29728.02"/>
    <x v="44"/>
    <s v="NaviMumbai"/>
    <s v="B2C"/>
    <n v="2176.54"/>
  </r>
  <r>
    <x v="1166"/>
    <x v="2"/>
    <s v="Boots"/>
    <n v="3"/>
    <m/>
    <n v="0"/>
    <m/>
    <n v="0"/>
    <x v="48"/>
    <s v="Ahmedabad"/>
    <s v="B2B"/>
    <n v="-723.01"/>
  </r>
  <r>
    <x v="1167"/>
    <x v="2"/>
    <s v="Sneakers"/>
    <n v="0"/>
    <m/>
    <n v="0"/>
    <n v="0.89"/>
    <n v="0"/>
    <x v="4"/>
    <s v="Bangalore"/>
    <s v="B2C"/>
    <n v="2438.98"/>
  </r>
  <r>
    <x v="1168"/>
    <x v="3"/>
    <s v="Belts"/>
    <n v="2"/>
    <n v="466.37"/>
    <n v="932.74"/>
    <m/>
    <n v="932.74"/>
    <x v="4"/>
    <s v="NaviMumbai"/>
    <s v="B2C"/>
    <n v="2807.92"/>
  </r>
  <r>
    <x v="1169"/>
    <x v="2"/>
    <s v="Loafers"/>
    <n v="6"/>
    <m/>
    <n v="0"/>
    <n v="1.06"/>
    <n v="0"/>
    <x v="175"/>
    <s v="Delhi"/>
    <s v="B2C"/>
    <n v="28.77"/>
  </r>
  <r>
    <x v="1170"/>
    <x v="4"/>
    <s v="Graphic Tee"/>
    <n v="0"/>
    <m/>
    <n v="0"/>
    <m/>
    <n v="0"/>
    <x v="217"/>
    <s v="Mumbai"/>
    <s v="B2B"/>
    <n v="-24.93"/>
  </r>
  <r>
    <x v="1171"/>
    <x v="3"/>
    <s v="Caps"/>
    <n v="2"/>
    <m/>
    <n v="0"/>
    <n v="0.53"/>
    <n v="0"/>
    <x v="280"/>
    <s v="NaviMumbai"/>
    <s v="B2B"/>
    <n v="2192.44"/>
  </r>
  <r>
    <x v="1172"/>
    <x v="0"/>
    <s v="Boyfriend Jeans"/>
    <n v="-2"/>
    <n v="1332.39"/>
    <n v="-2664.78"/>
    <n v="1.0900000000000001"/>
    <n v="239.83020000000022"/>
    <x v="128"/>
    <s v="Bangalore"/>
    <s v="B2C"/>
    <n v="707.79"/>
  </r>
  <r>
    <x v="1173"/>
    <x v="2"/>
    <s v="Sneakers"/>
    <n v="2"/>
    <n v="1001.57"/>
    <n v="2003.14"/>
    <m/>
    <n v="2003.14"/>
    <x v="35"/>
    <s v="NaviMumbai"/>
    <s v="B2C"/>
    <n v="2285.61"/>
  </r>
  <r>
    <x v="1174"/>
    <x v="1"/>
    <s v="Denim Jacket"/>
    <n v="2"/>
    <m/>
    <n v="0"/>
    <n v="0.14000000000000001"/>
    <n v="0"/>
    <x v="4"/>
    <s v="Pune"/>
    <s v="B2C"/>
    <n v="-810.97"/>
  </r>
  <r>
    <x v="1175"/>
    <x v="3"/>
    <s v="Belts"/>
    <n v="2"/>
    <n v="2036.71"/>
    <n v="4073.42"/>
    <m/>
    <n v="4073.42"/>
    <x v="4"/>
    <s v="Delhi"/>
    <s v="B2B"/>
    <n v="1586.84"/>
  </r>
  <r>
    <x v="1176"/>
    <x v="3"/>
    <s v="Watches"/>
    <n v="2"/>
    <n v="2709.1"/>
    <n v="5418.2"/>
    <n v="0.82"/>
    <n v="975.27600000000018"/>
    <x v="435"/>
    <s v="Delhi"/>
    <s v="B2C"/>
    <n v="1386.25"/>
  </r>
  <r>
    <x v="1177"/>
    <x v="4"/>
    <s v="Oversized T-shirt"/>
    <n v="2"/>
    <n v="3027.66"/>
    <n v="6055.32"/>
    <n v="1.21"/>
    <n v="-1271.6171999999997"/>
    <x v="246"/>
    <s v="Ahmedabad"/>
    <s v="B2B"/>
    <n v="1971.23"/>
  </r>
  <r>
    <x v="1178"/>
    <x v="1"/>
    <s v="Denim Jacket"/>
    <n v="2"/>
    <n v="968.53"/>
    <n v="1937.06"/>
    <n v="0.3"/>
    <n v="1355.9419999999998"/>
    <x v="33"/>
    <s v="Delhi"/>
    <s v="B2C"/>
    <n v="-39.14"/>
  </r>
  <r>
    <x v="1179"/>
    <x v="0"/>
    <s v="Boyfriend Jeans"/>
    <n v="3"/>
    <n v="3887.5"/>
    <n v="11662.5"/>
    <m/>
    <n v="11662.5"/>
    <x v="211"/>
    <s v="Delhi"/>
    <s v="B2C"/>
    <n v="1787.25"/>
  </r>
  <r>
    <x v="1180"/>
    <x v="1"/>
    <s v="Leather Jacket"/>
    <n v="2"/>
    <n v="2267.7199999999998"/>
    <n v="4535.4399999999996"/>
    <m/>
    <n v="4535.4399999999996"/>
    <x v="2"/>
    <s v="Mumbai"/>
    <s v="B2C"/>
    <n v="-459.62"/>
  </r>
  <r>
    <x v="879"/>
    <x v="3"/>
    <s v="Belts"/>
    <n v="2"/>
    <n v="4218.96"/>
    <n v="8437.92"/>
    <n v="0.01"/>
    <n v="8353.5408000000007"/>
    <x v="436"/>
    <s v="Pune"/>
    <s v="B2B"/>
    <n v="1483.9"/>
  </r>
  <r>
    <x v="1181"/>
    <x v="1"/>
    <s v="Leather Jacket"/>
    <n v="2"/>
    <n v="2712.09"/>
    <n v="5424.18"/>
    <m/>
    <n v="5424.18"/>
    <x v="9"/>
    <s v="NaviMumbai"/>
    <s v="B2C"/>
    <n v="2585.79"/>
  </r>
  <r>
    <x v="1182"/>
    <x v="1"/>
    <s v="Leather Jacket"/>
    <n v="2"/>
    <n v="3862.58"/>
    <n v="7725.16"/>
    <m/>
    <n v="7725.16"/>
    <x v="97"/>
    <s v="Ahmedabad"/>
    <s v="B2B"/>
    <n v="794.8"/>
  </r>
  <r>
    <x v="1183"/>
    <x v="2"/>
    <s v="Boots"/>
    <n v="4"/>
    <n v="3491.26"/>
    <n v="13965.04"/>
    <m/>
    <n v="13965.04"/>
    <x v="4"/>
    <s v="NaviMumbai"/>
    <s v="B2C"/>
    <n v="-165.48"/>
  </r>
  <r>
    <x v="1184"/>
    <x v="5"/>
    <s v="Casual Midi"/>
    <n v="2"/>
    <n v="3655.37"/>
    <n v="7310.74"/>
    <m/>
    <n v="7310.74"/>
    <x v="397"/>
    <s v="NaviMumbai"/>
    <s v="B2C"/>
    <n v="-844.23"/>
  </r>
  <r>
    <x v="1185"/>
    <x v="5"/>
    <s v="Bodycon"/>
    <n v="2"/>
    <m/>
    <n v="0"/>
    <m/>
    <n v="0"/>
    <x v="158"/>
    <s v="Ahmedabad"/>
    <s v="B2C"/>
    <n v="24.78"/>
  </r>
  <r>
    <x v="1186"/>
    <x v="2"/>
    <s v="Loafers"/>
    <n v="2"/>
    <m/>
    <n v="0"/>
    <n v="0.64"/>
    <n v="0"/>
    <x v="351"/>
    <s v="Pune"/>
    <s v="B2C"/>
    <n v="968.3"/>
  </r>
  <r>
    <x v="1187"/>
    <x v="4"/>
    <s v="Crop Top"/>
    <n v="6"/>
    <m/>
    <n v="0"/>
    <m/>
    <n v="0"/>
    <x v="437"/>
    <s v="NaviMumbai"/>
    <s v="B2B"/>
    <n v="595.51"/>
  </r>
  <r>
    <x v="1188"/>
    <x v="4"/>
    <s v="Oversized T-shirt"/>
    <n v="-1"/>
    <n v="1346.11"/>
    <n v="-1346.11"/>
    <n v="0.72"/>
    <n v="-376.91079999999999"/>
    <x v="4"/>
    <s v="Mumbai"/>
    <s v="B2C"/>
    <n v="-763.62"/>
  </r>
  <r>
    <x v="1189"/>
    <x v="5"/>
    <s v="Wrap Dress"/>
    <n v="-1"/>
    <m/>
    <n v="0"/>
    <m/>
    <n v="0"/>
    <x v="4"/>
    <s v="Bangalore"/>
    <s v="B2B"/>
    <n v="1897.16"/>
  </r>
  <r>
    <x v="1190"/>
    <x v="0"/>
    <s v="Straight Cut"/>
    <n v="2"/>
    <m/>
    <n v="0"/>
    <n v="0.92"/>
    <n v="0"/>
    <x v="438"/>
    <s v="Ahmedabad"/>
    <s v="B2C"/>
    <n v="2505.39"/>
  </r>
  <r>
    <x v="1191"/>
    <x v="5"/>
    <s v="Maxi Dress"/>
    <n v="2"/>
    <n v="1611.02"/>
    <n v="3222.04"/>
    <m/>
    <n v="3222.04"/>
    <x v="179"/>
    <s v="Pune"/>
    <s v="B2C"/>
    <n v="2610.41"/>
  </r>
  <r>
    <x v="1192"/>
    <x v="2"/>
    <s v="Sneakers"/>
    <n v="2"/>
    <m/>
    <n v="0"/>
    <m/>
    <n v="0"/>
    <x v="4"/>
    <s v="Bangalore"/>
    <s v="B2C"/>
    <n v="-875.95"/>
  </r>
  <r>
    <x v="1193"/>
    <x v="4"/>
    <s v="Graphic Tee"/>
    <n v="-2"/>
    <m/>
    <n v="0"/>
    <n v="0.14000000000000001"/>
    <n v="0"/>
    <x v="439"/>
    <s v="NaviMumbai"/>
    <s v="B2C"/>
    <n v="-512.13"/>
  </r>
  <r>
    <x v="748"/>
    <x v="3"/>
    <s v="Watches"/>
    <n v="2"/>
    <n v="2349.3000000000002"/>
    <n v="4698.6000000000004"/>
    <n v="0.18"/>
    <n v="3852.8520000000008"/>
    <x v="202"/>
    <s v="Delhi"/>
    <s v="B2C"/>
    <n v="2503.67"/>
  </r>
  <r>
    <x v="1194"/>
    <x v="3"/>
    <s v="Watches"/>
    <n v="3"/>
    <n v="2146.0700000000002"/>
    <n v="6438.2100000000009"/>
    <m/>
    <n v="6438.2100000000009"/>
    <x v="4"/>
    <s v="Pune"/>
    <s v="B2C"/>
    <n v="199.99"/>
  </r>
  <r>
    <x v="1195"/>
    <x v="3"/>
    <s v="Sunglasses"/>
    <n v="2"/>
    <m/>
    <n v="0"/>
    <m/>
    <n v="0"/>
    <x v="241"/>
    <s v="Pune"/>
    <s v="B2C"/>
    <n v="2347.0500000000002"/>
  </r>
  <r>
    <x v="1196"/>
    <x v="4"/>
    <s v="Crop Top"/>
    <n v="-2"/>
    <m/>
    <n v="0"/>
    <n v="0.95"/>
    <n v="0"/>
    <x v="4"/>
    <s v="Pune"/>
    <s v="B2B"/>
    <n v="2492.83"/>
  </r>
  <r>
    <x v="1197"/>
    <x v="1"/>
    <s v="Bomber Jacket"/>
    <n v="2"/>
    <n v="4368.12"/>
    <n v="8736.24"/>
    <m/>
    <n v="8736.24"/>
    <x v="74"/>
    <s v="Delhi"/>
    <s v="B2C"/>
    <n v="2434.6"/>
  </r>
  <r>
    <x v="1198"/>
    <x v="1"/>
    <s v="Denim Jacket"/>
    <n v="2"/>
    <m/>
    <n v="0"/>
    <n v="1.08"/>
    <n v="0"/>
    <x v="440"/>
    <s v="Mumbai"/>
    <s v="B2B"/>
    <n v="902.93"/>
  </r>
  <r>
    <x v="1199"/>
    <x v="4"/>
    <s v="Oversized T-shirt"/>
    <n v="2"/>
    <m/>
    <n v="0"/>
    <n v="0.57999999999999996"/>
    <n v="0"/>
    <x v="4"/>
    <s v="Delhi"/>
    <s v="B2C"/>
    <n v="652.37"/>
  </r>
  <r>
    <x v="1200"/>
    <x v="0"/>
    <s v="Boyfriend Jeans"/>
    <n v="2"/>
    <n v="2543.9299999999998"/>
    <n v="5087.8599999999997"/>
    <m/>
    <n v="5087.8599999999997"/>
    <x v="110"/>
    <s v="Ahmedabad"/>
    <s v="B2C"/>
    <n v="2177.8200000000002"/>
  </r>
  <r>
    <x v="1201"/>
    <x v="5"/>
    <s v="Casual Midi"/>
    <n v="-1"/>
    <n v="4854.03"/>
    <n v="-4854.03"/>
    <m/>
    <n v="-4854.03"/>
    <x v="253"/>
    <s v="Ahmedabad"/>
    <s v="B2C"/>
    <n v="864.66"/>
  </r>
  <r>
    <x v="1202"/>
    <x v="1"/>
    <s v="Leather Jacket"/>
    <n v="-2"/>
    <n v="442.41"/>
    <n v="-884.82"/>
    <m/>
    <n v="-884.82"/>
    <x v="4"/>
    <s v="Delhi"/>
    <s v="B2C"/>
    <n v="1628.57"/>
  </r>
  <r>
    <x v="1203"/>
    <x v="1"/>
    <s v="Denim Jacket"/>
    <n v="3"/>
    <m/>
    <n v="0"/>
    <n v="0.05"/>
    <n v="0"/>
    <x v="270"/>
    <s v="Pune"/>
    <s v="B2C"/>
    <n v="-823.2"/>
  </r>
  <r>
    <x v="1204"/>
    <x v="0"/>
    <s v="Ripped Denim"/>
    <n v="2"/>
    <n v="1540.5"/>
    <n v="3081"/>
    <m/>
    <n v="3081"/>
    <x v="149"/>
    <s v="Mumbai"/>
    <s v="B2B"/>
    <n v="1385.44"/>
  </r>
  <r>
    <x v="1205"/>
    <x v="0"/>
    <s v="Ripped Denim"/>
    <n v="2"/>
    <m/>
    <n v="0"/>
    <m/>
    <n v="0"/>
    <x v="94"/>
    <s v="NaviMumbai"/>
    <s v="B2B"/>
    <n v="2077.4899999999998"/>
  </r>
  <r>
    <x v="1206"/>
    <x v="4"/>
    <s v="Graphic Tee"/>
    <n v="4"/>
    <n v="2403.9499999999998"/>
    <n v="9615.7999999999993"/>
    <m/>
    <n v="9615.7999999999993"/>
    <x v="85"/>
    <s v="Mumbai"/>
    <s v="B2C"/>
    <n v="858.23"/>
  </r>
  <r>
    <x v="1207"/>
    <x v="3"/>
    <s v="Belts"/>
    <n v="-1"/>
    <n v="2170.71"/>
    <n v="-2170.71"/>
    <n v="0.57999999999999996"/>
    <n v="-911.69820000000016"/>
    <x v="180"/>
    <s v="Bangalore"/>
    <s v="B2C"/>
    <n v="1689.68"/>
  </r>
  <r>
    <x v="415"/>
    <x v="4"/>
    <s v="Crop Top"/>
    <n v="2"/>
    <n v="1762.23"/>
    <n v="3524.46"/>
    <m/>
    <n v="3524.46"/>
    <x v="273"/>
    <s v="Bangalore"/>
    <s v="B2C"/>
    <n v="-736.69"/>
  </r>
  <r>
    <x v="1208"/>
    <x v="5"/>
    <s v="Wrap Dress"/>
    <n v="2"/>
    <n v="2161.8000000000002"/>
    <n v="4323.6000000000004"/>
    <m/>
    <n v="4323.6000000000004"/>
    <x v="4"/>
    <s v="Ahmedabad"/>
    <s v="B2B"/>
    <n v="1722.2"/>
  </r>
  <r>
    <x v="1209"/>
    <x v="0"/>
    <s v="Straight Cut"/>
    <n v="-1"/>
    <n v="3445.9"/>
    <n v="-3445.9"/>
    <n v="0.81"/>
    <n v="-654.72099999999989"/>
    <x v="332"/>
    <s v="Mumbai"/>
    <s v="B2B"/>
    <n v="2374.1799999999998"/>
  </r>
  <r>
    <x v="1210"/>
    <x v="2"/>
    <s v="Slip-ons"/>
    <n v="2"/>
    <m/>
    <n v="0"/>
    <m/>
    <n v="0"/>
    <x v="106"/>
    <s v="Ahmedabad"/>
    <s v="B2B"/>
    <n v="691.31"/>
  </r>
  <r>
    <x v="1211"/>
    <x v="3"/>
    <s v="Caps"/>
    <n v="2"/>
    <m/>
    <n v="0"/>
    <m/>
    <n v="0"/>
    <x v="4"/>
    <s v="NaviMumbai"/>
    <s v="B2B"/>
    <n v="2362.63"/>
  </r>
  <r>
    <x v="1212"/>
    <x v="4"/>
    <s v="Graphic Tee"/>
    <n v="2"/>
    <n v="4484.13"/>
    <n v="8968.26"/>
    <n v="0.79"/>
    <n v="1883.3345999999997"/>
    <x v="4"/>
    <s v="NaviMumbai"/>
    <s v="B2B"/>
    <n v="821.13"/>
  </r>
  <r>
    <x v="1213"/>
    <x v="5"/>
    <s v="Wrap Dress"/>
    <n v="2"/>
    <m/>
    <n v="0"/>
    <m/>
    <n v="0"/>
    <x v="35"/>
    <s v="Pune"/>
    <s v="B2B"/>
    <n v="2766.36"/>
  </r>
  <r>
    <x v="1214"/>
    <x v="3"/>
    <s v="Sunglasses"/>
    <n v="2"/>
    <m/>
    <n v="0"/>
    <n v="0.93"/>
    <n v="0"/>
    <x v="64"/>
    <s v="NaviMumbai"/>
    <s v="B2C"/>
    <n v="-980.89"/>
  </r>
  <r>
    <x v="1215"/>
    <x v="1"/>
    <s v="Puffer Coat"/>
    <n v="1"/>
    <m/>
    <n v="0"/>
    <m/>
    <n v="0"/>
    <x v="132"/>
    <s v="Mumbai"/>
    <s v="B2C"/>
    <n v="623.39"/>
  </r>
  <r>
    <x v="1216"/>
    <x v="5"/>
    <s v="Wrap Dress"/>
    <n v="3"/>
    <n v="4524.6400000000003"/>
    <n v="13573.920000000002"/>
    <n v="1.0900000000000001"/>
    <n v="-1221.6528000000012"/>
    <x v="183"/>
    <s v="Pune"/>
    <s v="B2C"/>
    <n v="1906"/>
  </r>
  <r>
    <x v="1217"/>
    <x v="2"/>
    <s v="Loafers"/>
    <n v="2"/>
    <m/>
    <n v="0"/>
    <m/>
    <n v="0"/>
    <x v="358"/>
    <s v="Ahmedabad"/>
    <s v="B2C"/>
    <n v="1342.52"/>
  </r>
  <r>
    <x v="1218"/>
    <x v="5"/>
    <s v="Casual Midi"/>
    <n v="2"/>
    <m/>
    <n v="0"/>
    <m/>
    <n v="0"/>
    <x v="441"/>
    <s v="Delhi"/>
    <s v="B2B"/>
    <n v="2915.25"/>
  </r>
  <r>
    <x v="1219"/>
    <x v="5"/>
    <s v="Casual Midi"/>
    <n v="1"/>
    <n v="4604.8500000000004"/>
    <n v="4604.8500000000004"/>
    <n v="0.14000000000000001"/>
    <n v="3960.1710000000003"/>
    <x v="427"/>
    <s v="NaviMumbai"/>
    <s v="B2C"/>
    <n v="-627.16999999999996"/>
  </r>
  <r>
    <x v="1220"/>
    <x v="3"/>
    <s v="Caps"/>
    <n v="-2"/>
    <m/>
    <n v="0"/>
    <m/>
    <n v="0"/>
    <x v="442"/>
    <s v="Mumbai"/>
    <s v="B2C"/>
    <n v="-345.61"/>
  </r>
  <r>
    <x v="1221"/>
    <x v="0"/>
    <s v="Straight Cut"/>
    <n v="2"/>
    <m/>
    <n v="0"/>
    <m/>
    <n v="0"/>
    <x v="366"/>
    <s v="Mumbai"/>
    <s v="B2C"/>
    <n v="-758.81"/>
  </r>
  <r>
    <x v="1222"/>
    <x v="2"/>
    <s v="Slip-ons"/>
    <n v="2"/>
    <n v="2420.16"/>
    <n v="4840.32"/>
    <m/>
    <n v="4840.32"/>
    <x v="441"/>
    <s v="Delhi"/>
    <s v="B2C"/>
    <n v="2707.96"/>
  </r>
  <r>
    <x v="1223"/>
    <x v="5"/>
    <s v="Casual Midi"/>
    <n v="1"/>
    <n v="2496.17"/>
    <n v="2496.17"/>
    <n v="1.1100000000000001"/>
    <n v="-274.57870000000025"/>
    <x v="295"/>
    <s v="Pune"/>
    <s v="B2C"/>
    <n v="810.82"/>
  </r>
  <r>
    <x v="1224"/>
    <x v="4"/>
    <s v="Classic Tee"/>
    <n v="-1"/>
    <n v="4808.3500000000004"/>
    <n v="-4808.3500000000004"/>
    <m/>
    <n v="-4808.3500000000004"/>
    <x v="225"/>
    <s v="Ahmedabad"/>
    <s v="B2C"/>
    <n v="-282.61"/>
  </r>
  <r>
    <x v="1225"/>
    <x v="3"/>
    <s v="Watches"/>
    <n v="2"/>
    <n v="3427.66"/>
    <n v="6855.32"/>
    <m/>
    <n v="6855.32"/>
    <x v="299"/>
    <s v="Mumbai"/>
    <s v="B2C"/>
    <n v="1441.3"/>
  </r>
  <r>
    <x v="1226"/>
    <x v="4"/>
    <s v="Oversized T-shirt"/>
    <n v="2"/>
    <n v="4205.29"/>
    <n v="8410.58"/>
    <m/>
    <n v="8410.58"/>
    <x v="336"/>
    <s v="NaviMumbai"/>
    <s v="B2C"/>
    <n v="2223.0300000000002"/>
  </r>
  <r>
    <x v="1227"/>
    <x v="4"/>
    <s v="Oversized T-shirt"/>
    <n v="2"/>
    <n v="1600.21"/>
    <n v="3200.42"/>
    <m/>
    <n v="3200.42"/>
    <x v="4"/>
    <s v="Pune"/>
    <s v="B2C"/>
    <n v="2933.71"/>
  </r>
  <r>
    <x v="1228"/>
    <x v="2"/>
    <s v="Loafers"/>
    <n v="6"/>
    <n v="4450.17"/>
    <n v="26701.02"/>
    <m/>
    <n v="26701.02"/>
    <x v="374"/>
    <s v="Ahmedabad"/>
    <s v="B2C"/>
    <n v="-96.55"/>
  </r>
  <r>
    <x v="1229"/>
    <x v="3"/>
    <s v="Caps"/>
    <n v="2"/>
    <m/>
    <n v="0"/>
    <m/>
    <n v="0"/>
    <x v="198"/>
    <s v="Ahmedabad"/>
    <s v="B2C"/>
    <n v="773.71"/>
  </r>
  <r>
    <x v="1230"/>
    <x v="5"/>
    <s v="Maxi Dress"/>
    <n v="3"/>
    <m/>
    <n v="0"/>
    <n v="0.62"/>
    <n v="0"/>
    <x v="237"/>
    <s v="Bangalore"/>
    <s v="B2C"/>
    <n v="-835.44"/>
  </r>
  <r>
    <x v="1231"/>
    <x v="4"/>
    <s v="Graphic Tee"/>
    <n v="2"/>
    <m/>
    <n v="0"/>
    <n v="1.27"/>
    <n v="0"/>
    <x v="4"/>
    <s v="Bangalore"/>
    <s v="B2B"/>
    <n v="1929.41"/>
  </r>
  <r>
    <x v="1232"/>
    <x v="2"/>
    <s v="Slip-ons"/>
    <n v="2"/>
    <m/>
    <n v="0"/>
    <n v="1.25"/>
    <n v="0"/>
    <x v="443"/>
    <s v="Pune"/>
    <s v="B2C"/>
    <n v="311.56"/>
  </r>
  <r>
    <x v="1233"/>
    <x v="5"/>
    <s v="Wrap Dress"/>
    <n v="2"/>
    <n v="2209.4899999999998"/>
    <n v="4418.9799999999996"/>
    <m/>
    <n v="4418.9799999999996"/>
    <x v="187"/>
    <s v="NaviMumbai"/>
    <s v="B2C"/>
    <n v="1944.57"/>
  </r>
  <r>
    <x v="1234"/>
    <x v="0"/>
    <s v="Straight Cut"/>
    <n v="2"/>
    <m/>
    <n v="0"/>
    <m/>
    <n v="0"/>
    <x v="41"/>
    <s v="NaviMumbai"/>
    <s v="B2C"/>
    <n v="-306.57"/>
  </r>
  <r>
    <x v="1235"/>
    <x v="5"/>
    <s v="Maxi Dress"/>
    <n v="1"/>
    <m/>
    <n v="0"/>
    <m/>
    <n v="0"/>
    <x v="444"/>
    <s v="Mumbai"/>
    <s v="B2C"/>
    <n v="-132.08000000000001"/>
  </r>
  <r>
    <x v="1236"/>
    <x v="1"/>
    <s v="Puffer Coat"/>
    <n v="2"/>
    <m/>
    <n v="0"/>
    <n v="1.17"/>
    <n v="0"/>
    <x v="4"/>
    <s v="Mumbai"/>
    <s v="B2C"/>
    <n v="2594.9"/>
  </r>
  <r>
    <x v="1237"/>
    <x v="5"/>
    <s v="Casual Midi"/>
    <n v="2"/>
    <n v="1438.68"/>
    <n v="2877.36"/>
    <m/>
    <n v="2877.36"/>
    <x v="357"/>
    <s v="Ahmedabad"/>
    <s v="B2C"/>
    <n v="2726.72"/>
  </r>
  <r>
    <x v="1238"/>
    <x v="2"/>
    <s v="Sneakers"/>
    <n v="6"/>
    <n v="2755.37"/>
    <n v="16532.22"/>
    <m/>
    <n v="16532.22"/>
    <x v="365"/>
    <s v="Delhi"/>
    <s v="B2C"/>
    <n v="613.59"/>
  </r>
  <r>
    <x v="1239"/>
    <x v="1"/>
    <s v="Leather Jacket"/>
    <n v="0"/>
    <m/>
    <n v="0"/>
    <m/>
    <n v="0"/>
    <x v="39"/>
    <s v="Bangalore"/>
    <s v="B2B"/>
    <n v="716.99"/>
  </r>
  <r>
    <x v="1240"/>
    <x v="4"/>
    <s v="Classic Tee"/>
    <n v="2"/>
    <n v="4998.91"/>
    <n v="9997.82"/>
    <m/>
    <n v="9997.82"/>
    <x v="4"/>
    <s v="Mumbai"/>
    <s v="B2B"/>
    <n v="-396.07"/>
  </r>
  <r>
    <x v="1241"/>
    <x v="3"/>
    <s v="Belts"/>
    <n v="-2"/>
    <n v="4478.08"/>
    <n v="-8956.16"/>
    <m/>
    <n v="-8956.16"/>
    <x v="80"/>
    <s v="Pune"/>
    <s v="B2C"/>
    <n v="2090.38"/>
  </r>
  <r>
    <x v="1242"/>
    <x v="5"/>
    <s v="Casual Midi"/>
    <n v="2"/>
    <n v="535.27"/>
    <n v="1070.54"/>
    <m/>
    <n v="1070.54"/>
    <x v="160"/>
    <s v="Ahmedabad"/>
    <s v="B2B"/>
    <n v="1787.52"/>
  </r>
  <r>
    <x v="1243"/>
    <x v="5"/>
    <s v="Bodycon"/>
    <n v="2"/>
    <m/>
    <n v="0"/>
    <m/>
    <n v="0"/>
    <x v="208"/>
    <s v="Mumbai"/>
    <s v="B2C"/>
    <n v="980.52"/>
  </r>
  <r>
    <x v="1244"/>
    <x v="2"/>
    <s v="Boots"/>
    <n v="2"/>
    <m/>
    <n v="0"/>
    <m/>
    <n v="0"/>
    <x v="180"/>
    <s v="Bangalore"/>
    <s v="B2C"/>
    <n v="1444.24"/>
  </r>
  <r>
    <x v="1245"/>
    <x v="2"/>
    <s v="Sneakers"/>
    <n v="1"/>
    <n v="2854.4"/>
    <n v="2854.4"/>
    <m/>
    <n v="2854.4"/>
    <x v="188"/>
    <s v="Bangalore"/>
    <s v="B2C"/>
    <n v="542.9"/>
  </r>
  <r>
    <x v="1246"/>
    <x v="0"/>
    <s v="Ripped Denim"/>
    <n v="-1"/>
    <m/>
    <n v="0"/>
    <m/>
    <n v="0"/>
    <x v="4"/>
    <s v="NaviMumbai"/>
    <s v="B2B"/>
    <n v="2697.38"/>
  </r>
  <r>
    <x v="1247"/>
    <x v="4"/>
    <s v="Crop Top"/>
    <n v="2"/>
    <n v="633.23"/>
    <n v="1266.46"/>
    <m/>
    <n v="1266.46"/>
    <x v="230"/>
    <s v="Mumbai"/>
    <s v="B2C"/>
    <n v="232.2"/>
  </r>
  <r>
    <x v="1248"/>
    <x v="5"/>
    <s v="Maxi Dress"/>
    <n v="2"/>
    <n v="2957.48"/>
    <n v="5914.96"/>
    <m/>
    <n v="5914.96"/>
    <x v="445"/>
    <s v="NaviMumbai"/>
    <s v="B2B"/>
    <n v="2744.25"/>
  </r>
  <r>
    <x v="1249"/>
    <x v="2"/>
    <s v="Boots"/>
    <n v="2"/>
    <n v="4252.05"/>
    <n v="8504.1"/>
    <m/>
    <n v="8504.1"/>
    <x v="4"/>
    <s v="Mumbai"/>
    <s v="B2C"/>
    <n v="-396.3"/>
  </r>
  <r>
    <x v="1250"/>
    <x v="0"/>
    <s v="Straight Cut"/>
    <n v="2"/>
    <n v="3541.13"/>
    <n v="7082.26"/>
    <n v="1.3"/>
    <n v="-2124.6780000000003"/>
    <x v="4"/>
    <s v="NaviMumbai"/>
    <s v="B2B"/>
    <n v="1711.99"/>
  </r>
  <r>
    <x v="1251"/>
    <x v="4"/>
    <s v="Graphic Tee"/>
    <n v="2"/>
    <m/>
    <n v="0"/>
    <n v="0.5"/>
    <n v="0"/>
    <x v="422"/>
    <s v="Bangalore"/>
    <s v="B2C"/>
    <n v="399.62"/>
  </r>
  <r>
    <x v="1252"/>
    <x v="2"/>
    <s v="Boots"/>
    <n v="6"/>
    <n v="4437.4399999999996"/>
    <n v="26624.639999999999"/>
    <m/>
    <n v="26624.639999999999"/>
    <x v="230"/>
    <s v="Pune"/>
    <s v="B2C"/>
    <n v="493.76"/>
  </r>
  <r>
    <x v="1253"/>
    <x v="5"/>
    <s v="Casual Midi"/>
    <n v="2"/>
    <m/>
    <n v="0"/>
    <m/>
    <n v="0"/>
    <x v="4"/>
    <s v="Bangalore"/>
    <s v="B2C"/>
    <n v="1989.07"/>
  </r>
  <r>
    <x v="1254"/>
    <x v="2"/>
    <s v="Loafers"/>
    <n v="2"/>
    <n v="4300.05"/>
    <n v="8600.1"/>
    <m/>
    <n v="8600.1"/>
    <x v="446"/>
    <s v="Bangalore"/>
    <s v="B2B"/>
    <n v="-589.26"/>
  </r>
  <r>
    <x v="1255"/>
    <x v="2"/>
    <s v="Boots"/>
    <n v="2"/>
    <m/>
    <n v="0"/>
    <m/>
    <n v="0"/>
    <x v="75"/>
    <s v="NaviMumbai"/>
    <s v="B2C"/>
    <n v="742.42"/>
  </r>
  <r>
    <x v="1256"/>
    <x v="5"/>
    <s v="Maxi Dress"/>
    <n v="1"/>
    <n v="2710.56"/>
    <n v="2710.56"/>
    <m/>
    <n v="2710.56"/>
    <x v="256"/>
    <s v="Delhi"/>
    <s v="B2C"/>
    <n v="2414.4699999999998"/>
  </r>
  <r>
    <x v="1257"/>
    <x v="3"/>
    <s v="Sunglasses"/>
    <n v="2"/>
    <m/>
    <n v="0"/>
    <n v="0.36"/>
    <n v="0"/>
    <x v="4"/>
    <s v="Bangalore"/>
    <s v="B2C"/>
    <n v="999.24"/>
  </r>
  <r>
    <x v="1258"/>
    <x v="1"/>
    <s v="Leather Jacket"/>
    <n v="4"/>
    <n v="2540.1"/>
    <n v="10160.4"/>
    <n v="0.69"/>
    <n v="3149.7240000000006"/>
    <x v="129"/>
    <s v="Mumbai"/>
    <s v="B2C"/>
    <n v="733.06"/>
  </r>
  <r>
    <x v="1259"/>
    <x v="0"/>
    <s v="Ripped Denim"/>
    <n v="6"/>
    <n v="3064.21"/>
    <n v="18385.260000000002"/>
    <m/>
    <n v="18385.260000000002"/>
    <x v="447"/>
    <s v="Delhi"/>
    <s v="B2C"/>
    <n v="1569.81"/>
  </r>
  <r>
    <x v="1260"/>
    <x v="5"/>
    <s v="Wrap Dress"/>
    <n v="2"/>
    <n v="4456.6499999999996"/>
    <n v="8913.2999999999993"/>
    <m/>
    <n v="8913.2999999999993"/>
    <x v="424"/>
    <s v="Delhi"/>
    <s v="B2C"/>
    <n v="9.1"/>
  </r>
  <r>
    <x v="1261"/>
    <x v="3"/>
    <s v="Sunglasses"/>
    <n v="2"/>
    <n v="3899.04"/>
    <n v="7798.08"/>
    <m/>
    <n v="7798.08"/>
    <x v="448"/>
    <s v="Ahmedabad"/>
    <s v="B2C"/>
    <n v="2522.67"/>
  </r>
  <r>
    <x v="1262"/>
    <x v="1"/>
    <s v="Leather Jacket"/>
    <n v="3"/>
    <m/>
    <n v="0"/>
    <m/>
    <n v="0"/>
    <x v="449"/>
    <s v="Bangalore"/>
    <s v="B2C"/>
    <n v="2089.34"/>
  </r>
  <r>
    <x v="1263"/>
    <x v="0"/>
    <s v="Boyfriend Jeans"/>
    <n v="3"/>
    <m/>
    <n v="0"/>
    <m/>
    <n v="0"/>
    <x v="341"/>
    <s v="Mumbai"/>
    <s v="B2C"/>
    <n v="2814.36"/>
  </r>
  <r>
    <x v="1264"/>
    <x v="5"/>
    <s v="Casual Midi"/>
    <n v="2"/>
    <m/>
    <n v="0"/>
    <n v="0.95"/>
    <n v="0"/>
    <x v="205"/>
    <s v="Mumbai"/>
    <s v="B2B"/>
    <n v="787.23"/>
  </r>
  <r>
    <x v="1265"/>
    <x v="3"/>
    <s v="Belts"/>
    <n v="6"/>
    <n v="3294.21"/>
    <n v="19765.260000000002"/>
    <n v="0.89"/>
    <n v="2174.1786000000002"/>
    <x v="424"/>
    <s v="Pune"/>
    <s v="B2C"/>
    <n v="1874.46"/>
  </r>
  <r>
    <x v="1266"/>
    <x v="4"/>
    <s v="Crop Top"/>
    <n v="2"/>
    <m/>
    <n v="0"/>
    <n v="1.1499999999999999"/>
    <n v="0"/>
    <x v="243"/>
    <s v="Ahmedabad"/>
    <s v="B2C"/>
    <n v="-230.98"/>
  </r>
  <r>
    <x v="1267"/>
    <x v="5"/>
    <s v="Casual Midi"/>
    <n v="-1"/>
    <m/>
    <n v="0"/>
    <m/>
    <n v="0"/>
    <x v="4"/>
    <s v="Pune"/>
    <s v="B2C"/>
    <n v="-308.93"/>
  </r>
  <r>
    <x v="1268"/>
    <x v="1"/>
    <s v="Puffer Coat"/>
    <n v="2"/>
    <n v="491.36"/>
    <n v="982.72"/>
    <n v="0.42"/>
    <n v="569.97760000000005"/>
    <x v="283"/>
    <s v="Delhi"/>
    <s v="B2C"/>
    <n v="1231.3699999999999"/>
  </r>
  <r>
    <x v="1269"/>
    <x v="1"/>
    <s v="Denim Jacket"/>
    <n v="6"/>
    <m/>
    <n v="0"/>
    <n v="0.94"/>
    <n v="0"/>
    <x v="69"/>
    <s v="Bangalore"/>
    <s v="B2C"/>
    <n v="2079.0100000000002"/>
  </r>
  <r>
    <x v="1270"/>
    <x v="3"/>
    <s v="Caps"/>
    <n v="2"/>
    <n v="3736.2"/>
    <n v="7472.4"/>
    <m/>
    <n v="7472.4"/>
    <x v="138"/>
    <s v="Delhi"/>
    <s v="B2C"/>
    <n v="-440.98"/>
  </r>
  <r>
    <x v="1271"/>
    <x v="2"/>
    <s v="Loafers"/>
    <n v="2"/>
    <n v="2287.67"/>
    <n v="4575.34"/>
    <n v="0.56000000000000005"/>
    <n v="2013.1495999999997"/>
    <x v="450"/>
    <s v="NaviMumbai"/>
    <s v="B2B"/>
    <n v="-827.66"/>
  </r>
  <r>
    <x v="1272"/>
    <x v="1"/>
    <s v="Denim Jacket"/>
    <n v="1"/>
    <m/>
    <n v="0"/>
    <m/>
    <n v="0"/>
    <x v="87"/>
    <s v="Pune"/>
    <s v="B2C"/>
    <n v="-810.33"/>
  </r>
  <r>
    <x v="1273"/>
    <x v="2"/>
    <s v="Loafers"/>
    <n v="4"/>
    <m/>
    <n v="0"/>
    <m/>
    <n v="0"/>
    <x v="4"/>
    <s v="Bangalore"/>
    <s v="B2B"/>
    <n v="715.96"/>
  </r>
  <r>
    <x v="1274"/>
    <x v="5"/>
    <s v="Wrap Dress"/>
    <n v="4"/>
    <m/>
    <n v="0"/>
    <m/>
    <n v="0"/>
    <x v="4"/>
    <s v="Bangalore"/>
    <s v="B2C"/>
    <n v="1167.1600000000001"/>
  </r>
  <r>
    <x v="1275"/>
    <x v="5"/>
    <s v="Casual Midi"/>
    <n v="0"/>
    <n v="3407.2"/>
    <n v="0"/>
    <m/>
    <n v="0"/>
    <x v="4"/>
    <s v="Ahmedabad"/>
    <s v="B2C"/>
    <n v="2344.16"/>
  </r>
  <r>
    <x v="1276"/>
    <x v="5"/>
    <s v="Casual Midi"/>
    <n v="4"/>
    <n v="1405.39"/>
    <n v="5621.56"/>
    <m/>
    <n v="5621.56"/>
    <x v="451"/>
    <s v="Bangalore"/>
    <s v="B2C"/>
    <n v="712.37"/>
  </r>
  <r>
    <x v="1277"/>
    <x v="5"/>
    <s v="Bodycon"/>
    <n v="4"/>
    <n v="3217.82"/>
    <n v="12871.28"/>
    <m/>
    <n v="12871.28"/>
    <x v="4"/>
    <s v="Bangalore"/>
    <s v="B2B"/>
    <n v="2909.8"/>
  </r>
  <r>
    <x v="1278"/>
    <x v="5"/>
    <s v="Bodycon"/>
    <n v="2"/>
    <n v="3974.58"/>
    <n v="7949.16"/>
    <m/>
    <n v="7949.16"/>
    <x v="236"/>
    <s v="NaviMumbai"/>
    <s v="B2C"/>
    <n v="-0.12"/>
  </r>
  <r>
    <x v="1279"/>
    <x v="2"/>
    <s v="Loafers"/>
    <n v="2"/>
    <n v="3241.57"/>
    <n v="6483.14"/>
    <m/>
    <n v="6483.14"/>
    <x v="216"/>
    <s v="Ahmedabad"/>
    <s v="B2C"/>
    <n v="2518.36"/>
  </r>
  <r>
    <x v="1280"/>
    <x v="5"/>
    <s v="Maxi Dress"/>
    <n v="-1"/>
    <m/>
    <n v="0"/>
    <n v="0.16"/>
    <n v="0"/>
    <x v="452"/>
    <s v="Delhi"/>
    <s v="B2C"/>
    <n v="1019.45"/>
  </r>
  <r>
    <x v="1281"/>
    <x v="2"/>
    <s v="Sneakers"/>
    <n v="2"/>
    <n v="3189.35"/>
    <n v="6378.7"/>
    <m/>
    <n v="6378.7"/>
    <x v="108"/>
    <s v="Bangalore"/>
    <s v="B2C"/>
    <n v="-683.11"/>
  </r>
  <r>
    <x v="1282"/>
    <x v="4"/>
    <s v="Graphic Tee"/>
    <n v="6"/>
    <m/>
    <n v="0"/>
    <n v="0.28999999999999998"/>
    <n v="0"/>
    <x v="321"/>
    <s v="Pune"/>
    <s v="B2C"/>
    <n v="-958.22"/>
  </r>
  <r>
    <x v="1283"/>
    <x v="5"/>
    <s v="Bodycon"/>
    <n v="2"/>
    <m/>
    <n v="0"/>
    <n v="0.28999999999999998"/>
    <n v="0"/>
    <x v="107"/>
    <s v="Delhi"/>
    <s v="B2C"/>
    <n v="2879.59"/>
  </r>
  <r>
    <x v="1284"/>
    <x v="4"/>
    <s v="Graphic Tee"/>
    <n v="2"/>
    <m/>
    <n v="0"/>
    <m/>
    <n v="0"/>
    <x v="232"/>
    <s v="Ahmedabad"/>
    <s v="B2C"/>
    <n v="-778.84"/>
  </r>
  <r>
    <x v="1285"/>
    <x v="4"/>
    <s v="Graphic Tee"/>
    <n v="-2"/>
    <m/>
    <n v="0"/>
    <n v="1.27"/>
    <n v="0"/>
    <x v="87"/>
    <s v="Mumbai"/>
    <s v="B2C"/>
    <n v="2892.16"/>
  </r>
  <r>
    <x v="1286"/>
    <x v="3"/>
    <s v="Sunglasses"/>
    <n v="2"/>
    <m/>
    <n v="0"/>
    <m/>
    <n v="0"/>
    <x v="4"/>
    <s v="NaviMumbai"/>
    <s v="B2C"/>
    <n v="-59.16"/>
  </r>
  <r>
    <x v="1287"/>
    <x v="5"/>
    <s v="Maxi Dress"/>
    <n v="2"/>
    <n v="3335.27"/>
    <n v="6670.54"/>
    <n v="1.1299999999999999"/>
    <n v="-867.17019999999934"/>
    <x v="185"/>
    <s v="Mumbai"/>
    <s v="B2C"/>
    <n v="1415.8"/>
  </r>
  <r>
    <x v="1288"/>
    <x v="5"/>
    <s v="Bodycon"/>
    <n v="1"/>
    <m/>
    <n v="0"/>
    <m/>
    <n v="0"/>
    <x v="4"/>
    <s v="Ahmedabad"/>
    <s v="B2C"/>
    <n v="1520.6"/>
  </r>
  <r>
    <x v="1289"/>
    <x v="2"/>
    <s v="Sneakers"/>
    <n v="6"/>
    <n v="2201.87"/>
    <n v="13211.22"/>
    <m/>
    <n v="13211.22"/>
    <x v="4"/>
    <s v="NaviMumbai"/>
    <s v="B2C"/>
    <n v="1919.35"/>
  </r>
  <r>
    <x v="1290"/>
    <x v="3"/>
    <s v="Caps"/>
    <n v="2"/>
    <m/>
    <n v="0"/>
    <n v="0.3"/>
    <n v="0"/>
    <x v="367"/>
    <s v="Pune"/>
    <s v="B2C"/>
    <n v="2013.34"/>
  </r>
  <r>
    <x v="1291"/>
    <x v="1"/>
    <s v="Bomber Jacket"/>
    <n v="2"/>
    <n v="3476.06"/>
    <n v="6952.12"/>
    <m/>
    <n v="6952.12"/>
    <x v="4"/>
    <s v="Bangalore"/>
    <s v="B2C"/>
    <n v="1379.32"/>
  </r>
  <r>
    <x v="1292"/>
    <x v="2"/>
    <s v="Boots"/>
    <n v="-2"/>
    <m/>
    <n v="0"/>
    <n v="1.1499999999999999"/>
    <n v="0"/>
    <x v="453"/>
    <s v="Ahmedabad"/>
    <s v="B2C"/>
    <n v="2166.71"/>
  </r>
  <r>
    <x v="1293"/>
    <x v="2"/>
    <s v="Boots"/>
    <n v="2"/>
    <m/>
    <n v="0"/>
    <m/>
    <n v="0"/>
    <x v="454"/>
    <s v="Pune"/>
    <s v="B2C"/>
    <n v="1998.57"/>
  </r>
  <r>
    <x v="1294"/>
    <x v="5"/>
    <s v="Maxi Dress"/>
    <n v="2"/>
    <n v="3978.48"/>
    <n v="7956.96"/>
    <m/>
    <n v="7956.96"/>
    <x v="93"/>
    <s v="Delhi"/>
    <s v="B2C"/>
    <n v="929.92"/>
  </r>
  <r>
    <x v="1295"/>
    <x v="0"/>
    <s v="Boyfriend Jeans"/>
    <n v="1"/>
    <m/>
    <n v="0"/>
    <m/>
    <n v="0"/>
    <x v="4"/>
    <s v="Delhi"/>
    <s v="B2B"/>
    <n v="-464.01"/>
  </r>
  <r>
    <x v="1296"/>
    <x v="0"/>
    <s v="Straight Cut"/>
    <n v="-1"/>
    <n v="4426.82"/>
    <n v="-4426.82"/>
    <m/>
    <n v="-4426.82"/>
    <x v="304"/>
    <s v="NaviMumbai"/>
    <s v="B2C"/>
    <n v="2095.4499999999998"/>
  </r>
  <r>
    <x v="1297"/>
    <x v="1"/>
    <s v="Leather Jacket"/>
    <n v="2"/>
    <n v="3062.79"/>
    <n v="6125.58"/>
    <m/>
    <n v="6125.58"/>
    <x v="282"/>
    <s v="NaviMumbai"/>
    <s v="B2C"/>
    <n v="1135.53"/>
  </r>
  <r>
    <x v="1298"/>
    <x v="0"/>
    <s v="Straight Cut"/>
    <n v="2"/>
    <n v="2688.08"/>
    <n v="5376.16"/>
    <m/>
    <n v="5376.16"/>
    <x v="370"/>
    <s v="Pune"/>
    <s v="B2B"/>
    <n v="1913.21"/>
  </r>
  <r>
    <x v="1299"/>
    <x v="5"/>
    <s v="Casual Midi"/>
    <n v="2"/>
    <n v="2440.38"/>
    <n v="4880.76"/>
    <m/>
    <n v="4880.76"/>
    <x v="455"/>
    <s v="Bangalore"/>
    <s v="B2B"/>
    <n v="-899.53"/>
  </r>
  <r>
    <x v="1300"/>
    <x v="3"/>
    <s v="Watches"/>
    <n v="2"/>
    <m/>
    <n v="0"/>
    <m/>
    <n v="0"/>
    <x v="73"/>
    <s v="Pune"/>
    <s v="B2B"/>
    <n v="949.17"/>
  </r>
  <r>
    <x v="1301"/>
    <x v="5"/>
    <s v="Casual Midi"/>
    <n v="1"/>
    <m/>
    <n v="0"/>
    <m/>
    <n v="0"/>
    <x v="59"/>
    <s v="Pune"/>
    <s v="B2B"/>
    <n v="261.63"/>
  </r>
  <r>
    <x v="1302"/>
    <x v="0"/>
    <s v="Ripped Denim"/>
    <n v="4"/>
    <n v="1529.48"/>
    <n v="6117.92"/>
    <m/>
    <n v="6117.92"/>
    <x v="456"/>
    <s v="Mumbai"/>
    <s v="B2C"/>
    <n v="1325.56"/>
  </r>
  <r>
    <x v="1303"/>
    <x v="2"/>
    <s v="Boots"/>
    <n v="2"/>
    <n v="1005.41"/>
    <n v="2010.82"/>
    <m/>
    <n v="2010.82"/>
    <x v="198"/>
    <s v="Delhi"/>
    <s v="B2C"/>
    <n v="566.17999999999995"/>
  </r>
  <r>
    <x v="1304"/>
    <x v="4"/>
    <s v="Crop Top"/>
    <n v="2"/>
    <m/>
    <n v="0"/>
    <m/>
    <n v="0"/>
    <x v="457"/>
    <s v="NaviMumbai"/>
    <s v="B2C"/>
    <n v="1145.48"/>
  </r>
  <r>
    <x v="1305"/>
    <x v="5"/>
    <s v="Wrap Dress"/>
    <n v="2"/>
    <n v="881.41"/>
    <n v="1762.82"/>
    <n v="1.22"/>
    <n v="-387.82039999999995"/>
    <x v="4"/>
    <s v="Pune"/>
    <s v="B2C"/>
    <n v="1541.77"/>
  </r>
  <r>
    <x v="1306"/>
    <x v="0"/>
    <s v="Straight Cut"/>
    <n v="2"/>
    <m/>
    <n v="0"/>
    <n v="1.27"/>
    <n v="0"/>
    <x v="362"/>
    <s v="NaviMumbai"/>
    <s v="B2C"/>
    <n v="1960.76"/>
  </r>
  <r>
    <x v="1307"/>
    <x v="2"/>
    <s v="Sneakers"/>
    <n v="2"/>
    <m/>
    <n v="0"/>
    <m/>
    <n v="0"/>
    <x v="177"/>
    <s v="Pune"/>
    <s v="B2B"/>
    <n v="1864.22"/>
  </r>
  <r>
    <x v="1308"/>
    <x v="4"/>
    <s v="Crop Top"/>
    <n v="2"/>
    <m/>
    <n v="0"/>
    <n v="0.98"/>
    <n v="0"/>
    <x v="4"/>
    <s v="Pune"/>
    <s v="B2C"/>
    <n v="195.27"/>
  </r>
  <r>
    <x v="1309"/>
    <x v="0"/>
    <s v="Straight Cut"/>
    <n v="2"/>
    <m/>
    <n v="0"/>
    <m/>
    <n v="0"/>
    <x v="175"/>
    <s v="Pune"/>
    <s v="B2C"/>
    <n v="2903.66"/>
  </r>
  <r>
    <x v="1310"/>
    <x v="4"/>
    <s v="Oversized T-shirt"/>
    <n v="2"/>
    <m/>
    <n v="0"/>
    <m/>
    <n v="0"/>
    <x v="4"/>
    <s v="Delhi"/>
    <s v="B2B"/>
    <n v="-973.7"/>
  </r>
  <r>
    <x v="1311"/>
    <x v="5"/>
    <s v="Bodycon"/>
    <n v="1"/>
    <m/>
    <n v="0"/>
    <n v="1.19"/>
    <n v="0"/>
    <x v="4"/>
    <s v="Bangalore"/>
    <s v="B2B"/>
    <n v="1634.79"/>
  </r>
  <r>
    <x v="1312"/>
    <x v="2"/>
    <s v="Sneakers"/>
    <n v="2"/>
    <n v="1718.14"/>
    <n v="3436.28"/>
    <m/>
    <n v="3436.28"/>
    <x v="422"/>
    <s v="Ahmedabad"/>
    <s v="B2B"/>
    <n v="1309.05"/>
  </r>
  <r>
    <x v="1313"/>
    <x v="2"/>
    <s v="Slip-ons"/>
    <n v="-2"/>
    <m/>
    <n v="0"/>
    <n v="0.76"/>
    <n v="0"/>
    <x v="311"/>
    <s v="Pune"/>
    <s v="B2C"/>
    <n v="-357.33"/>
  </r>
  <r>
    <x v="1314"/>
    <x v="0"/>
    <s v="Boyfriend Jeans"/>
    <n v="2"/>
    <m/>
    <n v="0"/>
    <m/>
    <n v="0"/>
    <x v="4"/>
    <s v="Mumbai"/>
    <s v="B2C"/>
    <n v="1385.5"/>
  </r>
  <r>
    <x v="1315"/>
    <x v="0"/>
    <s v="Straight Cut"/>
    <n v="2"/>
    <n v="1580.59"/>
    <n v="3161.18"/>
    <n v="0.08"/>
    <n v="2908.2856000000002"/>
    <x v="80"/>
    <s v="Delhi"/>
    <s v="B2B"/>
    <n v="1786.82"/>
  </r>
  <r>
    <x v="1316"/>
    <x v="2"/>
    <s v="Boots"/>
    <n v="6"/>
    <m/>
    <n v="0"/>
    <n v="0.53"/>
    <n v="0"/>
    <x v="4"/>
    <s v="Pune"/>
    <s v="B2C"/>
    <n v="-44.8"/>
  </r>
  <r>
    <x v="1317"/>
    <x v="5"/>
    <s v="Casual Midi"/>
    <n v="-2"/>
    <n v="2967.49"/>
    <n v="-5934.98"/>
    <m/>
    <n v="-5934.98"/>
    <x v="276"/>
    <s v="Pune"/>
    <s v="B2C"/>
    <n v="1890.42"/>
  </r>
  <r>
    <x v="1318"/>
    <x v="1"/>
    <s v="Leather Jacket"/>
    <n v="2"/>
    <n v="4066.97"/>
    <n v="8133.94"/>
    <n v="0.59"/>
    <n v="3334.9153999999999"/>
    <x v="183"/>
    <s v="Mumbai"/>
    <s v="B2C"/>
    <n v="977.09"/>
  </r>
  <r>
    <x v="1319"/>
    <x v="5"/>
    <s v="Casual Midi"/>
    <n v="2"/>
    <m/>
    <n v="0"/>
    <m/>
    <n v="0"/>
    <x v="458"/>
    <s v="Ahmedabad"/>
    <s v="B2C"/>
    <n v="761.35"/>
  </r>
  <r>
    <x v="1320"/>
    <x v="0"/>
    <s v="Ripped Denim"/>
    <n v="2"/>
    <n v="2295.4899999999998"/>
    <n v="4590.9799999999996"/>
    <m/>
    <n v="4590.9799999999996"/>
    <x v="4"/>
    <s v="Pune"/>
    <s v="B2C"/>
    <n v="2846.96"/>
  </r>
  <r>
    <x v="1321"/>
    <x v="3"/>
    <s v="Caps"/>
    <n v="1"/>
    <n v="3508.21"/>
    <n v="3508.21"/>
    <n v="0.62"/>
    <n v="1333.1197999999999"/>
    <x v="459"/>
    <s v="Bangalore"/>
    <s v="B2B"/>
    <n v="-309.14999999999998"/>
  </r>
  <r>
    <x v="1322"/>
    <x v="1"/>
    <s v="Leather Jacket"/>
    <n v="4"/>
    <m/>
    <n v="0"/>
    <m/>
    <n v="0"/>
    <x v="13"/>
    <s v="Ahmedabad"/>
    <s v="B2C"/>
    <n v="1339.62"/>
  </r>
  <r>
    <x v="1323"/>
    <x v="0"/>
    <s v="Boyfriend Jeans"/>
    <n v="0"/>
    <n v="1295.44"/>
    <n v="0"/>
    <m/>
    <n v="0"/>
    <x v="209"/>
    <s v="Ahmedabad"/>
    <s v="B2C"/>
    <n v="1552.41"/>
  </r>
  <r>
    <x v="1324"/>
    <x v="5"/>
    <s v="Wrap Dress"/>
    <n v="5"/>
    <n v="1378.76"/>
    <n v="6893.8"/>
    <n v="0.19"/>
    <n v="5583.9780000000001"/>
    <x v="460"/>
    <s v="Mumbai"/>
    <s v="B2B"/>
    <n v="2284.9699999999998"/>
  </r>
  <r>
    <x v="1325"/>
    <x v="0"/>
    <s v="Ripped Denim"/>
    <n v="1"/>
    <n v="1289.24"/>
    <n v="1289.24"/>
    <m/>
    <n v="1289.24"/>
    <x v="135"/>
    <s v="Mumbai"/>
    <s v="B2B"/>
    <n v="555.48"/>
  </r>
  <r>
    <x v="1326"/>
    <x v="2"/>
    <s v="Slip-ons"/>
    <n v="-2"/>
    <m/>
    <n v="0"/>
    <m/>
    <n v="0"/>
    <x v="4"/>
    <s v="NaviMumbai"/>
    <s v="B2B"/>
    <n v="345.45"/>
  </r>
  <r>
    <x v="1327"/>
    <x v="4"/>
    <s v="Classic Tee"/>
    <n v="2"/>
    <m/>
    <n v="0"/>
    <n v="0.59"/>
    <n v="0"/>
    <x v="22"/>
    <s v="Ahmedabad"/>
    <s v="B2C"/>
    <n v="259.57"/>
  </r>
  <r>
    <x v="1328"/>
    <x v="4"/>
    <s v="Oversized T-shirt"/>
    <n v="2"/>
    <n v="1042.4100000000001"/>
    <n v="2084.8200000000002"/>
    <m/>
    <n v="2084.8200000000002"/>
    <x v="461"/>
    <s v="Ahmedabad"/>
    <s v="B2C"/>
    <n v="2778.49"/>
  </r>
  <r>
    <x v="1329"/>
    <x v="0"/>
    <s v="Slim Fit Jeans"/>
    <n v="2"/>
    <m/>
    <n v="0"/>
    <m/>
    <n v="0"/>
    <x v="270"/>
    <s v="Ahmedabad"/>
    <s v="B2C"/>
    <n v="2829.76"/>
  </r>
  <r>
    <x v="1330"/>
    <x v="0"/>
    <s v="Slim Fit Jeans"/>
    <n v="2"/>
    <m/>
    <n v="0"/>
    <n v="1.0900000000000001"/>
    <n v="0"/>
    <x v="102"/>
    <s v="NaviMumbai"/>
    <s v="B2C"/>
    <n v="1854.64"/>
  </r>
  <r>
    <x v="1331"/>
    <x v="0"/>
    <s v="Slim Fit Jeans"/>
    <n v="1"/>
    <n v="1095.03"/>
    <n v="1095.03"/>
    <m/>
    <n v="1095.03"/>
    <x v="462"/>
    <s v="Ahmedabad"/>
    <s v="B2C"/>
    <n v="1317.75"/>
  </r>
  <r>
    <x v="1332"/>
    <x v="0"/>
    <s v="Boyfriend Jeans"/>
    <n v="-2"/>
    <n v="4922.99"/>
    <n v="-9845.98"/>
    <m/>
    <n v="-9845.98"/>
    <x v="364"/>
    <s v="Bangalore"/>
    <s v="B2B"/>
    <n v="-712.37"/>
  </r>
  <r>
    <x v="1333"/>
    <x v="5"/>
    <s v="Casual Midi"/>
    <n v="2"/>
    <n v="1207.99"/>
    <n v="2415.98"/>
    <m/>
    <n v="2415.98"/>
    <x v="28"/>
    <s v="Bangalore"/>
    <s v="B2C"/>
    <n v="2195.11"/>
  </r>
  <r>
    <x v="1334"/>
    <x v="2"/>
    <s v="Boots"/>
    <n v="2"/>
    <m/>
    <n v="0"/>
    <m/>
    <n v="0"/>
    <x v="218"/>
    <s v="Pune"/>
    <s v="B2C"/>
    <n v="371.77"/>
  </r>
  <r>
    <x v="1335"/>
    <x v="1"/>
    <s v="Puffer Coat"/>
    <n v="2"/>
    <m/>
    <n v="0"/>
    <n v="0.34"/>
    <n v="0"/>
    <x v="362"/>
    <s v="Delhi"/>
    <s v="B2B"/>
    <n v="-496.94"/>
  </r>
  <r>
    <x v="1336"/>
    <x v="2"/>
    <s v="Slip-ons"/>
    <n v="-1"/>
    <n v="3148.46"/>
    <n v="-3148.46"/>
    <m/>
    <n v="-3148.46"/>
    <x v="421"/>
    <s v="Bangalore"/>
    <s v="B2B"/>
    <n v="-165.49"/>
  </r>
  <r>
    <x v="1337"/>
    <x v="5"/>
    <s v="Casual Midi"/>
    <n v="-1"/>
    <n v="1875.17"/>
    <n v="-1875.17"/>
    <m/>
    <n v="-1875.17"/>
    <x v="4"/>
    <s v="Ahmedabad"/>
    <s v="B2C"/>
    <n v="1406.99"/>
  </r>
  <r>
    <x v="1338"/>
    <x v="5"/>
    <s v="Maxi Dress"/>
    <n v="2"/>
    <m/>
    <n v="0"/>
    <n v="1.18"/>
    <n v="0"/>
    <x v="4"/>
    <s v="Pune"/>
    <s v="B2C"/>
    <n v="590.80999999999995"/>
  </r>
  <r>
    <x v="1339"/>
    <x v="2"/>
    <s v="Boots"/>
    <n v="-1"/>
    <m/>
    <n v="0"/>
    <m/>
    <n v="0"/>
    <x v="231"/>
    <s v="NaviMumbai"/>
    <s v="B2C"/>
    <n v="-397.76"/>
  </r>
  <r>
    <x v="1340"/>
    <x v="2"/>
    <s v="Boots"/>
    <n v="2"/>
    <m/>
    <n v="0"/>
    <m/>
    <n v="0"/>
    <x v="460"/>
    <s v="NaviMumbai"/>
    <s v="B2B"/>
    <n v="2233.2800000000002"/>
  </r>
  <r>
    <x v="1341"/>
    <x v="0"/>
    <s v="Ripped Denim"/>
    <n v="2"/>
    <m/>
    <n v="0"/>
    <n v="0.14000000000000001"/>
    <n v="0"/>
    <x v="4"/>
    <s v="NaviMumbai"/>
    <s v="B2B"/>
    <n v="1303.8900000000001"/>
  </r>
  <r>
    <x v="1342"/>
    <x v="3"/>
    <s v="Caps"/>
    <n v="2"/>
    <n v="3412.15"/>
    <n v="6824.3"/>
    <n v="0.01"/>
    <n v="6756.0569999999998"/>
    <x v="240"/>
    <s v="NaviMumbai"/>
    <s v="B2B"/>
    <n v="1862.5"/>
  </r>
  <r>
    <x v="1343"/>
    <x v="0"/>
    <s v="Ripped Denim"/>
    <n v="5"/>
    <n v="509.54"/>
    <n v="2547.7000000000003"/>
    <m/>
    <n v="2547.7000000000003"/>
    <x v="42"/>
    <s v="Delhi"/>
    <s v="B2C"/>
    <n v="2233.39"/>
  </r>
  <r>
    <x v="1344"/>
    <x v="0"/>
    <s v="Straight Cut"/>
    <n v="-1"/>
    <n v="3099.15"/>
    <n v="-3099.15"/>
    <m/>
    <n v="-3099.15"/>
    <x v="4"/>
    <s v="Mumbai"/>
    <s v="B2B"/>
    <n v="-860.89"/>
  </r>
  <r>
    <x v="1345"/>
    <x v="2"/>
    <s v="Loafers"/>
    <n v="-1"/>
    <m/>
    <n v="0"/>
    <m/>
    <n v="0"/>
    <x v="337"/>
    <s v="Pune"/>
    <s v="B2C"/>
    <n v="2256.67"/>
  </r>
  <r>
    <x v="1346"/>
    <x v="3"/>
    <s v="Watches"/>
    <n v="5"/>
    <m/>
    <n v="0"/>
    <m/>
    <n v="0"/>
    <x v="375"/>
    <s v="Pune"/>
    <s v="B2C"/>
    <n v="829.94"/>
  </r>
  <r>
    <x v="1347"/>
    <x v="4"/>
    <s v="Crop Top"/>
    <n v="2"/>
    <n v="899.41"/>
    <n v="1798.82"/>
    <m/>
    <n v="1798.82"/>
    <x v="463"/>
    <s v="Delhi"/>
    <s v="B2C"/>
    <n v="477.1"/>
  </r>
  <r>
    <x v="1348"/>
    <x v="5"/>
    <s v="Casual Midi"/>
    <n v="0"/>
    <n v="2550.98"/>
    <n v="0"/>
    <m/>
    <n v="0"/>
    <x v="52"/>
    <s v="Delhi"/>
    <s v="B2B"/>
    <n v="2161.7800000000002"/>
  </r>
  <r>
    <x v="1349"/>
    <x v="0"/>
    <s v="Boyfriend Jeans"/>
    <n v="-1"/>
    <n v="3640.29"/>
    <n v="-3640.29"/>
    <n v="0.86"/>
    <n v="-509.64060000000006"/>
    <x v="147"/>
    <s v="NaviMumbai"/>
    <s v="B2C"/>
    <n v="879.32"/>
  </r>
  <r>
    <x v="1350"/>
    <x v="3"/>
    <s v="Caps"/>
    <n v="2"/>
    <n v="857.68"/>
    <n v="1715.36"/>
    <m/>
    <n v="1715.36"/>
    <x v="143"/>
    <s v="Mumbai"/>
    <s v="B2B"/>
    <n v="1462.91"/>
  </r>
  <r>
    <x v="1351"/>
    <x v="5"/>
    <s v="Bodycon"/>
    <n v="3"/>
    <m/>
    <n v="0"/>
    <n v="0.49"/>
    <n v="0"/>
    <x v="381"/>
    <s v="NaviMumbai"/>
    <s v="B2C"/>
    <n v="1765.39"/>
  </r>
  <r>
    <x v="1352"/>
    <x v="2"/>
    <s v="Sneakers"/>
    <n v="6"/>
    <n v="429.37"/>
    <n v="2576.2200000000003"/>
    <m/>
    <n v="2576.2200000000003"/>
    <x v="148"/>
    <s v="Mumbai"/>
    <s v="B2B"/>
    <n v="-21.4"/>
  </r>
  <r>
    <x v="1353"/>
    <x v="2"/>
    <s v="Sneakers"/>
    <n v="3"/>
    <n v="500.41"/>
    <n v="1501.23"/>
    <m/>
    <n v="1501.23"/>
    <x v="193"/>
    <s v="Mumbai"/>
    <s v="B2C"/>
    <n v="1732.45"/>
  </r>
  <r>
    <x v="1354"/>
    <x v="3"/>
    <s v="Belts"/>
    <n v="2"/>
    <n v="2971.36"/>
    <n v="5942.72"/>
    <n v="0.49"/>
    <n v="3030.7872000000002"/>
    <x v="348"/>
    <s v="Ahmedabad"/>
    <s v="B2C"/>
    <n v="153.4"/>
  </r>
  <r>
    <x v="1355"/>
    <x v="4"/>
    <s v="Crop Top"/>
    <n v="2"/>
    <n v="935.57"/>
    <n v="1871.14"/>
    <m/>
    <n v="1871.14"/>
    <x v="464"/>
    <s v="Ahmedabad"/>
    <s v="B2B"/>
    <n v="-111.36"/>
  </r>
  <r>
    <x v="1356"/>
    <x v="5"/>
    <s v="Maxi Dress"/>
    <n v="2"/>
    <m/>
    <n v="0"/>
    <m/>
    <n v="0"/>
    <x v="465"/>
    <s v="Mumbai"/>
    <s v="B2C"/>
    <n v="2031.95"/>
  </r>
  <r>
    <x v="1357"/>
    <x v="2"/>
    <s v="Loafers"/>
    <n v="3"/>
    <n v="4467.25"/>
    <n v="13401.75"/>
    <m/>
    <n v="13401.75"/>
    <x v="198"/>
    <s v="NaviMumbai"/>
    <s v="B2C"/>
    <n v="2388.5500000000002"/>
  </r>
  <r>
    <x v="1358"/>
    <x v="5"/>
    <s v="Wrap Dress"/>
    <n v="2"/>
    <m/>
    <n v="0"/>
    <m/>
    <n v="0"/>
    <x v="80"/>
    <s v="Delhi"/>
    <s v="B2B"/>
    <n v="-452.24"/>
  </r>
  <r>
    <x v="1359"/>
    <x v="3"/>
    <s v="Caps"/>
    <n v="-2"/>
    <n v="2490.44"/>
    <n v="-4980.88"/>
    <m/>
    <n v="-4980.88"/>
    <x v="4"/>
    <s v="Mumbai"/>
    <s v="B2C"/>
    <n v="11.27"/>
  </r>
  <r>
    <x v="1360"/>
    <x v="2"/>
    <s v="Loafers"/>
    <n v="0"/>
    <n v="4867.51"/>
    <n v="0"/>
    <n v="1.0900000000000001"/>
    <n v="0"/>
    <x v="134"/>
    <s v="Mumbai"/>
    <s v="B2B"/>
    <n v="1184.6500000000001"/>
  </r>
  <r>
    <x v="1361"/>
    <x v="4"/>
    <s v="Classic Tee"/>
    <n v="2"/>
    <n v="2765.79"/>
    <n v="5531.58"/>
    <m/>
    <n v="5531.58"/>
    <x v="4"/>
    <s v="Bangalore"/>
    <s v="B2C"/>
    <n v="-31.82"/>
  </r>
  <r>
    <x v="1362"/>
    <x v="1"/>
    <s v="Bomber Jacket"/>
    <n v="2"/>
    <m/>
    <n v="0"/>
    <m/>
    <n v="0"/>
    <x v="466"/>
    <s v="Pune"/>
    <s v="B2C"/>
    <n v="1900.77"/>
  </r>
  <r>
    <x v="1363"/>
    <x v="4"/>
    <s v="Classic Tee"/>
    <n v="4"/>
    <n v="4458.4799999999996"/>
    <n v="17833.919999999998"/>
    <m/>
    <n v="17833.919999999998"/>
    <x v="218"/>
    <s v="Bangalore"/>
    <s v="B2B"/>
    <n v="631"/>
  </r>
  <r>
    <x v="1364"/>
    <x v="0"/>
    <s v="Straight Cut"/>
    <n v="0"/>
    <n v="1985.49"/>
    <n v="0"/>
    <m/>
    <n v="0"/>
    <x v="4"/>
    <s v="Ahmedabad"/>
    <s v="B2C"/>
    <n v="-198.55"/>
  </r>
  <r>
    <x v="1365"/>
    <x v="1"/>
    <s v="Denim Jacket"/>
    <n v="6"/>
    <n v="2188.7399999999998"/>
    <n v="13132.439999999999"/>
    <m/>
    <n v="13132.439999999999"/>
    <x v="467"/>
    <s v="Bangalore"/>
    <s v="B2C"/>
    <n v="-885.72"/>
  </r>
  <r>
    <x v="1366"/>
    <x v="1"/>
    <s v="Puffer Coat"/>
    <n v="2"/>
    <n v="3820.42"/>
    <n v="7640.84"/>
    <n v="1.03"/>
    <n v="-229.2252000000002"/>
    <x v="112"/>
    <s v="Mumbai"/>
    <s v="B2B"/>
    <n v="-105.92"/>
  </r>
  <r>
    <x v="1367"/>
    <x v="2"/>
    <s v="Sneakers"/>
    <n v="2"/>
    <m/>
    <n v="0"/>
    <m/>
    <n v="0"/>
    <x v="213"/>
    <s v="Delhi"/>
    <s v="B2C"/>
    <n v="103.57"/>
  </r>
  <r>
    <x v="1368"/>
    <x v="1"/>
    <s v="Bomber Jacket"/>
    <n v="2"/>
    <n v="3440.31"/>
    <n v="6880.62"/>
    <m/>
    <n v="6880.62"/>
    <x v="407"/>
    <s v="Bangalore"/>
    <s v="B2B"/>
    <n v="921.38"/>
  </r>
  <r>
    <x v="1369"/>
    <x v="2"/>
    <s v="Boots"/>
    <n v="-2"/>
    <m/>
    <n v="0"/>
    <m/>
    <n v="0"/>
    <x v="344"/>
    <s v="NaviMumbai"/>
    <s v="B2C"/>
    <n v="990.71"/>
  </r>
  <r>
    <x v="1370"/>
    <x v="1"/>
    <s v="Denim Jacket"/>
    <n v="3"/>
    <n v="1625.58"/>
    <n v="4876.74"/>
    <n v="0.1"/>
    <n v="4389.0659999999998"/>
    <x v="427"/>
    <s v="Pune"/>
    <s v="B2C"/>
    <n v="2368.5500000000002"/>
  </r>
  <r>
    <x v="1371"/>
    <x v="5"/>
    <s v="Wrap Dress"/>
    <n v="2"/>
    <m/>
    <n v="0"/>
    <n v="0.06"/>
    <n v="0"/>
    <x v="292"/>
    <s v="Delhi"/>
    <s v="B2C"/>
    <n v="-914.91"/>
  </r>
  <r>
    <x v="1372"/>
    <x v="0"/>
    <s v="Straight Cut"/>
    <n v="0"/>
    <n v="2253.08"/>
    <n v="0"/>
    <n v="0.09"/>
    <n v="0"/>
    <x v="4"/>
    <s v="Ahmedabad"/>
    <s v="B2C"/>
    <n v="490.12"/>
  </r>
  <r>
    <x v="1373"/>
    <x v="3"/>
    <s v="Caps"/>
    <n v="2"/>
    <n v="3246.04"/>
    <n v="6492.08"/>
    <m/>
    <n v="6492.08"/>
    <x v="36"/>
    <s v="NaviMumbai"/>
    <s v="B2C"/>
    <n v="-611.03"/>
  </r>
  <r>
    <x v="1374"/>
    <x v="4"/>
    <s v="Crop Top"/>
    <n v="-2"/>
    <m/>
    <n v="0"/>
    <m/>
    <n v="0"/>
    <x v="311"/>
    <s v="NaviMumbai"/>
    <s v="B2B"/>
    <n v="-722.21"/>
  </r>
  <r>
    <x v="1375"/>
    <x v="2"/>
    <s v="Slip-ons"/>
    <n v="5"/>
    <m/>
    <n v="0"/>
    <m/>
    <n v="0"/>
    <x v="468"/>
    <s v="Bangalore"/>
    <s v="B2B"/>
    <n v="2235.23"/>
  </r>
  <r>
    <x v="1376"/>
    <x v="0"/>
    <s v="Slim Fit Jeans"/>
    <n v="2"/>
    <n v="3605.36"/>
    <n v="7210.72"/>
    <n v="1.01"/>
    <n v="-72.107200000000063"/>
    <x v="210"/>
    <s v="Ahmedabad"/>
    <s v="B2B"/>
    <n v="-311.29000000000002"/>
  </r>
  <r>
    <x v="1377"/>
    <x v="0"/>
    <s v="Boyfriend Jeans"/>
    <n v="2"/>
    <n v="4473.9399999999996"/>
    <n v="8947.8799999999992"/>
    <m/>
    <n v="8947.8799999999992"/>
    <x v="4"/>
    <s v="Bangalore"/>
    <s v="B2B"/>
    <n v="1003.14"/>
  </r>
  <r>
    <x v="1378"/>
    <x v="3"/>
    <s v="Sunglasses"/>
    <n v="3"/>
    <n v="4550.95"/>
    <n v="13652.849999999999"/>
    <m/>
    <n v="13652.849999999999"/>
    <x v="422"/>
    <s v="Ahmedabad"/>
    <s v="B2C"/>
    <n v="-951.64"/>
  </r>
  <r>
    <x v="1379"/>
    <x v="1"/>
    <s v="Bomber Jacket"/>
    <n v="5"/>
    <n v="753.85"/>
    <n v="3769.25"/>
    <m/>
    <n v="3769.25"/>
    <x v="469"/>
    <s v="Delhi"/>
    <s v="B2C"/>
    <n v="251.29"/>
  </r>
  <r>
    <x v="1380"/>
    <x v="1"/>
    <s v="Puffer Coat"/>
    <n v="2"/>
    <n v="3384.51"/>
    <n v="6769.02"/>
    <m/>
    <n v="6769.02"/>
    <x v="200"/>
    <s v="Bangalore"/>
    <s v="B2B"/>
    <n v="2776.41"/>
  </r>
  <r>
    <x v="1381"/>
    <x v="3"/>
    <s v="Watches"/>
    <n v="2"/>
    <m/>
    <n v="0"/>
    <m/>
    <n v="0"/>
    <x v="26"/>
    <s v="NaviMumbai"/>
    <s v="B2C"/>
    <n v="1866.74"/>
  </r>
  <r>
    <x v="1382"/>
    <x v="0"/>
    <s v="Slim Fit Jeans"/>
    <n v="2"/>
    <m/>
    <n v="0"/>
    <n v="1.02"/>
    <n v="0"/>
    <x v="410"/>
    <s v="NaviMumbai"/>
    <s v="B2C"/>
    <n v="1965.45"/>
  </r>
  <r>
    <x v="1383"/>
    <x v="1"/>
    <s v="Bomber Jacket"/>
    <n v="2"/>
    <n v="1823.51"/>
    <n v="3647.02"/>
    <m/>
    <n v="3647.02"/>
    <x v="209"/>
    <s v="NaviMumbai"/>
    <s v="B2C"/>
    <n v="378.92"/>
  </r>
  <r>
    <x v="1384"/>
    <x v="0"/>
    <s v="Straight Cut"/>
    <n v="2"/>
    <n v="2942.95"/>
    <n v="5885.9"/>
    <m/>
    <n v="5885.9"/>
    <x v="302"/>
    <s v="Bangalore"/>
    <s v="B2B"/>
    <n v="-519.87"/>
  </r>
  <r>
    <x v="1385"/>
    <x v="0"/>
    <s v="Slim Fit Jeans"/>
    <n v="-2"/>
    <n v="3643.5"/>
    <n v="-7287"/>
    <m/>
    <n v="-7287"/>
    <x v="188"/>
    <s v="Delhi"/>
    <s v="B2B"/>
    <n v="1452.6"/>
  </r>
  <r>
    <x v="1386"/>
    <x v="5"/>
    <s v="Bodycon"/>
    <n v="2"/>
    <n v="4756.67"/>
    <n v="9513.34"/>
    <n v="0.75"/>
    <n v="2378.335"/>
    <x v="280"/>
    <s v="Pune"/>
    <s v="B2C"/>
    <n v="-442.75"/>
  </r>
  <r>
    <x v="1387"/>
    <x v="3"/>
    <s v="Belts"/>
    <n v="2"/>
    <n v="2159.6799999999998"/>
    <n v="4319.3599999999997"/>
    <m/>
    <n v="4319.3599999999997"/>
    <x v="107"/>
    <s v="Pune"/>
    <s v="B2C"/>
    <n v="1873.8"/>
  </r>
  <r>
    <x v="1388"/>
    <x v="4"/>
    <s v="Crop Top"/>
    <n v="2"/>
    <n v="744.83"/>
    <n v="1489.66"/>
    <n v="0.16"/>
    <n v="1251.3144"/>
    <x v="4"/>
    <s v="Mumbai"/>
    <s v="B2C"/>
    <n v="2905.06"/>
  </r>
  <r>
    <x v="1389"/>
    <x v="4"/>
    <s v="Oversized T-shirt"/>
    <n v="0"/>
    <m/>
    <n v="0"/>
    <m/>
    <n v="0"/>
    <x v="350"/>
    <s v="NaviMumbai"/>
    <s v="B2B"/>
    <n v="2312.7199999999998"/>
  </r>
  <r>
    <x v="1390"/>
    <x v="3"/>
    <s v="Caps"/>
    <n v="4"/>
    <m/>
    <n v="0"/>
    <m/>
    <n v="0"/>
    <x v="82"/>
    <s v="Delhi"/>
    <s v="B2C"/>
    <n v="-673.77"/>
  </r>
  <r>
    <x v="1391"/>
    <x v="1"/>
    <s v="Denim Jacket"/>
    <n v="-1"/>
    <n v="1943.21"/>
    <n v="-1943.21"/>
    <m/>
    <n v="-1943.21"/>
    <x v="4"/>
    <s v="Ahmedabad"/>
    <s v="B2B"/>
    <n v="1039.8599999999999"/>
  </r>
  <r>
    <x v="1392"/>
    <x v="0"/>
    <s v="Slim Fit Jeans"/>
    <n v="2"/>
    <n v="4847.7299999999996"/>
    <n v="9695.4599999999991"/>
    <m/>
    <n v="9695.4599999999991"/>
    <x v="4"/>
    <s v="Ahmedabad"/>
    <s v="B2B"/>
    <n v="1741"/>
  </r>
  <r>
    <x v="1393"/>
    <x v="0"/>
    <s v="Slim Fit Jeans"/>
    <n v="2"/>
    <m/>
    <n v="0"/>
    <m/>
    <n v="0"/>
    <x v="251"/>
    <s v="Ahmedabad"/>
    <s v="B2B"/>
    <n v="2990.98"/>
  </r>
  <r>
    <x v="1394"/>
    <x v="5"/>
    <s v="Casual Midi"/>
    <n v="6"/>
    <n v="2169.73"/>
    <n v="13018.380000000001"/>
    <m/>
    <n v="13018.380000000001"/>
    <x v="4"/>
    <s v="Bangalore"/>
    <s v="B2C"/>
    <n v="442.92"/>
  </r>
  <r>
    <x v="1395"/>
    <x v="5"/>
    <s v="Wrap Dress"/>
    <n v="2"/>
    <n v="1430.06"/>
    <n v="2860.12"/>
    <n v="0.98"/>
    <n v="57.202400000000047"/>
    <x v="225"/>
    <s v="Pune"/>
    <s v="B2C"/>
    <n v="-530.32000000000005"/>
  </r>
  <r>
    <x v="1396"/>
    <x v="3"/>
    <s v="Caps"/>
    <n v="3"/>
    <m/>
    <n v="0"/>
    <m/>
    <n v="0"/>
    <x v="395"/>
    <s v="Pune"/>
    <s v="B2C"/>
    <n v="2913.29"/>
  </r>
  <r>
    <x v="1397"/>
    <x v="0"/>
    <s v="Straight Cut"/>
    <n v="-2"/>
    <m/>
    <n v="0"/>
    <m/>
    <n v="0"/>
    <x v="79"/>
    <s v="Delhi"/>
    <s v="B2C"/>
    <n v="458.44"/>
  </r>
  <r>
    <x v="1398"/>
    <x v="0"/>
    <s v="Straight Cut"/>
    <n v="-1"/>
    <m/>
    <n v="0"/>
    <m/>
    <n v="0"/>
    <x v="470"/>
    <s v="Delhi"/>
    <s v="B2C"/>
    <n v="1676.75"/>
  </r>
  <r>
    <x v="1399"/>
    <x v="2"/>
    <s v="Loafers"/>
    <n v="2"/>
    <n v="4140.8599999999997"/>
    <n v="8281.7199999999993"/>
    <m/>
    <n v="8281.7199999999993"/>
    <x v="235"/>
    <s v="Delhi"/>
    <s v="B2B"/>
    <n v="162.16"/>
  </r>
  <r>
    <x v="1400"/>
    <x v="3"/>
    <s v="Caps"/>
    <n v="2"/>
    <n v="3127.73"/>
    <n v="6255.46"/>
    <n v="0.06"/>
    <n v="5880.1323999999995"/>
    <x v="34"/>
    <s v="Ahmedabad"/>
    <s v="B2C"/>
    <n v="-793.02"/>
  </r>
  <r>
    <x v="1401"/>
    <x v="0"/>
    <s v="Ripped Denim"/>
    <n v="2"/>
    <n v="3395.67"/>
    <n v="6791.34"/>
    <m/>
    <n v="6791.34"/>
    <x v="4"/>
    <s v="Bangalore"/>
    <s v="B2C"/>
    <n v="1958.51"/>
  </r>
  <r>
    <x v="1402"/>
    <x v="5"/>
    <s v="Bodycon"/>
    <n v="2"/>
    <m/>
    <n v="0"/>
    <n v="1.27"/>
    <n v="0"/>
    <x v="471"/>
    <s v="Pune"/>
    <s v="B2B"/>
    <n v="1219.82"/>
  </r>
  <r>
    <x v="1403"/>
    <x v="1"/>
    <s v="Bomber Jacket"/>
    <n v="2"/>
    <n v="4268.68"/>
    <n v="8537.36"/>
    <n v="0.67"/>
    <n v="2817.3287999999998"/>
    <x v="178"/>
    <s v="Delhi"/>
    <s v="B2C"/>
    <n v="1818.31"/>
  </r>
  <r>
    <x v="1404"/>
    <x v="1"/>
    <s v="Denim Jacket"/>
    <n v="2"/>
    <n v="3435.95"/>
    <n v="6871.9"/>
    <n v="0.36"/>
    <n v="4398.0159999999996"/>
    <x v="4"/>
    <s v="Delhi"/>
    <s v="B2C"/>
    <n v="-77.180000000000007"/>
  </r>
  <r>
    <x v="1405"/>
    <x v="2"/>
    <s v="Slip-ons"/>
    <n v="2"/>
    <n v="1832.16"/>
    <n v="3664.32"/>
    <m/>
    <n v="3664.32"/>
    <x v="309"/>
    <s v="Mumbai"/>
    <s v="B2C"/>
    <n v="2843.62"/>
  </r>
  <r>
    <x v="1406"/>
    <x v="1"/>
    <s v="Bomber Jacket"/>
    <n v="2"/>
    <n v="3714.46"/>
    <n v="7428.92"/>
    <m/>
    <n v="7428.92"/>
    <x v="131"/>
    <s v="Ahmedabad"/>
    <s v="B2C"/>
    <n v="2452.7199999999998"/>
  </r>
  <r>
    <x v="1407"/>
    <x v="3"/>
    <s v="Caps"/>
    <n v="4"/>
    <n v="4411.3900000000003"/>
    <n v="17645.560000000001"/>
    <m/>
    <n v="17645.560000000001"/>
    <x v="298"/>
    <s v="NaviMumbai"/>
    <s v="B2C"/>
    <n v="-501.29"/>
  </r>
  <r>
    <x v="1408"/>
    <x v="4"/>
    <s v="Oversized T-shirt"/>
    <n v="2"/>
    <m/>
    <n v="0"/>
    <n v="0.22"/>
    <n v="0"/>
    <x v="472"/>
    <s v="Bangalore"/>
    <s v="B2C"/>
    <n v="756.56"/>
  </r>
  <r>
    <x v="1409"/>
    <x v="2"/>
    <s v="Sneakers"/>
    <n v="2"/>
    <m/>
    <n v="0"/>
    <m/>
    <n v="0"/>
    <x v="399"/>
    <s v="Ahmedabad"/>
    <s v="B2B"/>
    <n v="2661.66"/>
  </r>
  <r>
    <x v="1410"/>
    <x v="2"/>
    <s v="Loafers"/>
    <n v="5"/>
    <n v="2476.15"/>
    <n v="12380.75"/>
    <m/>
    <n v="12380.75"/>
    <x v="473"/>
    <s v="Pune"/>
    <s v="B2C"/>
    <n v="387.88"/>
  </r>
  <r>
    <x v="1411"/>
    <x v="5"/>
    <s v="Wrap Dress"/>
    <n v="0"/>
    <n v="2632.44"/>
    <n v="0"/>
    <m/>
    <n v="0"/>
    <x v="11"/>
    <s v="Pune"/>
    <s v="B2C"/>
    <n v="2036.93"/>
  </r>
  <r>
    <x v="1412"/>
    <x v="1"/>
    <s v="Bomber Jacket"/>
    <n v="2"/>
    <m/>
    <n v="0"/>
    <m/>
    <n v="0"/>
    <x v="103"/>
    <s v="Delhi"/>
    <s v="B2B"/>
    <n v="261.68"/>
  </r>
  <r>
    <x v="1413"/>
    <x v="4"/>
    <s v="Classic Tee"/>
    <n v="5"/>
    <n v="1510.89"/>
    <n v="7554.4500000000007"/>
    <m/>
    <n v="7554.4500000000007"/>
    <x v="27"/>
    <s v="Bangalore"/>
    <s v="B2B"/>
    <n v="2959.19"/>
  </r>
  <r>
    <x v="1414"/>
    <x v="2"/>
    <s v="Loafers"/>
    <n v="-2"/>
    <m/>
    <n v="0"/>
    <m/>
    <n v="0"/>
    <x v="474"/>
    <s v="Delhi"/>
    <s v="B2B"/>
    <n v="1885.43"/>
  </r>
  <r>
    <x v="1415"/>
    <x v="2"/>
    <s v="Loafers"/>
    <n v="-1"/>
    <n v="4193.1000000000004"/>
    <n v="-4193.1000000000004"/>
    <m/>
    <n v="-4193.1000000000004"/>
    <x v="190"/>
    <s v="NaviMumbai"/>
    <s v="B2C"/>
    <n v="436.03"/>
  </r>
  <r>
    <x v="1416"/>
    <x v="0"/>
    <s v="Ripped Denim"/>
    <n v="2"/>
    <n v="3149.37"/>
    <n v="6298.74"/>
    <m/>
    <n v="6298.74"/>
    <x v="4"/>
    <s v="Pune"/>
    <s v="B2C"/>
    <n v="1094.4000000000001"/>
  </r>
  <r>
    <x v="302"/>
    <x v="1"/>
    <s v="Leather Jacket"/>
    <n v="-2"/>
    <n v="714.5"/>
    <n v="-1429"/>
    <n v="0.72"/>
    <n v="-400.12000000000006"/>
    <x v="448"/>
    <s v="Delhi"/>
    <s v="B2B"/>
    <n v="-29.59"/>
  </r>
  <r>
    <x v="1417"/>
    <x v="1"/>
    <s v="Denim Jacket"/>
    <n v="1"/>
    <m/>
    <n v="0"/>
    <n v="0.11"/>
    <n v="0"/>
    <x v="4"/>
    <s v="Mumbai"/>
    <s v="B2C"/>
    <n v="2950.78"/>
  </r>
  <r>
    <x v="1418"/>
    <x v="4"/>
    <s v="Crop Top"/>
    <n v="0"/>
    <n v="2489.1799999999998"/>
    <n v="0"/>
    <m/>
    <n v="0"/>
    <x v="117"/>
    <s v="Ahmedabad"/>
    <s v="B2C"/>
    <n v="-22.68"/>
  </r>
  <r>
    <x v="1419"/>
    <x v="1"/>
    <s v="Leather Jacket"/>
    <n v="0"/>
    <m/>
    <n v="0"/>
    <m/>
    <n v="0"/>
    <x v="188"/>
    <s v="NaviMumbai"/>
    <s v="B2B"/>
    <n v="1953.07"/>
  </r>
  <r>
    <x v="1420"/>
    <x v="3"/>
    <s v="Belts"/>
    <n v="2"/>
    <m/>
    <n v="0"/>
    <m/>
    <n v="0"/>
    <x v="145"/>
    <s v="Mumbai"/>
    <s v="B2C"/>
    <n v="2711.18"/>
  </r>
  <r>
    <x v="1421"/>
    <x v="4"/>
    <s v="Oversized T-shirt"/>
    <n v="2"/>
    <m/>
    <n v="0"/>
    <m/>
    <n v="0"/>
    <x v="4"/>
    <s v="NaviMumbai"/>
    <s v="B2B"/>
    <n v="2492.87"/>
  </r>
  <r>
    <x v="1422"/>
    <x v="4"/>
    <s v="Crop Top"/>
    <n v="1"/>
    <n v="1906.91"/>
    <n v="1906.91"/>
    <n v="0.97"/>
    <n v="57.207300000000053"/>
    <x v="4"/>
    <s v="Ahmedabad"/>
    <s v="B2B"/>
    <n v="440.67"/>
  </r>
  <r>
    <x v="1423"/>
    <x v="4"/>
    <s v="Graphic Tee"/>
    <n v="5"/>
    <m/>
    <n v="0"/>
    <m/>
    <n v="0"/>
    <x v="398"/>
    <s v="NaviMumbai"/>
    <s v="B2B"/>
    <n v="1037.5"/>
  </r>
  <r>
    <x v="1424"/>
    <x v="3"/>
    <s v="Caps"/>
    <n v="2"/>
    <m/>
    <n v="0"/>
    <n v="0.24"/>
    <n v="0"/>
    <x v="336"/>
    <s v="Delhi"/>
    <s v="B2C"/>
    <n v="-789.39"/>
  </r>
  <r>
    <x v="1425"/>
    <x v="4"/>
    <s v="Classic Tee"/>
    <n v="2"/>
    <n v="3846.31"/>
    <n v="7692.62"/>
    <n v="0.51"/>
    <n v="3769.3838000000001"/>
    <x v="230"/>
    <s v="Pune"/>
    <s v="B2C"/>
    <n v="381.13"/>
  </r>
  <r>
    <x v="1426"/>
    <x v="5"/>
    <s v="Wrap Dress"/>
    <n v="2"/>
    <m/>
    <n v="0"/>
    <n v="0.81"/>
    <n v="0"/>
    <x v="4"/>
    <s v="Pune"/>
    <s v="B2C"/>
    <n v="1220.9100000000001"/>
  </r>
  <r>
    <x v="1427"/>
    <x v="0"/>
    <s v="Boyfriend Jeans"/>
    <n v="2"/>
    <m/>
    <n v="0"/>
    <m/>
    <n v="0"/>
    <x v="20"/>
    <s v="Pune"/>
    <s v="B2C"/>
    <n v="-937.17"/>
  </r>
  <r>
    <x v="1428"/>
    <x v="4"/>
    <s v="Graphic Tee"/>
    <n v="1"/>
    <n v="4981.8599999999997"/>
    <n v="4981.8599999999997"/>
    <m/>
    <n v="4981.8599999999997"/>
    <x v="336"/>
    <s v="Pune"/>
    <s v="B2C"/>
    <n v="1410.16"/>
  </r>
  <r>
    <x v="1429"/>
    <x v="0"/>
    <s v="Boyfriend Jeans"/>
    <n v="2"/>
    <n v="3470.88"/>
    <n v="6941.76"/>
    <m/>
    <n v="6941.76"/>
    <x v="4"/>
    <s v="Pune"/>
    <s v="B2B"/>
    <n v="638.83000000000004"/>
  </r>
  <r>
    <x v="1430"/>
    <x v="3"/>
    <s v="Caps"/>
    <n v="2"/>
    <n v="2282.02"/>
    <n v="4564.04"/>
    <m/>
    <n v="4564.04"/>
    <x v="351"/>
    <s v="Mumbai"/>
    <s v="B2C"/>
    <n v="555.12"/>
  </r>
  <r>
    <x v="1375"/>
    <x v="0"/>
    <s v="Ripped Denim"/>
    <n v="6"/>
    <m/>
    <n v="0"/>
    <n v="1.27"/>
    <n v="0"/>
    <x v="277"/>
    <s v="Bangalore"/>
    <s v="B2C"/>
    <n v="2936.21"/>
  </r>
  <r>
    <x v="1431"/>
    <x v="5"/>
    <s v="Maxi Dress"/>
    <n v="6"/>
    <n v="1773.3"/>
    <n v="10639.8"/>
    <m/>
    <n v="10639.8"/>
    <x v="104"/>
    <s v="NaviMumbai"/>
    <s v="B2C"/>
    <n v="2073.35"/>
  </r>
  <r>
    <x v="1432"/>
    <x v="1"/>
    <s v="Denim Jacket"/>
    <n v="3"/>
    <m/>
    <n v="0"/>
    <m/>
    <n v="0"/>
    <x v="103"/>
    <s v="Delhi"/>
    <s v="B2C"/>
    <n v="-244.83"/>
  </r>
  <r>
    <x v="1433"/>
    <x v="2"/>
    <s v="Boots"/>
    <n v="2"/>
    <n v="2344.38"/>
    <n v="4688.76"/>
    <m/>
    <n v="4688.76"/>
    <x v="4"/>
    <s v="Mumbai"/>
    <s v="B2C"/>
    <n v="419.95"/>
  </r>
  <r>
    <x v="1434"/>
    <x v="3"/>
    <s v="Caps"/>
    <n v="2"/>
    <n v="3333.87"/>
    <n v="6667.74"/>
    <m/>
    <n v="6667.74"/>
    <x v="80"/>
    <s v="Ahmedabad"/>
    <s v="B2C"/>
    <n v="1673.63"/>
  </r>
  <r>
    <x v="1435"/>
    <x v="2"/>
    <s v="Boots"/>
    <n v="2"/>
    <m/>
    <n v="0"/>
    <m/>
    <n v="0"/>
    <x v="475"/>
    <s v="Ahmedabad"/>
    <s v="B2B"/>
    <n v="1177.96"/>
  </r>
  <r>
    <x v="1436"/>
    <x v="3"/>
    <s v="Sunglasses"/>
    <n v="3"/>
    <m/>
    <n v="0"/>
    <m/>
    <n v="0"/>
    <x v="4"/>
    <s v="Mumbai"/>
    <s v="B2B"/>
    <n v="-360.37"/>
  </r>
  <r>
    <x v="1437"/>
    <x v="0"/>
    <s v="Slim Fit Jeans"/>
    <n v="2"/>
    <m/>
    <n v="0"/>
    <n v="0.72"/>
    <n v="0"/>
    <x v="476"/>
    <s v="NaviMumbai"/>
    <s v="B2B"/>
    <n v="382.31"/>
  </r>
  <r>
    <x v="1438"/>
    <x v="4"/>
    <s v="Crop Top"/>
    <n v="3"/>
    <m/>
    <n v="0"/>
    <m/>
    <n v="0"/>
    <x v="4"/>
    <s v="Bangalore"/>
    <s v="B2C"/>
    <n v="1961.19"/>
  </r>
  <r>
    <x v="1439"/>
    <x v="2"/>
    <s v="Sneakers"/>
    <n v="2"/>
    <m/>
    <n v="0"/>
    <m/>
    <n v="0"/>
    <x v="4"/>
    <s v="Pune"/>
    <s v="B2C"/>
    <n v="2153.0100000000002"/>
  </r>
  <r>
    <x v="1440"/>
    <x v="3"/>
    <s v="Caps"/>
    <n v="2"/>
    <n v="889.88"/>
    <n v="1779.76"/>
    <m/>
    <n v="1779.76"/>
    <x v="76"/>
    <s v="Ahmedabad"/>
    <s v="B2B"/>
    <n v="1607.65"/>
  </r>
  <r>
    <x v="1441"/>
    <x v="1"/>
    <s v="Leather Jacket"/>
    <n v="6"/>
    <m/>
    <n v="0"/>
    <n v="1.25"/>
    <n v="0"/>
    <x v="428"/>
    <s v="Delhi"/>
    <s v="B2C"/>
    <n v="179.36"/>
  </r>
  <r>
    <x v="1442"/>
    <x v="4"/>
    <s v="Oversized T-shirt"/>
    <n v="2"/>
    <m/>
    <n v="0"/>
    <n v="0.64"/>
    <n v="0"/>
    <x v="277"/>
    <s v="Delhi"/>
    <s v="B2B"/>
    <n v="163.69"/>
  </r>
  <r>
    <x v="1443"/>
    <x v="3"/>
    <s v="Sunglasses"/>
    <n v="2"/>
    <m/>
    <n v="0"/>
    <m/>
    <n v="0"/>
    <x v="4"/>
    <s v="Mumbai"/>
    <s v="B2C"/>
    <n v="2616.96"/>
  </r>
  <r>
    <x v="1444"/>
    <x v="3"/>
    <s v="Watches"/>
    <n v="-2"/>
    <n v="3157.28"/>
    <n v="-6314.56"/>
    <n v="7.0000000000000007E-2"/>
    <n v="-5872.5407999999998"/>
    <x v="477"/>
    <s v="NaviMumbai"/>
    <s v="B2C"/>
    <n v="971.15"/>
  </r>
  <r>
    <x v="1445"/>
    <x v="1"/>
    <s v="Puffer Coat"/>
    <n v="1"/>
    <n v="4225.58"/>
    <n v="4225.58"/>
    <m/>
    <n v="4225.58"/>
    <x v="118"/>
    <s v="NaviMumbai"/>
    <s v="B2B"/>
    <n v="-793.29"/>
  </r>
  <r>
    <x v="1446"/>
    <x v="3"/>
    <s v="Belts"/>
    <n v="2"/>
    <n v="2123.2199999999998"/>
    <n v="4246.4399999999996"/>
    <m/>
    <n v="4246.4399999999996"/>
    <x v="102"/>
    <s v="Mumbai"/>
    <s v="B2C"/>
    <n v="2645.36"/>
  </r>
  <r>
    <x v="1447"/>
    <x v="3"/>
    <s v="Sunglasses"/>
    <n v="2"/>
    <n v="405.52"/>
    <n v="811.04"/>
    <m/>
    <n v="811.04"/>
    <x v="28"/>
    <s v="Delhi"/>
    <s v="B2C"/>
    <n v="2036.57"/>
  </r>
  <r>
    <x v="1448"/>
    <x v="2"/>
    <s v="Boots"/>
    <n v="-1"/>
    <m/>
    <n v="0"/>
    <n v="0.32"/>
    <n v="0"/>
    <x v="113"/>
    <s v="NaviMumbai"/>
    <s v="B2C"/>
    <n v="2742.15"/>
  </r>
  <r>
    <x v="1449"/>
    <x v="0"/>
    <s v="Straight Cut"/>
    <n v="2"/>
    <n v="493.99"/>
    <n v="987.98"/>
    <m/>
    <n v="987.98"/>
    <x v="131"/>
    <s v="NaviMumbai"/>
    <s v="B2B"/>
    <n v="-365.9"/>
  </r>
  <r>
    <x v="1450"/>
    <x v="5"/>
    <s v="Maxi Dress"/>
    <n v="2"/>
    <n v="2335.61"/>
    <n v="4671.22"/>
    <n v="0.17"/>
    <n v="3877.1125999999999"/>
    <x v="4"/>
    <s v="Ahmedabad"/>
    <s v="B2B"/>
    <n v="-36.92"/>
  </r>
  <r>
    <x v="1451"/>
    <x v="2"/>
    <s v="Loafers"/>
    <n v="2"/>
    <m/>
    <n v="0"/>
    <m/>
    <n v="0"/>
    <x v="229"/>
    <s v="Mumbai"/>
    <s v="B2C"/>
    <n v="485.02"/>
  </r>
  <r>
    <x v="1452"/>
    <x v="4"/>
    <s v="Oversized T-shirt"/>
    <n v="2"/>
    <m/>
    <n v="0"/>
    <m/>
    <n v="0"/>
    <x v="457"/>
    <s v="Mumbai"/>
    <s v="B2C"/>
    <n v="1149.6500000000001"/>
  </r>
  <r>
    <x v="1453"/>
    <x v="1"/>
    <s v="Bomber Jacket"/>
    <n v="2"/>
    <n v="4132.13"/>
    <n v="8264.26"/>
    <m/>
    <n v="8264.26"/>
    <x v="238"/>
    <s v="Mumbai"/>
    <s v="B2C"/>
    <n v="828.43"/>
  </r>
  <r>
    <x v="1454"/>
    <x v="1"/>
    <s v="Puffer Coat"/>
    <n v="3"/>
    <m/>
    <n v="0"/>
    <n v="0.74"/>
    <n v="0"/>
    <x v="475"/>
    <s v="Pune"/>
    <s v="B2B"/>
    <n v="321.20999999999998"/>
  </r>
  <r>
    <x v="1455"/>
    <x v="0"/>
    <s v="Slim Fit Jeans"/>
    <n v="2"/>
    <n v="4457.83"/>
    <n v="8915.66"/>
    <n v="0.66"/>
    <n v="3031.3243999999995"/>
    <x v="4"/>
    <s v="Pune"/>
    <s v="B2B"/>
    <n v="780.39"/>
  </r>
  <r>
    <x v="1456"/>
    <x v="0"/>
    <s v="Ripped Denim"/>
    <n v="2"/>
    <n v="4357.9399999999996"/>
    <n v="8715.8799999999992"/>
    <n v="0.33"/>
    <n v="5839.6395999999986"/>
    <x v="4"/>
    <s v="Delhi"/>
    <s v="B2B"/>
    <n v="971.5"/>
  </r>
  <r>
    <x v="1457"/>
    <x v="2"/>
    <s v="Sneakers"/>
    <n v="6"/>
    <n v="408.21"/>
    <n v="2449.2599999999998"/>
    <n v="1.1599999999999999"/>
    <n v="-391.88159999999976"/>
    <x v="298"/>
    <s v="Delhi"/>
    <s v="B2C"/>
    <n v="611.86"/>
  </r>
  <r>
    <x v="1458"/>
    <x v="2"/>
    <s v="Loafers"/>
    <n v="2"/>
    <m/>
    <n v="0"/>
    <m/>
    <n v="0"/>
    <x v="60"/>
    <s v="Bangalore"/>
    <s v="B2B"/>
    <n v="-930.79"/>
  </r>
  <r>
    <x v="1459"/>
    <x v="1"/>
    <s v="Leather Jacket"/>
    <n v="5"/>
    <n v="642.48"/>
    <n v="3212.4"/>
    <n v="0.17"/>
    <n v="2666.2919999999999"/>
    <x v="4"/>
    <s v="Ahmedabad"/>
    <s v="B2C"/>
    <n v="1800.37"/>
  </r>
  <r>
    <x v="1460"/>
    <x v="5"/>
    <s v="Casual Midi"/>
    <n v="5"/>
    <n v="2967.26"/>
    <n v="14836.300000000001"/>
    <m/>
    <n v="14836.300000000001"/>
    <x v="4"/>
    <s v="NaviMumbai"/>
    <s v="B2B"/>
    <n v="2069.15"/>
  </r>
  <r>
    <x v="1461"/>
    <x v="2"/>
    <s v="Boots"/>
    <n v="3"/>
    <n v="3725.14"/>
    <n v="11175.42"/>
    <m/>
    <n v="11175.42"/>
    <x v="4"/>
    <s v="Bangalore"/>
    <s v="B2C"/>
    <n v="1220.32"/>
  </r>
  <r>
    <x v="1462"/>
    <x v="5"/>
    <s v="Bodycon"/>
    <n v="2"/>
    <n v="1904.58"/>
    <n v="3809.16"/>
    <m/>
    <n v="3809.16"/>
    <x v="478"/>
    <s v="Mumbai"/>
    <s v="B2B"/>
    <n v="2090.91"/>
  </r>
  <r>
    <x v="1463"/>
    <x v="2"/>
    <s v="Slip-ons"/>
    <n v="-1"/>
    <m/>
    <n v="0"/>
    <n v="1.1100000000000001"/>
    <n v="0"/>
    <x v="366"/>
    <s v="Pune"/>
    <s v="B2B"/>
    <n v="81.23"/>
  </r>
  <r>
    <x v="1464"/>
    <x v="2"/>
    <s v="Sneakers"/>
    <n v="2"/>
    <m/>
    <n v="0"/>
    <n v="0.14000000000000001"/>
    <n v="0"/>
    <x v="363"/>
    <s v="Bangalore"/>
    <s v="B2C"/>
    <n v="1556.81"/>
  </r>
  <r>
    <x v="1465"/>
    <x v="1"/>
    <s v="Bomber Jacket"/>
    <n v="2"/>
    <m/>
    <n v="0"/>
    <m/>
    <n v="0"/>
    <x v="266"/>
    <s v="Mumbai"/>
    <s v="B2C"/>
    <n v="142.82"/>
  </r>
  <r>
    <x v="1466"/>
    <x v="3"/>
    <s v="Caps"/>
    <n v="4"/>
    <n v="4439.3900000000003"/>
    <n v="17757.560000000001"/>
    <m/>
    <n v="17757.560000000001"/>
    <x v="65"/>
    <s v="Ahmedabad"/>
    <s v="B2C"/>
    <n v="2062.85"/>
  </r>
  <r>
    <x v="1467"/>
    <x v="5"/>
    <s v="Wrap Dress"/>
    <n v="2"/>
    <m/>
    <n v="0"/>
    <n v="0.96"/>
    <n v="0"/>
    <x v="290"/>
    <s v="Pune"/>
    <s v="B2B"/>
    <n v="-369.21"/>
  </r>
  <r>
    <x v="1468"/>
    <x v="4"/>
    <s v="Graphic Tee"/>
    <n v="2"/>
    <m/>
    <n v="0"/>
    <m/>
    <n v="0"/>
    <x v="463"/>
    <s v="Pune"/>
    <s v="B2C"/>
    <n v="516.5"/>
  </r>
  <r>
    <x v="1469"/>
    <x v="0"/>
    <s v="Boyfriend Jeans"/>
    <n v="1"/>
    <n v="2103.54"/>
    <n v="2103.54"/>
    <m/>
    <n v="2103.54"/>
    <x v="301"/>
    <s v="NaviMumbai"/>
    <s v="B2C"/>
    <n v="2871.06"/>
  </r>
  <r>
    <x v="1470"/>
    <x v="1"/>
    <s v="Leather Jacket"/>
    <n v="-2"/>
    <m/>
    <n v="0"/>
    <m/>
    <n v="0"/>
    <x v="222"/>
    <s v="Ahmedabad"/>
    <s v="B2C"/>
    <n v="2082.36"/>
  </r>
  <r>
    <x v="1471"/>
    <x v="1"/>
    <s v="Leather Jacket"/>
    <n v="-2"/>
    <m/>
    <n v="0"/>
    <m/>
    <n v="0"/>
    <x v="76"/>
    <s v="Mumbai"/>
    <s v="B2C"/>
    <n v="-395.34"/>
  </r>
  <r>
    <x v="1472"/>
    <x v="1"/>
    <s v="Bomber Jacket"/>
    <n v="2"/>
    <n v="718.84"/>
    <n v="1437.68"/>
    <n v="0.53"/>
    <n v="675.70960000000002"/>
    <x v="215"/>
    <s v="Ahmedabad"/>
    <s v="B2B"/>
    <n v="528.71"/>
  </r>
  <r>
    <x v="1473"/>
    <x v="2"/>
    <s v="Boots"/>
    <n v="0"/>
    <m/>
    <n v="0"/>
    <m/>
    <n v="0"/>
    <x v="375"/>
    <s v="Pune"/>
    <s v="B2C"/>
    <n v="-194.49"/>
  </r>
  <r>
    <x v="1474"/>
    <x v="4"/>
    <s v="Oversized T-shirt"/>
    <n v="5"/>
    <n v="688.38"/>
    <n v="3441.9"/>
    <m/>
    <n v="3441.9"/>
    <x v="133"/>
    <s v="Bangalore"/>
    <s v="B2C"/>
    <n v="-25.21"/>
  </r>
  <r>
    <x v="1475"/>
    <x v="2"/>
    <s v="Sneakers"/>
    <n v="2"/>
    <m/>
    <n v="0"/>
    <n v="0.68"/>
    <n v="0"/>
    <x v="89"/>
    <s v="Bangalore"/>
    <s v="B2C"/>
    <n v="2466.0100000000002"/>
  </r>
  <r>
    <x v="1476"/>
    <x v="1"/>
    <s v="Bomber Jacket"/>
    <n v="-1"/>
    <m/>
    <n v="0"/>
    <m/>
    <n v="0"/>
    <x v="479"/>
    <s v="Bangalore"/>
    <s v="B2C"/>
    <n v="549.15"/>
  </r>
  <r>
    <x v="1477"/>
    <x v="5"/>
    <s v="Maxi Dress"/>
    <n v="2"/>
    <m/>
    <n v="0"/>
    <n v="0.92"/>
    <n v="0"/>
    <x v="4"/>
    <s v="Ahmedabad"/>
    <s v="B2C"/>
    <n v="452.38"/>
  </r>
  <r>
    <x v="1478"/>
    <x v="2"/>
    <s v="Loafers"/>
    <n v="3"/>
    <m/>
    <n v="0"/>
    <n v="1.1599999999999999"/>
    <n v="0"/>
    <x v="80"/>
    <s v="NaviMumbai"/>
    <s v="B2B"/>
    <n v="1753.67"/>
  </r>
  <r>
    <x v="1479"/>
    <x v="0"/>
    <s v="Slim Fit Jeans"/>
    <n v="2"/>
    <n v="1106.0899999999999"/>
    <n v="2212.1799999999998"/>
    <m/>
    <n v="2212.1799999999998"/>
    <x v="360"/>
    <s v="Delhi"/>
    <s v="B2C"/>
    <n v="1838.39"/>
  </r>
  <r>
    <x v="1480"/>
    <x v="1"/>
    <s v="Puffer Coat"/>
    <n v="-2"/>
    <m/>
    <n v="0"/>
    <m/>
    <n v="0"/>
    <x v="441"/>
    <s v="Delhi"/>
    <s v="B2C"/>
    <n v="2882.47"/>
  </r>
  <r>
    <x v="1481"/>
    <x v="3"/>
    <s v="Watches"/>
    <n v="1"/>
    <n v="3607.5"/>
    <n v="3607.5"/>
    <m/>
    <n v="3607.5"/>
    <x v="395"/>
    <s v="Ahmedabad"/>
    <s v="B2B"/>
    <n v="-341.21"/>
  </r>
  <r>
    <x v="1482"/>
    <x v="1"/>
    <s v="Puffer Coat"/>
    <n v="4"/>
    <n v="2043.67"/>
    <n v="8174.68"/>
    <m/>
    <n v="8174.68"/>
    <x v="258"/>
    <s v="Pune"/>
    <s v="B2C"/>
    <n v="-24.72"/>
  </r>
  <r>
    <x v="1156"/>
    <x v="5"/>
    <s v="Casual Midi"/>
    <n v="-2"/>
    <n v="4638.76"/>
    <n v="-9277.52"/>
    <m/>
    <n v="-9277.52"/>
    <x v="423"/>
    <s v="NaviMumbai"/>
    <s v="B2C"/>
    <n v="379.89"/>
  </r>
  <r>
    <x v="1483"/>
    <x v="3"/>
    <s v="Watches"/>
    <n v="5"/>
    <m/>
    <n v="0"/>
    <n v="0.92"/>
    <n v="0"/>
    <x v="282"/>
    <s v="Delhi"/>
    <s v="B2B"/>
    <n v="765.43"/>
  </r>
  <r>
    <x v="1484"/>
    <x v="5"/>
    <s v="Maxi Dress"/>
    <n v="2"/>
    <m/>
    <n v="0"/>
    <m/>
    <n v="0"/>
    <x v="4"/>
    <s v="Ahmedabad"/>
    <s v="B2B"/>
    <n v="106.21"/>
  </r>
  <r>
    <x v="1485"/>
    <x v="2"/>
    <s v="Loafers"/>
    <n v="2"/>
    <m/>
    <n v="0"/>
    <n v="1"/>
    <n v="0"/>
    <x v="97"/>
    <s v="Mumbai"/>
    <s v="B2B"/>
    <n v="653.4"/>
  </r>
  <r>
    <x v="1486"/>
    <x v="3"/>
    <s v="Sunglasses"/>
    <n v="2"/>
    <n v="1259.22"/>
    <n v="2518.44"/>
    <m/>
    <n v="2518.44"/>
    <x v="176"/>
    <s v="Bangalore"/>
    <s v="B2C"/>
    <n v="120.44"/>
  </r>
  <r>
    <x v="1487"/>
    <x v="5"/>
    <s v="Wrap Dress"/>
    <n v="2"/>
    <m/>
    <n v="0"/>
    <n v="1.2"/>
    <n v="0"/>
    <x v="4"/>
    <s v="Ahmedabad"/>
    <s v="B2B"/>
    <n v="-757.99"/>
  </r>
  <r>
    <x v="1488"/>
    <x v="2"/>
    <s v="Sneakers"/>
    <n v="-1"/>
    <n v="1258.77"/>
    <n v="-1258.77"/>
    <n v="0.71"/>
    <n v="-365.04330000000004"/>
    <x v="351"/>
    <s v="NaviMumbai"/>
    <s v="B2B"/>
    <n v="549.6"/>
  </r>
  <r>
    <x v="1489"/>
    <x v="1"/>
    <s v="Leather Jacket"/>
    <n v="2"/>
    <m/>
    <n v="0"/>
    <m/>
    <n v="0"/>
    <x v="42"/>
    <s v="NaviMumbai"/>
    <s v="B2B"/>
    <n v="1734.31"/>
  </r>
  <r>
    <x v="1490"/>
    <x v="4"/>
    <s v="Graphic Tee"/>
    <n v="2"/>
    <m/>
    <n v="0"/>
    <m/>
    <n v="0"/>
    <x v="272"/>
    <s v="Ahmedabad"/>
    <s v="B2C"/>
    <n v="339.83"/>
  </r>
  <r>
    <x v="1491"/>
    <x v="4"/>
    <s v="Oversized T-shirt"/>
    <n v="2"/>
    <n v="4245.43"/>
    <n v="8490.86"/>
    <m/>
    <n v="8490.86"/>
    <x v="124"/>
    <s v="Bangalore"/>
    <s v="B2B"/>
    <n v="-556.03"/>
  </r>
  <r>
    <x v="1492"/>
    <x v="1"/>
    <s v="Puffer Coat"/>
    <n v="5"/>
    <m/>
    <n v="0"/>
    <m/>
    <n v="0"/>
    <x v="293"/>
    <s v="Pune"/>
    <s v="B2C"/>
    <n v="1995.3"/>
  </r>
  <r>
    <x v="1493"/>
    <x v="5"/>
    <s v="Maxi Dress"/>
    <n v="0"/>
    <m/>
    <n v="0"/>
    <m/>
    <n v="0"/>
    <x v="4"/>
    <s v="Delhi"/>
    <s v="B2C"/>
    <n v="-530.80999999999995"/>
  </r>
  <r>
    <x v="1494"/>
    <x v="1"/>
    <s v="Bomber Jacket"/>
    <n v="2"/>
    <n v="2822.43"/>
    <n v="5644.86"/>
    <n v="1"/>
    <n v="0"/>
    <x v="480"/>
    <s v="Bangalore"/>
    <s v="B2C"/>
    <n v="2522.48"/>
  </r>
  <r>
    <x v="1495"/>
    <x v="0"/>
    <s v="Boyfriend Jeans"/>
    <n v="2"/>
    <m/>
    <n v="0"/>
    <n v="0.53"/>
    <n v="0"/>
    <x v="235"/>
    <s v="Bangalore"/>
    <s v="B2C"/>
    <n v="958.94"/>
  </r>
  <r>
    <x v="1496"/>
    <x v="5"/>
    <s v="Maxi Dress"/>
    <n v="2"/>
    <n v="3625.99"/>
    <n v="7251.98"/>
    <n v="0.93"/>
    <n v="507.6385999999996"/>
    <x v="396"/>
    <s v="Delhi"/>
    <s v="B2C"/>
    <n v="1552.29"/>
  </r>
  <r>
    <x v="1497"/>
    <x v="0"/>
    <s v="Straight Cut"/>
    <n v="4"/>
    <m/>
    <n v="0"/>
    <n v="0.1"/>
    <n v="0"/>
    <x v="481"/>
    <s v="NaviMumbai"/>
    <s v="B2B"/>
    <n v="-862.68"/>
  </r>
  <r>
    <x v="1498"/>
    <x v="1"/>
    <s v="Denim Jacket"/>
    <n v="3"/>
    <m/>
    <n v="0"/>
    <m/>
    <n v="0"/>
    <x v="4"/>
    <s v="Bangalore"/>
    <s v="B2C"/>
    <n v="2802.1"/>
  </r>
  <r>
    <x v="1499"/>
    <x v="0"/>
    <s v="Ripped Denim"/>
    <n v="1"/>
    <n v="1927.87"/>
    <n v="1927.87"/>
    <m/>
    <n v="1927.87"/>
    <x v="255"/>
    <s v="Delhi"/>
    <s v="B2B"/>
    <n v="-876.36"/>
  </r>
  <r>
    <x v="1500"/>
    <x v="2"/>
    <s v="Boots"/>
    <n v="2"/>
    <m/>
    <n v="0"/>
    <n v="0.2"/>
    <n v="0"/>
    <x v="99"/>
    <s v="Pune"/>
    <s v="B2C"/>
    <n v="409.12"/>
  </r>
  <r>
    <x v="1501"/>
    <x v="2"/>
    <s v="Boots"/>
    <n v="6"/>
    <n v="773.28"/>
    <n v="4639.68"/>
    <m/>
    <n v="4639.68"/>
    <x v="225"/>
    <s v="Pune"/>
    <s v="B2C"/>
    <n v="608.25"/>
  </r>
  <r>
    <x v="1502"/>
    <x v="5"/>
    <s v="Maxi Dress"/>
    <n v="2"/>
    <n v="3873.82"/>
    <n v="7747.64"/>
    <n v="0.99"/>
    <n v="77.476400000000069"/>
    <x v="220"/>
    <s v="Delhi"/>
    <s v="B2C"/>
    <n v="2122.44"/>
  </r>
  <r>
    <x v="1503"/>
    <x v="0"/>
    <s v="Straight Cut"/>
    <n v="1"/>
    <n v="2581.19"/>
    <n v="2581.19"/>
    <n v="1.04"/>
    <n v="-103.24760000000009"/>
    <x v="482"/>
    <s v="NaviMumbai"/>
    <s v="B2B"/>
    <n v="2944.11"/>
  </r>
  <r>
    <x v="1504"/>
    <x v="5"/>
    <s v="Wrap Dress"/>
    <n v="2"/>
    <m/>
    <n v="0"/>
    <m/>
    <n v="0"/>
    <x v="293"/>
    <s v="Mumbai"/>
    <s v="B2C"/>
    <n v="140.18"/>
  </r>
  <r>
    <x v="1505"/>
    <x v="5"/>
    <s v="Wrap Dress"/>
    <n v="4"/>
    <n v="2847.02"/>
    <n v="11388.08"/>
    <n v="0.56999999999999995"/>
    <n v="4896.8744000000006"/>
    <x v="434"/>
    <s v="Pune"/>
    <s v="B2C"/>
    <n v="1592.04"/>
  </r>
  <r>
    <x v="1506"/>
    <x v="3"/>
    <s v="Caps"/>
    <n v="2"/>
    <n v="2840.78"/>
    <n v="5681.56"/>
    <m/>
    <n v="5681.56"/>
    <x v="286"/>
    <s v="Pune"/>
    <s v="B2C"/>
    <n v="-836.39"/>
  </r>
  <r>
    <x v="1507"/>
    <x v="4"/>
    <s v="Oversized T-shirt"/>
    <n v="2"/>
    <n v="3539.22"/>
    <n v="7078.44"/>
    <m/>
    <n v="7078.44"/>
    <x v="167"/>
    <s v="Bangalore"/>
    <s v="B2C"/>
    <n v="1991.27"/>
  </r>
  <r>
    <x v="1508"/>
    <x v="1"/>
    <s v="Puffer Coat"/>
    <n v="2"/>
    <n v="3046.11"/>
    <n v="6092.22"/>
    <m/>
    <n v="6092.22"/>
    <x v="238"/>
    <s v="Bangalore"/>
    <s v="B2C"/>
    <n v="-190.66"/>
  </r>
  <r>
    <x v="1509"/>
    <x v="3"/>
    <s v="Belts"/>
    <n v="2"/>
    <m/>
    <n v="0"/>
    <n v="0.94"/>
    <n v="0"/>
    <x v="4"/>
    <s v="Mumbai"/>
    <s v="B2B"/>
    <n v="2853.61"/>
  </r>
  <r>
    <x v="1510"/>
    <x v="2"/>
    <s v="Slip-ons"/>
    <n v="-1"/>
    <n v="4057.33"/>
    <n v="-4057.33"/>
    <n v="1.22"/>
    <n v="892.61259999999993"/>
    <x v="4"/>
    <s v="Bangalore"/>
    <s v="B2C"/>
    <n v="385.15"/>
  </r>
  <r>
    <x v="1511"/>
    <x v="2"/>
    <s v="Sneakers"/>
    <n v="-1"/>
    <m/>
    <n v="0"/>
    <n v="0.02"/>
    <n v="0"/>
    <x v="205"/>
    <s v="Delhi"/>
    <s v="B2C"/>
    <n v="-634.46"/>
  </r>
  <r>
    <x v="1512"/>
    <x v="4"/>
    <s v="Crop Top"/>
    <n v="2"/>
    <n v="419.25"/>
    <n v="838.5"/>
    <m/>
    <n v="838.5"/>
    <x v="4"/>
    <s v="Mumbai"/>
    <s v="B2B"/>
    <n v="1726.68"/>
  </r>
  <r>
    <x v="1513"/>
    <x v="4"/>
    <s v="Oversized T-shirt"/>
    <n v="0"/>
    <m/>
    <n v="0"/>
    <m/>
    <n v="0"/>
    <x v="483"/>
    <s v="Ahmedabad"/>
    <s v="B2C"/>
    <n v="-701.08"/>
  </r>
  <r>
    <x v="1514"/>
    <x v="4"/>
    <s v="Graphic Tee"/>
    <n v="2"/>
    <n v="816.33"/>
    <n v="1632.66"/>
    <m/>
    <n v="1632.66"/>
    <x v="192"/>
    <s v="Mumbai"/>
    <s v="B2C"/>
    <n v="868.11"/>
  </r>
  <r>
    <x v="1515"/>
    <x v="2"/>
    <s v="Sneakers"/>
    <n v="2"/>
    <n v="1863.19"/>
    <n v="3726.38"/>
    <n v="0.01"/>
    <n v="3689.1161999999999"/>
    <x v="4"/>
    <s v="Mumbai"/>
    <s v="B2B"/>
    <n v="-371.04"/>
  </r>
  <r>
    <x v="1516"/>
    <x v="5"/>
    <s v="Maxi Dress"/>
    <n v="2"/>
    <n v="3960.8"/>
    <n v="7921.6"/>
    <n v="0.03"/>
    <n v="7683.9520000000002"/>
    <x v="107"/>
    <s v="Mumbai"/>
    <s v="B2C"/>
    <n v="1266.8800000000001"/>
  </r>
  <r>
    <x v="1517"/>
    <x v="4"/>
    <s v="Classic Tee"/>
    <n v="4"/>
    <n v="687.34"/>
    <n v="2749.36"/>
    <n v="1.21"/>
    <n v="-577.36559999999997"/>
    <x v="125"/>
    <s v="Delhi"/>
    <s v="B2B"/>
    <n v="-234.42"/>
  </r>
  <r>
    <x v="1518"/>
    <x v="3"/>
    <s v="Belts"/>
    <n v="2"/>
    <m/>
    <n v="0"/>
    <m/>
    <n v="0"/>
    <x v="65"/>
    <s v="Delhi"/>
    <s v="B2C"/>
    <n v="782.05"/>
  </r>
  <r>
    <x v="1519"/>
    <x v="0"/>
    <s v="Slim Fit Jeans"/>
    <n v="2"/>
    <m/>
    <n v="0"/>
    <m/>
    <n v="0"/>
    <x v="4"/>
    <s v="Mumbai"/>
    <s v="B2C"/>
    <n v="2685.77"/>
  </r>
  <r>
    <x v="1520"/>
    <x v="2"/>
    <s v="Sneakers"/>
    <n v="2"/>
    <n v="3449.08"/>
    <n v="6898.16"/>
    <n v="1.0900000000000001"/>
    <n v="-620.83440000000053"/>
    <x v="484"/>
    <s v="Bangalore"/>
    <s v="B2C"/>
    <n v="181.11"/>
  </r>
  <r>
    <x v="1521"/>
    <x v="5"/>
    <s v="Casual Midi"/>
    <n v="2"/>
    <m/>
    <n v="0"/>
    <m/>
    <n v="0"/>
    <x v="205"/>
    <s v="NaviMumbai"/>
    <s v="B2C"/>
    <n v="-705.34"/>
  </r>
  <r>
    <x v="1522"/>
    <x v="1"/>
    <s v="Bomber Jacket"/>
    <n v="4"/>
    <m/>
    <n v="0"/>
    <m/>
    <n v="0"/>
    <x v="4"/>
    <s v="Mumbai"/>
    <s v="B2B"/>
    <n v="2989.83"/>
  </r>
  <r>
    <x v="1523"/>
    <x v="0"/>
    <s v="Slim Fit Jeans"/>
    <n v="2"/>
    <n v="799.82"/>
    <n v="1599.64"/>
    <m/>
    <n v="1599.64"/>
    <x v="340"/>
    <s v="NaviMumbai"/>
    <s v="B2C"/>
    <n v="1358.09"/>
  </r>
  <r>
    <x v="1524"/>
    <x v="0"/>
    <s v="Ripped Denim"/>
    <n v="3"/>
    <m/>
    <n v="0"/>
    <m/>
    <n v="0"/>
    <x v="218"/>
    <s v="Delhi"/>
    <s v="B2B"/>
    <n v="404.87"/>
  </r>
  <r>
    <x v="1525"/>
    <x v="1"/>
    <s v="Bomber Jacket"/>
    <n v="3"/>
    <m/>
    <n v="0"/>
    <n v="0.42"/>
    <n v="0"/>
    <x v="357"/>
    <s v="Bangalore"/>
    <s v="B2C"/>
    <n v="379.4"/>
  </r>
  <r>
    <x v="1526"/>
    <x v="4"/>
    <s v="Classic Tee"/>
    <n v="4"/>
    <n v="3501.9"/>
    <n v="14007.6"/>
    <m/>
    <n v="14007.6"/>
    <x v="485"/>
    <s v="NaviMumbai"/>
    <s v="B2C"/>
    <n v="1747.96"/>
  </r>
  <r>
    <x v="1527"/>
    <x v="3"/>
    <s v="Sunglasses"/>
    <n v="2"/>
    <n v="3205.96"/>
    <n v="6411.92"/>
    <m/>
    <n v="6411.92"/>
    <x v="486"/>
    <s v="Mumbai"/>
    <s v="B2B"/>
    <n v="1764.26"/>
  </r>
  <r>
    <x v="1528"/>
    <x v="5"/>
    <s v="Bodycon"/>
    <n v="2"/>
    <n v="2109.08"/>
    <n v="4218.16"/>
    <m/>
    <n v="4218.16"/>
    <x v="80"/>
    <s v="Delhi"/>
    <s v="B2B"/>
    <n v="1633.57"/>
  </r>
  <r>
    <x v="1529"/>
    <x v="4"/>
    <s v="Classic Tee"/>
    <n v="1"/>
    <n v="3574.54"/>
    <n v="3574.54"/>
    <m/>
    <n v="3574.54"/>
    <x v="487"/>
    <s v="Mumbai"/>
    <s v="B2C"/>
    <n v="-305.77"/>
  </r>
  <r>
    <x v="1530"/>
    <x v="2"/>
    <s v="Slip-ons"/>
    <n v="2"/>
    <n v="4896.32"/>
    <n v="9792.64"/>
    <n v="1.26"/>
    <n v="-2546.0864000000001"/>
    <x v="376"/>
    <s v="Delhi"/>
    <s v="B2B"/>
    <n v="2391.23"/>
  </r>
  <r>
    <x v="1531"/>
    <x v="5"/>
    <s v="Bodycon"/>
    <n v="-1"/>
    <n v="4994.07"/>
    <n v="-4994.07"/>
    <m/>
    <n v="-4994.07"/>
    <x v="4"/>
    <s v="NaviMumbai"/>
    <s v="B2C"/>
    <n v="2068.21"/>
  </r>
  <r>
    <x v="1532"/>
    <x v="5"/>
    <s v="Wrap Dress"/>
    <n v="6"/>
    <n v="2319.23"/>
    <n v="13915.380000000001"/>
    <m/>
    <n v="13915.380000000001"/>
    <x v="474"/>
    <s v="Ahmedabad"/>
    <s v="B2C"/>
    <n v="-854.91"/>
  </r>
  <r>
    <x v="1533"/>
    <x v="1"/>
    <s v="Leather Jacket"/>
    <n v="-1"/>
    <n v="1463.64"/>
    <n v="-1463.64"/>
    <m/>
    <n v="-1463.64"/>
    <x v="281"/>
    <s v="NaviMumbai"/>
    <s v="B2C"/>
    <n v="1667.2"/>
  </r>
  <r>
    <x v="1534"/>
    <x v="3"/>
    <s v="Sunglasses"/>
    <n v="6"/>
    <n v="4776.97"/>
    <n v="28661.82"/>
    <m/>
    <n v="28661.82"/>
    <x v="4"/>
    <s v="Ahmedabad"/>
    <s v="B2B"/>
    <n v="727.96"/>
  </r>
  <r>
    <x v="1535"/>
    <x v="5"/>
    <s v="Casual Midi"/>
    <n v="2"/>
    <n v="3617.02"/>
    <n v="7234.04"/>
    <m/>
    <n v="7234.04"/>
    <x v="488"/>
    <s v="NaviMumbai"/>
    <s v="B2C"/>
    <n v="2692.48"/>
  </r>
  <r>
    <x v="1536"/>
    <x v="5"/>
    <s v="Maxi Dress"/>
    <n v="2"/>
    <n v="3347.39"/>
    <n v="6694.78"/>
    <m/>
    <n v="6694.78"/>
    <x v="489"/>
    <s v="Mumbai"/>
    <s v="B2B"/>
    <n v="441.13"/>
  </r>
  <r>
    <x v="1537"/>
    <x v="2"/>
    <s v="Sneakers"/>
    <n v="2"/>
    <n v="2433.4699999999998"/>
    <n v="4866.9399999999996"/>
    <m/>
    <n v="4866.9399999999996"/>
    <x v="269"/>
    <s v="NaviMumbai"/>
    <s v="B2C"/>
    <n v="796.37"/>
  </r>
  <r>
    <x v="1538"/>
    <x v="0"/>
    <s v="Slim Fit Jeans"/>
    <n v="2"/>
    <n v="3633.07"/>
    <n v="7266.14"/>
    <n v="0.22"/>
    <n v="5667.5892000000003"/>
    <x v="458"/>
    <s v="Pune"/>
    <s v="B2B"/>
    <n v="826.86"/>
  </r>
  <r>
    <x v="1539"/>
    <x v="1"/>
    <s v="Puffer Coat"/>
    <n v="2"/>
    <n v="2068.88"/>
    <n v="4137.76"/>
    <m/>
    <n v="4137.76"/>
    <x v="4"/>
    <s v="Bangalore"/>
    <s v="B2C"/>
    <n v="-9.99"/>
  </r>
  <r>
    <x v="1540"/>
    <x v="3"/>
    <s v="Sunglasses"/>
    <n v="-1"/>
    <n v="4626.4399999999996"/>
    <n v="-4626.4399999999996"/>
    <n v="1.1000000000000001"/>
    <n v="462.64400000000035"/>
    <x v="304"/>
    <s v="Ahmedabad"/>
    <s v="B2B"/>
    <n v="1942.23"/>
  </r>
  <r>
    <x v="1541"/>
    <x v="3"/>
    <s v="Sunglasses"/>
    <n v="2"/>
    <n v="1175.25"/>
    <n v="2350.5"/>
    <m/>
    <n v="2350.5"/>
    <x v="4"/>
    <s v="Mumbai"/>
    <s v="B2B"/>
    <n v="854.14"/>
  </r>
  <r>
    <x v="1542"/>
    <x v="3"/>
    <s v="Watches"/>
    <n v="0"/>
    <m/>
    <n v="0"/>
    <n v="0.3"/>
    <n v="0"/>
    <x v="4"/>
    <s v="Pune"/>
    <s v="B2C"/>
    <n v="-882.81"/>
  </r>
  <r>
    <x v="1543"/>
    <x v="2"/>
    <s v="Loafers"/>
    <n v="-1"/>
    <n v="4699.66"/>
    <n v="-4699.66"/>
    <m/>
    <n v="-4699.66"/>
    <x v="4"/>
    <s v="Mumbai"/>
    <s v="B2C"/>
    <n v="2759.92"/>
  </r>
  <r>
    <x v="1544"/>
    <x v="1"/>
    <s v="Puffer Coat"/>
    <n v="5"/>
    <m/>
    <n v="0"/>
    <m/>
    <n v="0"/>
    <x v="4"/>
    <s v="Ahmedabad"/>
    <s v="B2B"/>
    <n v="559.97"/>
  </r>
  <r>
    <x v="1545"/>
    <x v="1"/>
    <s v="Bomber Jacket"/>
    <n v="2"/>
    <n v="756.73"/>
    <n v="1513.46"/>
    <m/>
    <n v="1513.46"/>
    <x v="396"/>
    <s v="Delhi"/>
    <s v="B2C"/>
    <n v="1504.13"/>
  </r>
  <r>
    <x v="1546"/>
    <x v="3"/>
    <s v="Sunglasses"/>
    <n v="2"/>
    <m/>
    <n v="0"/>
    <n v="0.41"/>
    <n v="0"/>
    <x v="206"/>
    <s v="NaviMumbai"/>
    <s v="B2C"/>
    <n v="891.43"/>
  </r>
  <r>
    <x v="1547"/>
    <x v="1"/>
    <s v="Leather Jacket"/>
    <n v="-1"/>
    <m/>
    <n v="0"/>
    <m/>
    <n v="0"/>
    <x v="490"/>
    <s v="Mumbai"/>
    <s v="B2C"/>
    <n v="-479.17"/>
  </r>
  <r>
    <x v="1548"/>
    <x v="2"/>
    <s v="Sneakers"/>
    <n v="2"/>
    <m/>
    <n v="0"/>
    <m/>
    <n v="0"/>
    <x v="4"/>
    <s v="Pune"/>
    <s v="B2B"/>
    <n v="415.71"/>
  </r>
  <r>
    <x v="1549"/>
    <x v="4"/>
    <s v="Crop Top"/>
    <n v="1"/>
    <n v="4482.08"/>
    <n v="4482.08"/>
    <m/>
    <n v="4482.08"/>
    <x v="188"/>
    <s v="Bangalore"/>
    <s v="B2C"/>
    <n v="464.92"/>
  </r>
  <r>
    <x v="1550"/>
    <x v="4"/>
    <s v="Graphic Tee"/>
    <n v="4"/>
    <m/>
    <n v="0"/>
    <n v="0.35"/>
    <n v="0"/>
    <x v="388"/>
    <s v="Delhi"/>
    <s v="B2C"/>
    <n v="2962.69"/>
  </r>
  <r>
    <x v="1551"/>
    <x v="2"/>
    <s v="Sneakers"/>
    <n v="6"/>
    <n v="2355.2800000000002"/>
    <n v="14131.68"/>
    <m/>
    <n v="14131.68"/>
    <x v="474"/>
    <s v="Ahmedabad"/>
    <s v="B2C"/>
    <n v="330.11"/>
  </r>
  <r>
    <x v="1552"/>
    <x v="1"/>
    <s v="Leather Jacket"/>
    <n v="2"/>
    <n v="1263.8399999999999"/>
    <n v="2527.6799999999998"/>
    <m/>
    <n v="2527.6799999999998"/>
    <x v="175"/>
    <s v="NaviMumbai"/>
    <s v="B2B"/>
    <n v="2520.08"/>
  </r>
  <r>
    <x v="1553"/>
    <x v="1"/>
    <s v="Denim Jacket"/>
    <n v="-1"/>
    <m/>
    <n v="0"/>
    <n v="0.78"/>
    <n v="0"/>
    <x v="240"/>
    <s v="NaviMumbai"/>
    <s v="B2B"/>
    <n v="1668.49"/>
  </r>
  <r>
    <x v="1554"/>
    <x v="5"/>
    <s v="Wrap Dress"/>
    <n v="-2"/>
    <n v="3061.98"/>
    <n v="-6123.96"/>
    <m/>
    <n v="-6123.96"/>
    <x v="179"/>
    <s v="Ahmedabad"/>
    <s v="B2C"/>
    <n v="2553.09"/>
  </r>
  <r>
    <x v="1555"/>
    <x v="4"/>
    <s v="Oversized T-shirt"/>
    <n v="0"/>
    <m/>
    <n v="0"/>
    <m/>
    <n v="0"/>
    <x v="32"/>
    <s v="Pune"/>
    <s v="B2B"/>
    <n v="-305.72000000000003"/>
  </r>
  <r>
    <x v="1556"/>
    <x v="1"/>
    <s v="Leather Jacket"/>
    <n v="2"/>
    <m/>
    <n v="0"/>
    <m/>
    <n v="0"/>
    <x v="491"/>
    <s v="Ahmedabad"/>
    <s v="B2C"/>
    <n v="-215"/>
  </r>
  <r>
    <x v="1557"/>
    <x v="5"/>
    <s v="Wrap Dress"/>
    <n v="-2"/>
    <m/>
    <n v="0"/>
    <m/>
    <n v="0"/>
    <x v="91"/>
    <s v="Pune"/>
    <s v="B2B"/>
    <n v="-39.299999999999997"/>
  </r>
  <r>
    <x v="1558"/>
    <x v="2"/>
    <s v="Sneakers"/>
    <n v="-2"/>
    <n v="2714.78"/>
    <n v="-5429.56"/>
    <n v="0.42"/>
    <n v="-3149.1448000000005"/>
    <x v="58"/>
    <s v="Ahmedabad"/>
    <s v="B2B"/>
    <n v="1220.49"/>
  </r>
  <r>
    <x v="1559"/>
    <x v="0"/>
    <s v="Straight Cut"/>
    <n v="2"/>
    <m/>
    <n v="0"/>
    <n v="0.56000000000000005"/>
    <n v="0"/>
    <x v="23"/>
    <s v="Mumbai"/>
    <s v="B2C"/>
    <n v="515.36"/>
  </r>
  <r>
    <x v="1560"/>
    <x v="0"/>
    <s v="Straight Cut"/>
    <n v="1"/>
    <n v="609.05999999999995"/>
    <n v="609.05999999999995"/>
    <n v="0.17"/>
    <n v="505.51979999999992"/>
    <x v="341"/>
    <s v="Ahmedabad"/>
    <s v="B2C"/>
    <n v="110.23"/>
  </r>
  <r>
    <x v="1561"/>
    <x v="4"/>
    <s v="Graphic Tee"/>
    <n v="2"/>
    <m/>
    <n v="0"/>
    <n v="0.87"/>
    <n v="0"/>
    <x v="4"/>
    <s v="NaviMumbai"/>
    <s v="B2C"/>
    <n v="2826.66"/>
  </r>
  <r>
    <x v="1562"/>
    <x v="0"/>
    <s v="Boyfriend Jeans"/>
    <n v="2"/>
    <n v="2293.29"/>
    <n v="4586.58"/>
    <n v="0.4"/>
    <n v="2751.9479999999999"/>
    <x v="4"/>
    <s v="Mumbai"/>
    <s v="B2C"/>
    <n v="1000.06"/>
  </r>
  <r>
    <x v="1563"/>
    <x v="2"/>
    <s v="Loafers"/>
    <n v="2"/>
    <m/>
    <n v="0"/>
    <m/>
    <n v="0"/>
    <x v="492"/>
    <s v="NaviMumbai"/>
    <s v="B2C"/>
    <n v="2076.5300000000002"/>
  </r>
  <r>
    <x v="1564"/>
    <x v="1"/>
    <s v="Bomber Jacket"/>
    <n v="2"/>
    <n v="3895.43"/>
    <n v="7790.86"/>
    <m/>
    <n v="7790.86"/>
    <x v="27"/>
    <s v="Bangalore"/>
    <s v="B2C"/>
    <n v="1316.66"/>
  </r>
  <r>
    <x v="1565"/>
    <x v="4"/>
    <s v="Oversized T-shirt"/>
    <n v="2"/>
    <n v="4154.55"/>
    <n v="8309.1"/>
    <n v="0.95"/>
    <n v="415.45500000000038"/>
    <x v="269"/>
    <s v="Pune"/>
    <s v="B2B"/>
    <n v="-247.99"/>
  </r>
  <r>
    <x v="1566"/>
    <x v="0"/>
    <s v="Boyfriend Jeans"/>
    <n v="-2"/>
    <m/>
    <n v="0"/>
    <m/>
    <n v="0"/>
    <x v="493"/>
    <s v="Delhi"/>
    <s v="B2C"/>
    <n v="1946.1"/>
  </r>
  <r>
    <x v="1567"/>
    <x v="3"/>
    <s v="Caps"/>
    <n v="3"/>
    <n v="1276.26"/>
    <n v="3828.7799999999997"/>
    <n v="0.69"/>
    <n v="1186.9218000000001"/>
    <x v="4"/>
    <s v="Mumbai"/>
    <s v="B2C"/>
    <n v="2446.6999999999998"/>
  </r>
  <r>
    <x v="1568"/>
    <x v="5"/>
    <s v="Casual Midi"/>
    <n v="2"/>
    <m/>
    <n v="0"/>
    <m/>
    <n v="0"/>
    <x v="133"/>
    <s v="NaviMumbai"/>
    <s v="B2C"/>
    <n v="1123.27"/>
  </r>
  <r>
    <x v="1569"/>
    <x v="0"/>
    <s v="Slim Fit Jeans"/>
    <n v="2"/>
    <n v="789.21"/>
    <n v="1578.42"/>
    <m/>
    <n v="1578.42"/>
    <x v="48"/>
    <s v="Ahmedabad"/>
    <s v="B2C"/>
    <n v="1565.56"/>
  </r>
  <r>
    <x v="1570"/>
    <x v="4"/>
    <s v="Classic Tee"/>
    <n v="5"/>
    <n v="3463.37"/>
    <n v="17316.849999999999"/>
    <n v="0.1"/>
    <n v="15585.164999999999"/>
    <x v="4"/>
    <s v="Bangalore"/>
    <s v="B2B"/>
    <n v="-957.03"/>
  </r>
  <r>
    <x v="1571"/>
    <x v="3"/>
    <s v="Sunglasses"/>
    <n v="2"/>
    <m/>
    <n v="0"/>
    <n v="1.07"/>
    <n v="0"/>
    <x v="55"/>
    <s v="NaviMumbai"/>
    <s v="B2C"/>
    <n v="-927.74"/>
  </r>
  <r>
    <x v="1572"/>
    <x v="2"/>
    <s v="Slip-ons"/>
    <n v="0"/>
    <n v="3256.31"/>
    <n v="0"/>
    <m/>
    <n v="0"/>
    <x v="323"/>
    <s v="Delhi"/>
    <s v="B2C"/>
    <n v="2266.79"/>
  </r>
  <r>
    <x v="1573"/>
    <x v="2"/>
    <s v="Slip-ons"/>
    <n v="2"/>
    <m/>
    <n v="0"/>
    <n v="0.54"/>
    <n v="0"/>
    <x v="494"/>
    <s v="Delhi"/>
    <s v="B2B"/>
    <n v="1613.88"/>
  </r>
  <r>
    <x v="1574"/>
    <x v="1"/>
    <s v="Denim Jacket"/>
    <n v="2"/>
    <n v="4784.03"/>
    <n v="9568.06"/>
    <m/>
    <n v="9568.06"/>
    <x v="133"/>
    <s v="NaviMumbai"/>
    <s v="B2C"/>
    <n v="176.96"/>
  </r>
  <r>
    <x v="381"/>
    <x v="4"/>
    <s v="Crop Top"/>
    <n v="2"/>
    <n v="4965.93"/>
    <n v="9931.86"/>
    <m/>
    <n v="9931.86"/>
    <x v="4"/>
    <s v="Pune"/>
    <s v="B2C"/>
    <n v="1406.72"/>
  </r>
  <r>
    <x v="1575"/>
    <x v="5"/>
    <s v="Maxi Dress"/>
    <n v="4"/>
    <n v="736.36"/>
    <n v="2945.44"/>
    <n v="0.83"/>
    <n v="500.72480000000013"/>
    <x v="4"/>
    <s v="Mumbai"/>
    <s v="B2C"/>
    <n v="2463.6799999999998"/>
  </r>
  <r>
    <x v="1576"/>
    <x v="0"/>
    <s v="Straight Cut"/>
    <n v="2"/>
    <m/>
    <n v="0"/>
    <n v="0.37"/>
    <n v="0"/>
    <x v="4"/>
    <s v="Pune"/>
    <s v="B2C"/>
    <n v="580.23"/>
  </r>
  <r>
    <x v="1577"/>
    <x v="5"/>
    <s v="Maxi Dress"/>
    <n v="2"/>
    <n v="2469.67"/>
    <n v="4939.34"/>
    <n v="1.07"/>
    <n v="-345.7538000000003"/>
    <x v="475"/>
    <s v="Mumbai"/>
    <s v="B2B"/>
    <n v="802.05"/>
  </r>
  <r>
    <x v="1578"/>
    <x v="0"/>
    <s v="Slim Fit Jeans"/>
    <n v="2"/>
    <n v="2538.5700000000002"/>
    <n v="5077.1400000000003"/>
    <m/>
    <n v="5077.1400000000003"/>
    <x v="393"/>
    <s v="NaviMumbai"/>
    <s v="B2C"/>
    <n v="342.21"/>
  </r>
  <r>
    <x v="1579"/>
    <x v="1"/>
    <s v="Puffer Coat"/>
    <n v="2"/>
    <m/>
    <n v="0"/>
    <m/>
    <n v="0"/>
    <x v="4"/>
    <s v="Bangalore"/>
    <s v="B2B"/>
    <n v="538.11"/>
  </r>
  <r>
    <x v="1580"/>
    <x v="1"/>
    <s v="Denim Jacket"/>
    <n v="-2"/>
    <n v="4412.21"/>
    <n v="-8824.42"/>
    <m/>
    <n v="-8824.42"/>
    <x v="4"/>
    <s v="Bangalore"/>
    <s v="B2C"/>
    <n v="2917.18"/>
  </r>
  <r>
    <x v="1581"/>
    <x v="2"/>
    <s v="Sneakers"/>
    <n v="2"/>
    <m/>
    <n v="0"/>
    <n v="0.23"/>
    <n v="0"/>
    <x v="322"/>
    <s v="NaviMumbai"/>
    <s v="B2C"/>
    <n v="2293.29"/>
  </r>
  <r>
    <x v="1582"/>
    <x v="2"/>
    <s v="Boots"/>
    <n v="5"/>
    <n v="4832.16"/>
    <n v="24160.799999999999"/>
    <m/>
    <n v="24160.799999999999"/>
    <x v="53"/>
    <s v="Pune"/>
    <s v="B2B"/>
    <n v="1707.66"/>
  </r>
  <r>
    <x v="1583"/>
    <x v="0"/>
    <s v="Ripped Denim"/>
    <n v="1"/>
    <m/>
    <n v="0"/>
    <n v="0.28000000000000003"/>
    <n v="0"/>
    <x v="188"/>
    <s v="Bangalore"/>
    <s v="B2B"/>
    <n v="2556.02"/>
  </r>
  <r>
    <x v="1584"/>
    <x v="3"/>
    <s v="Watches"/>
    <n v="2"/>
    <m/>
    <n v="0"/>
    <m/>
    <n v="0"/>
    <x v="300"/>
    <s v="Ahmedabad"/>
    <s v="B2C"/>
    <n v="48.87"/>
  </r>
  <r>
    <x v="1585"/>
    <x v="4"/>
    <s v="Crop Top"/>
    <n v="5"/>
    <n v="4403.84"/>
    <n v="22019.200000000001"/>
    <m/>
    <n v="22019.200000000001"/>
    <x v="4"/>
    <s v="Mumbai"/>
    <s v="B2C"/>
    <n v="-513.19000000000005"/>
  </r>
  <r>
    <x v="1586"/>
    <x v="2"/>
    <s v="Boots"/>
    <n v="-1"/>
    <n v="2171.2199999999998"/>
    <n v="-2171.2199999999998"/>
    <m/>
    <n v="-2171.2199999999998"/>
    <x v="183"/>
    <s v="Bangalore"/>
    <s v="B2B"/>
    <n v="2595.2199999999998"/>
  </r>
  <r>
    <x v="1587"/>
    <x v="5"/>
    <s v="Casual Midi"/>
    <n v="1"/>
    <n v="1636.26"/>
    <n v="1636.26"/>
    <n v="0.94"/>
    <n v="98.175600000000088"/>
    <x v="123"/>
    <s v="NaviMumbai"/>
    <s v="B2C"/>
    <n v="615.80999999999995"/>
  </r>
  <r>
    <x v="1588"/>
    <x v="0"/>
    <s v="Straight Cut"/>
    <n v="2"/>
    <n v="806.81"/>
    <n v="1613.62"/>
    <n v="0.11"/>
    <n v="1436.1217999999999"/>
    <x v="495"/>
    <s v="Pune"/>
    <s v="B2C"/>
    <n v="634.66"/>
  </r>
  <r>
    <x v="1589"/>
    <x v="1"/>
    <s v="Puffer Coat"/>
    <n v="2"/>
    <n v="2289.9299999999998"/>
    <n v="4579.8599999999997"/>
    <n v="1.2"/>
    <n v="-915.97199999999975"/>
    <x v="88"/>
    <s v="Bangalore"/>
    <s v="B2B"/>
    <n v="183.34"/>
  </r>
  <r>
    <x v="1590"/>
    <x v="1"/>
    <s v="Puffer Coat"/>
    <n v="2"/>
    <n v="3352.88"/>
    <n v="6705.76"/>
    <m/>
    <n v="6705.76"/>
    <x v="496"/>
    <s v="Mumbai"/>
    <s v="B2B"/>
    <n v="2684.88"/>
  </r>
  <r>
    <x v="1591"/>
    <x v="1"/>
    <s v="Puffer Coat"/>
    <n v="2"/>
    <m/>
    <n v="0"/>
    <m/>
    <n v="0"/>
    <x v="4"/>
    <s v="Delhi"/>
    <s v="B2C"/>
    <n v="641.89"/>
  </r>
  <r>
    <x v="1592"/>
    <x v="4"/>
    <s v="Oversized T-shirt"/>
    <n v="5"/>
    <n v="1606.99"/>
    <n v="8034.95"/>
    <m/>
    <n v="8034.95"/>
    <x v="454"/>
    <s v="Ahmedabad"/>
    <s v="B2C"/>
    <n v="1743.11"/>
  </r>
  <r>
    <x v="1593"/>
    <x v="5"/>
    <s v="Wrap Dress"/>
    <n v="-2"/>
    <m/>
    <n v="0"/>
    <n v="1.05"/>
    <n v="0"/>
    <x v="312"/>
    <s v="Pune"/>
    <s v="B2B"/>
    <n v="2391.6999999999998"/>
  </r>
  <r>
    <x v="1594"/>
    <x v="3"/>
    <s v="Watches"/>
    <n v="2"/>
    <n v="2672.64"/>
    <n v="5345.28"/>
    <m/>
    <n v="5345.28"/>
    <x v="279"/>
    <s v="Bangalore"/>
    <s v="B2B"/>
    <n v="1142.44"/>
  </r>
  <r>
    <x v="1595"/>
    <x v="4"/>
    <s v="Graphic Tee"/>
    <n v="2"/>
    <n v="2438.16"/>
    <n v="4876.32"/>
    <m/>
    <n v="4876.32"/>
    <x v="105"/>
    <s v="Pune"/>
    <s v="B2B"/>
    <n v="161.35"/>
  </r>
  <r>
    <x v="1596"/>
    <x v="2"/>
    <s v="Sneakers"/>
    <n v="2"/>
    <n v="4530.28"/>
    <n v="9060.56"/>
    <n v="0.67"/>
    <n v="2989.9847999999993"/>
    <x v="193"/>
    <s v="Ahmedabad"/>
    <s v="B2B"/>
    <n v="2891.77"/>
  </r>
  <r>
    <x v="1597"/>
    <x v="4"/>
    <s v="Classic Tee"/>
    <n v="2"/>
    <m/>
    <n v="0"/>
    <m/>
    <n v="0"/>
    <x v="401"/>
    <s v="Mumbai"/>
    <s v="B2B"/>
    <n v="1644.18"/>
  </r>
  <r>
    <x v="1598"/>
    <x v="4"/>
    <s v="Graphic Tee"/>
    <n v="5"/>
    <m/>
    <n v="0"/>
    <n v="0.24"/>
    <n v="0"/>
    <x v="270"/>
    <s v="Pune"/>
    <s v="B2B"/>
    <n v="2858.08"/>
  </r>
  <r>
    <x v="1599"/>
    <x v="5"/>
    <s v="Maxi Dress"/>
    <n v="2"/>
    <m/>
    <n v="0"/>
    <m/>
    <n v="0"/>
    <x v="112"/>
    <s v="Mumbai"/>
    <s v="B2C"/>
    <n v="-151.75"/>
  </r>
  <r>
    <x v="1600"/>
    <x v="2"/>
    <s v="Boots"/>
    <n v="2"/>
    <m/>
    <n v="0"/>
    <n v="0.95"/>
    <n v="0"/>
    <x v="497"/>
    <s v="Ahmedabad"/>
    <s v="B2C"/>
    <n v="-850.68"/>
  </r>
  <r>
    <x v="1601"/>
    <x v="0"/>
    <s v="Straight Cut"/>
    <n v="2"/>
    <m/>
    <n v="0"/>
    <m/>
    <n v="0"/>
    <x v="4"/>
    <s v="Ahmedabad"/>
    <s v="B2C"/>
    <n v="1443.87"/>
  </r>
  <r>
    <x v="1602"/>
    <x v="2"/>
    <s v="Loafers"/>
    <n v="2"/>
    <n v="3415.9"/>
    <n v="6831.8"/>
    <m/>
    <n v="6831.8"/>
    <x v="9"/>
    <s v="Mumbai"/>
    <s v="B2C"/>
    <n v="25.83"/>
  </r>
  <r>
    <x v="1603"/>
    <x v="2"/>
    <s v="Loafers"/>
    <n v="4"/>
    <m/>
    <n v="0"/>
    <n v="1.1399999999999999"/>
    <n v="0"/>
    <x v="454"/>
    <s v="Delhi"/>
    <s v="B2B"/>
    <n v="2237.85"/>
  </r>
  <r>
    <x v="1242"/>
    <x v="4"/>
    <s v="Oversized T-shirt"/>
    <n v="2"/>
    <n v="2705.13"/>
    <n v="5410.26"/>
    <m/>
    <n v="5410.26"/>
    <x v="498"/>
    <s v="Delhi"/>
    <s v="B2C"/>
    <n v="1133.53"/>
  </r>
  <r>
    <x v="1604"/>
    <x v="5"/>
    <s v="Bodycon"/>
    <n v="2"/>
    <m/>
    <n v="0"/>
    <m/>
    <n v="0"/>
    <x v="499"/>
    <s v="Pune"/>
    <s v="B2C"/>
    <n v="1224.3499999999999"/>
  </r>
  <r>
    <x v="1605"/>
    <x v="3"/>
    <s v="Caps"/>
    <n v="-1"/>
    <m/>
    <n v="0"/>
    <n v="0.99"/>
    <n v="0"/>
    <x v="93"/>
    <s v="Ahmedabad"/>
    <s v="B2C"/>
    <n v="559.1"/>
  </r>
  <r>
    <x v="1606"/>
    <x v="5"/>
    <s v="Maxi Dress"/>
    <n v="2"/>
    <m/>
    <n v="0"/>
    <m/>
    <n v="0"/>
    <x v="500"/>
    <s v="Mumbai"/>
    <s v="B2B"/>
    <n v="1271.1199999999999"/>
  </r>
  <r>
    <x v="1607"/>
    <x v="4"/>
    <s v="Crop Top"/>
    <n v="2"/>
    <n v="4932.25"/>
    <n v="9864.5"/>
    <m/>
    <n v="9864.5"/>
    <x v="365"/>
    <s v="Bangalore"/>
    <s v="B2C"/>
    <n v="742.42"/>
  </r>
  <r>
    <x v="1608"/>
    <x v="5"/>
    <s v="Wrap Dress"/>
    <n v="-2"/>
    <m/>
    <n v="0"/>
    <m/>
    <n v="0"/>
    <x v="101"/>
    <s v="Mumbai"/>
    <s v="B2C"/>
    <n v="87.54"/>
  </r>
  <r>
    <x v="1609"/>
    <x v="0"/>
    <s v="Straight Cut"/>
    <n v="2"/>
    <m/>
    <n v="0"/>
    <m/>
    <n v="0"/>
    <x v="501"/>
    <s v="Delhi"/>
    <s v="B2B"/>
    <n v="2466.4299999999998"/>
  </r>
  <r>
    <x v="1610"/>
    <x v="5"/>
    <s v="Bodycon"/>
    <n v="2"/>
    <m/>
    <n v="0"/>
    <m/>
    <n v="0"/>
    <x v="306"/>
    <s v="NaviMumbai"/>
    <s v="B2C"/>
    <n v="1765.52"/>
  </r>
  <r>
    <x v="1611"/>
    <x v="2"/>
    <s v="Loafers"/>
    <n v="2"/>
    <n v="856.83"/>
    <n v="1713.66"/>
    <m/>
    <n v="1713.66"/>
    <x v="281"/>
    <s v="Ahmedabad"/>
    <s v="B2C"/>
    <n v="1369.89"/>
  </r>
  <r>
    <x v="1612"/>
    <x v="3"/>
    <s v="Watches"/>
    <n v="2"/>
    <n v="1753.02"/>
    <n v="3506.04"/>
    <n v="0.23"/>
    <n v="2699.6507999999999"/>
    <x v="423"/>
    <s v="Pune"/>
    <s v="B2C"/>
    <n v="-766.47"/>
  </r>
  <r>
    <x v="1613"/>
    <x v="2"/>
    <s v="Loafers"/>
    <n v="3"/>
    <n v="4127.32"/>
    <n v="12381.96"/>
    <m/>
    <n v="12381.96"/>
    <x v="4"/>
    <s v="Pune"/>
    <s v="B2B"/>
    <n v="989.17"/>
  </r>
  <r>
    <x v="1614"/>
    <x v="3"/>
    <s v="Caps"/>
    <n v="-1"/>
    <m/>
    <n v="0"/>
    <n v="0.87"/>
    <n v="0"/>
    <x v="485"/>
    <s v="Pune"/>
    <s v="B2B"/>
    <n v="300.47000000000003"/>
  </r>
  <r>
    <x v="1615"/>
    <x v="3"/>
    <s v="Watches"/>
    <n v="-2"/>
    <m/>
    <n v="0"/>
    <n v="0.96"/>
    <n v="0"/>
    <x v="4"/>
    <s v="NaviMumbai"/>
    <s v="B2B"/>
    <n v="2065.7399999999998"/>
  </r>
  <r>
    <x v="1616"/>
    <x v="2"/>
    <s v="Boots"/>
    <n v="2"/>
    <m/>
    <n v="0"/>
    <m/>
    <n v="0"/>
    <x v="347"/>
    <s v="Pune"/>
    <s v="B2C"/>
    <n v="461.83"/>
  </r>
  <r>
    <x v="1617"/>
    <x v="5"/>
    <s v="Wrap Dress"/>
    <n v="3"/>
    <n v="1006.98"/>
    <n v="3020.94"/>
    <m/>
    <n v="3020.94"/>
    <x v="271"/>
    <s v="Mumbai"/>
    <s v="B2B"/>
    <n v="1576.71"/>
  </r>
  <r>
    <x v="1618"/>
    <x v="1"/>
    <s v="Leather Jacket"/>
    <n v="2"/>
    <m/>
    <n v="0"/>
    <n v="0.72"/>
    <n v="0"/>
    <x v="4"/>
    <s v="Delhi"/>
    <s v="B2B"/>
    <n v="1326.41"/>
  </r>
  <r>
    <x v="1619"/>
    <x v="1"/>
    <s v="Leather Jacket"/>
    <n v="6"/>
    <n v="2012.14"/>
    <n v="12072.84"/>
    <m/>
    <n v="12072.84"/>
    <x v="388"/>
    <s v="Delhi"/>
    <s v="B2B"/>
    <n v="3.53"/>
  </r>
  <r>
    <x v="1620"/>
    <x v="2"/>
    <s v="Sneakers"/>
    <n v="-1"/>
    <n v="4947.96"/>
    <n v="-4947.96"/>
    <m/>
    <n v="-4947.96"/>
    <x v="4"/>
    <s v="Pune"/>
    <s v="B2C"/>
    <n v="1245.6099999999999"/>
  </r>
  <r>
    <x v="1621"/>
    <x v="1"/>
    <s v="Leather Jacket"/>
    <n v="6"/>
    <n v="4720.2299999999996"/>
    <n v="28321.379999999997"/>
    <n v="0.69"/>
    <n v="8779.6278000000002"/>
    <x v="264"/>
    <s v="Ahmedabad"/>
    <s v="B2B"/>
    <n v="2243.09"/>
  </r>
  <r>
    <x v="1622"/>
    <x v="5"/>
    <s v="Bodycon"/>
    <n v="6"/>
    <m/>
    <n v="0"/>
    <m/>
    <n v="0"/>
    <x v="110"/>
    <s v="Delhi"/>
    <s v="B2B"/>
    <n v="-151.61000000000001"/>
  </r>
  <r>
    <x v="1623"/>
    <x v="1"/>
    <s v="Bomber Jacket"/>
    <n v="-1"/>
    <n v="1043.58"/>
    <n v="-1043.58"/>
    <m/>
    <n v="-1043.58"/>
    <x v="35"/>
    <s v="NaviMumbai"/>
    <s v="B2B"/>
    <n v="1206.72"/>
  </r>
  <r>
    <x v="1624"/>
    <x v="1"/>
    <s v="Bomber Jacket"/>
    <n v="2"/>
    <m/>
    <n v="0"/>
    <n v="0.53"/>
    <n v="0"/>
    <x v="89"/>
    <s v="Bangalore"/>
    <s v="B2B"/>
    <n v="2911.37"/>
  </r>
  <r>
    <x v="1625"/>
    <x v="0"/>
    <s v="Slim Fit Jeans"/>
    <n v="2"/>
    <m/>
    <n v="0"/>
    <m/>
    <n v="0"/>
    <x v="502"/>
    <s v="Mumbai"/>
    <s v="B2C"/>
    <n v="2044.35"/>
  </r>
  <r>
    <x v="1626"/>
    <x v="3"/>
    <s v="Sunglasses"/>
    <n v="2"/>
    <m/>
    <n v="0"/>
    <n v="0.98"/>
    <n v="0"/>
    <x v="503"/>
    <s v="Ahmedabad"/>
    <s v="B2B"/>
    <n v="1141.67"/>
  </r>
  <r>
    <x v="1627"/>
    <x v="0"/>
    <s v="Boyfriend Jeans"/>
    <n v="6"/>
    <m/>
    <n v="0"/>
    <m/>
    <n v="0"/>
    <x v="63"/>
    <s v="Delhi"/>
    <s v="B2C"/>
    <n v="2299.84"/>
  </r>
  <r>
    <x v="1628"/>
    <x v="3"/>
    <s v="Belts"/>
    <n v="5"/>
    <m/>
    <n v="0"/>
    <m/>
    <n v="0"/>
    <x v="448"/>
    <s v="NaviMumbai"/>
    <s v="B2B"/>
    <n v="-102.81"/>
  </r>
  <r>
    <x v="1629"/>
    <x v="0"/>
    <s v="Straight Cut"/>
    <n v="2"/>
    <n v="4899.84"/>
    <n v="9799.68"/>
    <m/>
    <n v="9799.68"/>
    <x v="125"/>
    <s v="Ahmedabad"/>
    <s v="B2C"/>
    <n v="1775.2"/>
  </r>
  <r>
    <x v="1630"/>
    <x v="3"/>
    <s v="Sunglasses"/>
    <n v="3"/>
    <n v="3838.55"/>
    <n v="11515.650000000001"/>
    <n v="0.91"/>
    <n v="1036.4084999999998"/>
    <x v="504"/>
    <s v="Pune"/>
    <s v="B2C"/>
    <n v="2380.44"/>
  </r>
  <r>
    <x v="1631"/>
    <x v="2"/>
    <s v="Slip-ons"/>
    <n v="2"/>
    <m/>
    <n v="0"/>
    <m/>
    <n v="0"/>
    <x v="39"/>
    <s v="Bangalore"/>
    <s v="B2C"/>
    <n v="2003.15"/>
  </r>
  <r>
    <x v="1632"/>
    <x v="1"/>
    <s v="Puffer Coat"/>
    <n v="2"/>
    <n v="1640.04"/>
    <n v="3280.08"/>
    <m/>
    <n v="3280.08"/>
    <x v="127"/>
    <s v="Bangalore"/>
    <s v="B2C"/>
    <n v="288.44"/>
  </r>
  <r>
    <x v="1633"/>
    <x v="0"/>
    <s v="Boyfriend Jeans"/>
    <n v="2"/>
    <m/>
    <n v="0"/>
    <m/>
    <n v="0"/>
    <x v="4"/>
    <s v="Ahmedabad"/>
    <s v="B2C"/>
    <n v="1472.41"/>
  </r>
  <r>
    <x v="1634"/>
    <x v="4"/>
    <s v="Oversized T-shirt"/>
    <n v="2"/>
    <m/>
    <n v="0"/>
    <n v="0.03"/>
    <n v="0"/>
    <x v="505"/>
    <s v="Pune"/>
    <s v="B2B"/>
    <n v="-327.41000000000003"/>
  </r>
  <r>
    <x v="1635"/>
    <x v="2"/>
    <s v="Slip-ons"/>
    <n v="6"/>
    <m/>
    <n v="0"/>
    <n v="0.31"/>
    <n v="0"/>
    <x v="152"/>
    <s v="NaviMumbai"/>
    <s v="B2B"/>
    <n v="250.85"/>
  </r>
  <r>
    <x v="1636"/>
    <x v="3"/>
    <s v="Caps"/>
    <n v="4"/>
    <m/>
    <n v="0"/>
    <m/>
    <n v="0"/>
    <x v="4"/>
    <s v="Delhi"/>
    <s v="B2C"/>
    <n v="-630.72"/>
  </r>
  <r>
    <x v="1637"/>
    <x v="2"/>
    <s v="Sneakers"/>
    <n v="2"/>
    <m/>
    <n v="0"/>
    <m/>
    <n v="0"/>
    <x v="381"/>
    <s v="Ahmedabad"/>
    <s v="B2C"/>
    <n v="1096.6099999999999"/>
  </r>
  <r>
    <x v="1638"/>
    <x v="5"/>
    <s v="Casual Midi"/>
    <n v="2"/>
    <n v="3863.95"/>
    <n v="7727.9"/>
    <n v="0.9"/>
    <n v="772.78999999999974"/>
    <x v="4"/>
    <s v="Pune"/>
    <s v="B2C"/>
    <n v="1784.65"/>
  </r>
  <r>
    <x v="1639"/>
    <x v="0"/>
    <s v="Ripped Denim"/>
    <n v="2"/>
    <n v="3726.31"/>
    <n v="7452.62"/>
    <m/>
    <n v="7452.62"/>
    <x v="4"/>
    <s v="Mumbai"/>
    <s v="B2C"/>
    <n v="1524.78"/>
  </r>
  <r>
    <x v="1640"/>
    <x v="4"/>
    <s v="Classic Tee"/>
    <n v="2"/>
    <n v="1059.0899999999999"/>
    <n v="2118.1799999999998"/>
    <n v="1.24"/>
    <n v="-508.36319999999995"/>
    <x v="17"/>
    <s v="Delhi"/>
    <s v="B2C"/>
    <n v="-521.41"/>
  </r>
  <r>
    <x v="1641"/>
    <x v="4"/>
    <s v="Graphic Tee"/>
    <n v="2"/>
    <m/>
    <n v="0"/>
    <m/>
    <n v="0"/>
    <x v="4"/>
    <s v="NaviMumbai"/>
    <s v="B2C"/>
    <n v="1006.1"/>
  </r>
  <r>
    <x v="1642"/>
    <x v="5"/>
    <s v="Casual Midi"/>
    <n v="2"/>
    <m/>
    <n v="0"/>
    <m/>
    <n v="0"/>
    <x v="142"/>
    <s v="Ahmedabad"/>
    <s v="B2B"/>
    <n v="1249.5899999999999"/>
  </r>
  <r>
    <x v="1643"/>
    <x v="4"/>
    <s v="Crop Top"/>
    <n v="-1"/>
    <n v="2718.51"/>
    <n v="-2718.51"/>
    <m/>
    <n v="-2718.51"/>
    <x v="221"/>
    <s v="Pune"/>
    <s v="B2C"/>
    <n v="903.59"/>
  </r>
  <r>
    <x v="1644"/>
    <x v="3"/>
    <s v="Sunglasses"/>
    <n v="-2"/>
    <n v="2212.25"/>
    <n v="-4424.5"/>
    <n v="0.35"/>
    <n v="-2875.9250000000002"/>
    <x v="91"/>
    <s v="Mumbai"/>
    <s v="B2C"/>
    <n v="2992.12"/>
  </r>
  <r>
    <x v="1645"/>
    <x v="2"/>
    <s v="Boots"/>
    <n v="2"/>
    <m/>
    <n v="0"/>
    <m/>
    <n v="0"/>
    <x v="506"/>
    <s v="NaviMumbai"/>
    <s v="B2C"/>
    <n v="-338.97"/>
  </r>
  <r>
    <x v="1646"/>
    <x v="1"/>
    <s v="Denim Jacket"/>
    <n v="3"/>
    <m/>
    <n v="0"/>
    <m/>
    <n v="0"/>
    <x v="246"/>
    <s v="Pune"/>
    <s v="B2C"/>
    <n v="122"/>
  </r>
  <r>
    <x v="1647"/>
    <x v="5"/>
    <s v="Wrap Dress"/>
    <n v="2"/>
    <m/>
    <n v="0"/>
    <m/>
    <n v="0"/>
    <x v="4"/>
    <s v="Pune"/>
    <s v="B2B"/>
    <n v="1989.64"/>
  </r>
  <r>
    <x v="1648"/>
    <x v="4"/>
    <s v="Graphic Tee"/>
    <n v="1"/>
    <n v="4710.7700000000004"/>
    <n v="4710.7700000000004"/>
    <m/>
    <n v="4710.7700000000004"/>
    <x v="4"/>
    <s v="Ahmedabad"/>
    <s v="B2B"/>
    <n v="2520.0500000000002"/>
  </r>
  <r>
    <x v="1649"/>
    <x v="4"/>
    <s v="Classic Tee"/>
    <n v="1"/>
    <m/>
    <n v="0"/>
    <n v="0.64"/>
    <n v="0"/>
    <x v="289"/>
    <s v="Ahmedabad"/>
    <s v="B2C"/>
    <n v="-3.95"/>
  </r>
  <r>
    <x v="1650"/>
    <x v="4"/>
    <s v="Graphic Tee"/>
    <n v="-1"/>
    <m/>
    <n v="0"/>
    <m/>
    <n v="0"/>
    <x v="153"/>
    <s v="Pune"/>
    <s v="B2C"/>
    <n v="-760.17"/>
  </r>
  <r>
    <x v="1651"/>
    <x v="4"/>
    <s v="Graphic Tee"/>
    <n v="2"/>
    <m/>
    <n v="0"/>
    <m/>
    <n v="0"/>
    <x v="190"/>
    <s v="Pune"/>
    <s v="B2C"/>
    <n v="775.45"/>
  </r>
  <r>
    <x v="1652"/>
    <x v="3"/>
    <s v="Caps"/>
    <n v="2"/>
    <n v="2377.81"/>
    <n v="4755.62"/>
    <n v="0.56999999999999995"/>
    <n v="2044.9166000000002"/>
    <x v="4"/>
    <s v="Mumbai"/>
    <s v="B2B"/>
    <n v="1967.3"/>
  </r>
  <r>
    <x v="1653"/>
    <x v="5"/>
    <s v="Maxi Dress"/>
    <n v="2"/>
    <m/>
    <n v="0"/>
    <m/>
    <n v="0"/>
    <x v="413"/>
    <s v="Ahmedabad"/>
    <s v="B2C"/>
    <n v="2344.12"/>
  </r>
  <r>
    <x v="1654"/>
    <x v="3"/>
    <s v="Belts"/>
    <n v="2"/>
    <m/>
    <n v="0"/>
    <m/>
    <n v="0"/>
    <x v="4"/>
    <s v="Bangalore"/>
    <s v="B2B"/>
    <n v="2493.87"/>
  </r>
  <r>
    <x v="1655"/>
    <x v="4"/>
    <s v="Classic Tee"/>
    <n v="2"/>
    <n v="1261.5899999999999"/>
    <n v="2523.1799999999998"/>
    <m/>
    <n v="2523.1799999999998"/>
    <x v="494"/>
    <s v="Mumbai"/>
    <s v="B2B"/>
    <n v="534.09"/>
  </r>
  <r>
    <x v="1656"/>
    <x v="2"/>
    <s v="Loafers"/>
    <n v="1"/>
    <m/>
    <n v="0"/>
    <n v="0.83"/>
    <n v="0"/>
    <x v="504"/>
    <s v="Mumbai"/>
    <s v="B2C"/>
    <n v="2164.08"/>
  </r>
  <r>
    <x v="1657"/>
    <x v="0"/>
    <s v="Boyfriend Jeans"/>
    <n v="2"/>
    <m/>
    <n v="0"/>
    <m/>
    <n v="0"/>
    <x v="209"/>
    <s v="Delhi"/>
    <s v="B2B"/>
    <n v="2219.4899999999998"/>
  </r>
  <r>
    <x v="1658"/>
    <x v="2"/>
    <s v="Slip-ons"/>
    <n v="5"/>
    <n v="1727.66"/>
    <n v="8638.3000000000011"/>
    <n v="1.24"/>
    <n v="-2073.192"/>
    <x v="238"/>
    <s v="Pune"/>
    <s v="B2B"/>
    <n v="-546.05999999999995"/>
  </r>
  <r>
    <x v="1659"/>
    <x v="5"/>
    <s v="Wrap Dress"/>
    <n v="-2"/>
    <m/>
    <n v="0"/>
    <n v="0.51"/>
    <n v="0"/>
    <x v="157"/>
    <s v="NaviMumbai"/>
    <s v="B2C"/>
    <n v="-333.97"/>
  </r>
  <r>
    <x v="1660"/>
    <x v="3"/>
    <s v="Watches"/>
    <n v="2"/>
    <n v="2514.6999999999998"/>
    <n v="5029.3999999999996"/>
    <m/>
    <n v="5029.3999999999996"/>
    <x v="507"/>
    <s v="NaviMumbai"/>
    <s v="B2C"/>
    <n v="2652.58"/>
  </r>
  <r>
    <x v="1661"/>
    <x v="2"/>
    <s v="Slip-ons"/>
    <n v="6"/>
    <m/>
    <n v="0"/>
    <m/>
    <n v="0"/>
    <x v="4"/>
    <s v="Delhi"/>
    <s v="B2C"/>
    <n v="-963.81"/>
  </r>
  <r>
    <x v="1662"/>
    <x v="1"/>
    <s v="Denim Jacket"/>
    <n v="-1"/>
    <n v="4770.92"/>
    <n v="-4770.92"/>
    <m/>
    <n v="-4770.92"/>
    <x v="508"/>
    <s v="Pune"/>
    <s v="B2B"/>
    <n v="433.04"/>
  </r>
  <r>
    <x v="1663"/>
    <x v="4"/>
    <s v="Graphic Tee"/>
    <n v="2"/>
    <n v="4784.55"/>
    <n v="9569.1"/>
    <m/>
    <n v="9569.1"/>
    <x v="463"/>
    <s v="Bangalore"/>
    <s v="B2C"/>
    <n v="2034.52"/>
  </r>
  <r>
    <x v="1664"/>
    <x v="1"/>
    <s v="Puffer Coat"/>
    <n v="5"/>
    <n v="3163.97"/>
    <n v="15819.849999999999"/>
    <m/>
    <n v="15819.849999999999"/>
    <x v="4"/>
    <s v="Delhi"/>
    <s v="B2B"/>
    <n v="1411.27"/>
  </r>
  <r>
    <x v="1665"/>
    <x v="2"/>
    <s v="Boots"/>
    <n v="2"/>
    <n v="794.81"/>
    <n v="1589.62"/>
    <n v="1.1200000000000001"/>
    <n v="-190.75440000000015"/>
    <x v="509"/>
    <s v="Bangalore"/>
    <s v="B2B"/>
    <n v="-391.38"/>
  </r>
  <r>
    <x v="1666"/>
    <x v="2"/>
    <s v="Sneakers"/>
    <n v="2"/>
    <n v="1804.59"/>
    <n v="3609.18"/>
    <m/>
    <n v="3609.18"/>
    <x v="200"/>
    <s v="Ahmedabad"/>
    <s v="B2B"/>
    <n v="-208.79"/>
  </r>
  <r>
    <x v="1667"/>
    <x v="3"/>
    <s v="Caps"/>
    <n v="2"/>
    <m/>
    <n v="0"/>
    <n v="0.49"/>
    <n v="0"/>
    <x v="4"/>
    <s v="Pune"/>
    <s v="B2C"/>
    <n v="2957.49"/>
  </r>
  <r>
    <x v="1668"/>
    <x v="2"/>
    <s v="Sneakers"/>
    <n v="0"/>
    <m/>
    <n v="0"/>
    <m/>
    <n v="0"/>
    <x v="370"/>
    <s v="Mumbai"/>
    <s v="B2C"/>
    <n v="510.99"/>
  </r>
  <r>
    <x v="1669"/>
    <x v="4"/>
    <s v="Crop Top"/>
    <n v="2"/>
    <m/>
    <n v="0"/>
    <n v="0.11"/>
    <n v="0"/>
    <x v="4"/>
    <s v="NaviMumbai"/>
    <s v="B2C"/>
    <n v="161.9"/>
  </r>
  <r>
    <x v="1670"/>
    <x v="3"/>
    <s v="Caps"/>
    <n v="4"/>
    <n v="4777.51"/>
    <n v="19110.04"/>
    <m/>
    <n v="19110.04"/>
    <x v="22"/>
    <s v="NaviMumbai"/>
    <s v="B2C"/>
    <n v="-204.04"/>
  </r>
  <r>
    <x v="1671"/>
    <x v="0"/>
    <s v="Ripped Denim"/>
    <n v="2"/>
    <n v="2862.03"/>
    <n v="5724.06"/>
    <m/>
    <n v="5724.06"/>
    <x v="510"/>
    <s v="Mumbai"/>
    <s v="B2C"/>
    <n v="115.86"/>
  </r>
  <r>
    <x v="1672"/>
    <x v="4"/>
    <s v="Crop Top"/>
    <n v="1"/>
    <m/>
    <n v="0"/>
    <n v="0.5"/>
    <n v="0"/>
    <x v="419"/>
    <s v="Bangalore"/>
    <s v="B2C"/>
    <n v="-182.86"/>
  </r>
  <r>
    <x v="1673"/>
    <x v="5"/>
    <s v="Bodycon"/>
    <n v="2"/>
    <m/>
    <n v="0"/>
    <m/>
    <n v="0"/>
    <x v="69"/>
    <s v="Mumbai"/>
    <s v="B2C"/>
    <n v="-364.29"/>
  </r>
  <r>
    <x v="1674"/>
    <x v="0"/>
    <s v="Boyfriend Jeans"/>
    <n v="4"/>
    <n v="4366.3999999999996"/>
    <n v="17465.599999999999"/>
    <m/>
    <n v="17465.599999999999"/>
    <x v="4"/>
    <s v="NaviMumbai"/>
    <s v="B2C"/>
    <n v="-542.72"/>
  </r>
  <r>
    <x v="1675"/>
    <x v="2"/>
    <s v="Slip-ons"/>
    <n v="2"/>
    <n v="1617.83"/>
    <n v="3235.66"/>
    <n v="1.18"/>
    <n v="-582.41879999999981"/>
    <x v="75"/>
    <s v="Delhi"/>
    <s v="B2C"/>
    <n v="1532.93"/>
  </r>
  <r>
    <x v="1676"/>
    <x v="0"/>
    <s v="Boyfriend Jeans"/>
    <n v="2"/>
    <n v="4834.87"/>
    <n v="9669.74"/>
    <m/>
    <n v="9669.74"/>
    <x v="4"/>
    <s v="Bangalore"/>
    <s v="B2B"/>
    <n v="1655.07"/>
  </r>
  <r>
    <x v="1677"/>
    <x v="1"/>
    <s v="Puffer Coat"/>
    <n v="2"/>
    <n v="2579.8000000000002"/>
    <n v="5159.6000000000004"/>
    <n v="1.26"/>
    <n v="-1341.4960000000001"/>
    <x v="26"/>
    <s v="Ahmedabad"/>
    <s v="B2B"/>
    <n v="-804.09"/>
  </r>
  <r>
    <x v="1678"/>
    <x v="5"/>
    <s v="Wrap Dress"/>
    <n v="2"/>
    <n v="3300.82"/>
    <n v="6601.64"/>
    <m/>
    <n v="6601.64"/>
    <x v="342"/>
    <s v="Ahmedabad"/>
    <s v="B2B"/>
    <n v="394.83"/>
  </r>
  <r>
    <x v="1679"/>
    <x v="1"/>
    <s v="Bomber Jacket"/>
    <n v="2"/>
    <n v="1810.81"/>
    <n v="3621.62"/>
    <n v="0.5"/>
    <n v="1810.81"/>
    <x v="4"/>
    <s v="Pune"/>
    <s v="B2C"/>
    <n v="1605.28"/>
  </r>
  <r>
    <x v="1680"/>
    <x v="0"/>
    <s v="Straight Cut"/>
    <n v="6"/>
    <m/>
    <n v="0"/>
    <m/>
    <n v="0"/>
    <x v="344"/>
    <s v="Delhi"/>
    <s v="B2C"/>
    <n v="1068.6600000000001"/>
  </r>
  <r>
    <x v="1681"/>
    <x v="2"/>
    <s v="Boots"/>
    <n v="2"/>
    <m/>
    <n v="0"/>
    <m/>
    <n v="0"/>
    <x v="4"/>
    <s v="Mumbai"/>
    <s v="B2C"/>
    <n v="588.04"/>
  </r>
  <r>
    <x v="1682"/>
    <x v="3"/>
    <s v="Watches"/>
    <n v="-1"/>
    <n v="2085.92"/>
    <n v="-2085.92"/>
    <m/>
    <n v="-2085.92"/>
    <x v="295"/>
    <s v="Bangalore"/>
    <s v="B2C"/>
    <n v="1301.3699999999999"/>
  </r>
  <r>
    <x v="1683"/>
    <x v="4"/>
    <s v="Graphic Tee"/>
    <n v="-2"/>
    <m/>
    <n v="0"/>
    <m/>
    <n v="0"/>
    <x v="498"/>
    <s v="NaviMumbai"/>
    <s v="B2C"/>
    <n v="606.51"/>
  </r>
  <r>
    <x v="1684"/>
    <x v="3"/>
    <s v="Belts"/>
    <n v="-2"/>
    <m/>
    <n v="0"/>
    <m/>
    <n v="0"/>
    <x v="511"/>
    <s v="NaviMumbai"/>
    <s v="B2C"/>
    <n v="2193.86"/>
  </r>
  <r>
    <x v="1685"/>
    <x v="1"/>
    <s v="Bomber Jacket"/>
    <n v="1"/>
    <m/>
    <n v="0"/>
    <m/>
    <n v="0"/>
    <x v="178"/>
    <s v="Mumbai"/>
    <s v="B2C"/>
    <n v="7.12"/>
  </r>
  <r>
    <x v="1686"/>
    <x v="5"/>
    <s v="Casual Midi"/>
    <n v="2"/>
    <n v="4870.82"/>
    <n v="9741.64"/>
    <m/>
    <n v="9741.64"/>
    <x v="35"/>
    <s v="Delhi"/>
    <s v="B2B"/>
    <n v="2833.18"/>
  </r>
  <r>
    <x v="1687"/>
    <x v="4"/>
    <s v="Classic Tee"/>
    <n v="6"/>
    <m/>
    <n v="0"/>
    <m/>
    <n v="0"/>
    <x v="135"/>
    <s v="Pune"/>
    <s v="B2C"/>
    <n v="2379.5"/>
  </r>
  <r>
    <x v="1688"/>
    <x v="1"/>
    <s v="Puffer Coat"/>
    <n v="5"/>
    <m/>
    <n v="0"/>
    <m/>
    <n v="0"/>
    <x v="494"/>
    <s v="Mumbai"/>
    <s v="B2B"/>
    <n v="2763.02"/>
  </r>
  <r>
    <x v="1689"/>
    <x v="3"/>
    <s v="Belts"/>
    <n v="4"/>
    <n v="4882.6899999999996"/>
    <n v="19530.759999999998"/>
    <m/>
    <n v="19530.759999999998"/>
    <x v="67"/>
    <s v="Mumbai"/>
    <s v="B2B"/>
    <n v="2658.6"/>
  </r>
  <r>
    <x v="1690"/>
    <x v="1"/>
    <s v="Bomber Jacket"/>
    <n v="2"/>
    <m/>
    <n v="0"/>
    <n v="0.3"/>
    <n v="0"/>
    <x v="366"/>
    <s v="NaviMumbai"/>
    <s v="B2C"/>
    <n v="-473.04"/>
  </r>
  <r>
    <x v="1691"/>
    <x v="5"/>
    <s v="Bodycon"/>
    <n v="2"/>
    <n v="2565.5500000000002"/>
    <n v="5131.1000000000004"/>
    <m/>
    <n v="5131.1000000000004"/>
    <x v="31"/>
    <s v="Bangalore"/>
    <s v="B2C"/>
    <n v="62.05"/>
  </r>
  <r>
    <x v="1692"/>
    <x v="5"/>
    <s v="Bodycon"/>
    <n v="2"/>
    <m/>
    <n v="0"/>
    <m/>
    <n v="0"/>
    <x v="443"/>
    <s v="Pune"/>
    <s v="B2B"/>
    <n v="-25.26"/>
  </r>
  <r>
    <x v="1693"/>
    <x v="1"/>
    <s v="Leather Jacket"/>
    <n v="2"/>
    <m/>
    <n v="0"/>
    <m/>
    <n v="0"/>
    <x v="99"/>
    <s v="Bangalore"/>
    <s v="B2B"/>
    <n v="-973.58"/>
  </r>
  <r>
    <x v="1694"/>
    <x v="2"/>
    <s v="Sneakers"/>
    <n v="0"/>
    <n v="1559.67"/>
    <n v="0"/>
    <m/>
    <n v="0"/>
    <x v="16"/>
    <s v="Pune"/>
    <s v="B2C"/>
    <n v="2605.5500000000002"/>
  </r>
  <r>
    <x v="1695"/>
    <x v="2"/>
    <s v="Boots"/>
    <n v="-2"/>
    <n v="1171.79"/>
    <n v="-2343.58"/>
    <m/>
    <n v="-2343.58"/>
    <x v="4"/>
    <s v="Delhi"/>
    <s v="B2B"/>
    <n v="-392.96"/>
  </r>
  <r>
    <x v="1696"/>
    <x v="2"/>
    <s v="Slip-ons"/>
    <n v="4"/>
    <m/>
    <n v="0"/>
    <m/>
    <n v="0"/>
    <x v="512"/>
    <s v="Ahmedabad"/>
    <s v="B2C"/>
    <n v="-144.72"/>
  </r>
  <r>
    <x v="1697"/>
    <x v="2"/>
    <s v="Loafers"/>
    <n v="1"/>
    <m/>
    <n v="0"/>
    <n v="0.49"/>
    <n v="0"/>
    <x v="4"/>
    <s v="Pune"/>
    <s v="B2B"/>
    <n v="2134.2800000000002"/>
  </r>
  <r>
    <x v="1698"/>
    <x v="0"/>
    <s v="Boyfriend Jeans"/>
    <n v="2"/>
    <m/>
    <n v="0"/>
    <m/>
    <n v="0"/>
    <x v="210"/>
    <s v="Pune"/>
    <s v="B2C"/>
    <n v="2786.83"/>
  </r>
  <r>
    <x v="1699"/>
    <x v="0"/>
    <s v="Slim Fit Jeans"/>
    <n v="3"/>
    <n v="909.31"/>
    <n v="2727.93"/>
    <m/>
    <n v="2727.93"/>
    <x v="30"/>
    <s v="Pune"/>
    <s v="B2C"/>
    <n v="1389.16"/>
  </r>
  <r>
    <x v="1700"/>
    <x v="5"/>
    <s v="Casual Midi"/>
    <n v="0"/>
    <n v="1602.49"/>
    <n v="0"/>
    <m/>
    <n v="0"/>
    <x v="157"/>
    <s v="Bangalore"/>
    <s v="B2B"/>
    <n v="-886.11"/>
  </r>
  <r>
    <x v="1701"/>
    <x v="5"/>
    <s v="Wrap Dress"/>
    <n v="2"/>
    <n v="3476.53"/>
    <n v="6953.06"/>
    <m/>
    <n v="6953.06"/>
    <x v="300"/>
    <s v="Pune"/>
    <s v="B2C"/>
    <n v="-522.33000000000004"/>
  </r>
  <r>
    <x v="1702"/>
    <x v="0"/>
    <s v="Straight Cut"/>
    <n v="2"/>
    <n v="1109.5999999999999"/>
    <n v="2219.1999999999998"/>
    <n v="0.04"/>
    <n v="2130.4319999999998"/>
    <x v="4"/>
    <s v="NaviMumbai"/>
    <s v="B2C"/>
    <n v="885.21"/>
  </r>
  <r>
    <x v="1703"/>
    <x v="0"/>
    <s v="Ripped Denim"/>
    <n v="2"/>
    <m/>
    <n v="0"/>
    <m/>
    <n v="0"/>
    <x v="4"/>
    <s v="Bangalore"/>
    <s v="B2C"/>
    <n v="-367.6"/>
  </r>
  <r>
    <x v="1704"/>
    <x v="4"/>
    <s v="Classic Tee"/>
    <n v="2"/>
    <m/>
    <n v="0"/>
    <m/>
    <n v="0"/>
    <x v="358"/>
    <s v="Pune"/>
    <s v="B2C"/>
    <n v="253.64"/>
  </r>
  <r>
    <x v="1705"/>
    <x v="0"/>
    <s v="Slim Fit Jeans"/>
    <n v="2"/>
    <n v="716.3"/>
    <n v="1432.6"/>
    <m/>
    <n v="1432.6"/>
    <x v="236"/>
    <s v="Delhi"/>
    <s v="B2C"/>
    <n v="-400.16"/>
  </r>
  <r>
    <x v="1706"/>
    <x v="1"/>
    <s v="Leather Jacket"/>
    <n v="2"/>
    <m/>
    <n v="0"/>
    <m/>
    <n v="0"/>
    <x v="54"/>
    <s v="NaviMumbai"/>
    <s v="B2C"/>
    <n v="2116.0700000000002"/>
  </r>
  <r>
    <x v="1707"/>
    <x v="5"/>
    <s v="Maxi Dress"/>
    <n v="2"/>
    <m/>
    <n v="0"/>
    <n v="0.17"/>
    <n v="0"/>
    <x v="4"/>
    <s v="Mumbai"/>
    <s v="B2C"/>
    <n v="1751.12"/>
  </r>
  <r>
    <x v="1708"/>
    <x v="3"/>
    <s v="Sunglasses"/>
    <n v="2"/>
    <m/>
    <n v="0"/>
    <m/>
    <n v="0"/>
    <x v="513"/>
    <s v="Ahmedabad"/>
    <s v="B2C"/>
    <n v="1804.04"/>
  </r>
  <r>
    <x v="1709"/>
    <x v="4"/>
    <s v="Crop Top"/>
    <n v="2"/>
    <n v="1935.05"/>
    <n v="3870.1"/>
    <m/>
    <n v="3870.1"/>
    <x v="409"/>
    <s v="Bangalore"/>
    <s v="B2C"/>
    <n v="1483.93"/>
  </r>
  <r>
    <x v="1710"/>
    <x v="5"/>
    <s v="Bodycon"/>
    <n v="5"/>
    <m/>
    <n v="0"/>
    <n v="1.22"/>
    <n v="0"/>
    <x v="4"/>
    <s v="Ahmedabad"/>
    <s v="B2C"/>
    <n v="-973.04"/>
  </r>
  <r>
    <x v="1711"/>
    <x v="4"/>
    <s v="Classic Tee"/>
    <n v="2"/>
    <m/>
    <n v="0"/>
    <m/>
    <n v="0"/>
    <x v="361"/>
    <s v="Delhi"/>
    <s v="B2C"/>
    <n v="2203.9699999999998"/>
  </r>
  <r>
    <x v="1712"/>
    <x v="1"/>
    <s v="Puffer Coat"/>
    <n v="-1"/>
    <n v="1635.12"/>
    <n v="-1635.12"/>
    <m/>
    <n v="-1635.12"/>
    <x v="427"/>
    <s v="Mumbai"/>
    <s v="B2B"/>
    <n v="-526.88"/>
  </r>
  <r>
    <x v="1713"/>
    <x v="2"/>
    <s v="Boots"/>
    <n v="6"/>
    <m/>
    <n v="0"/>
    <n v="0.55000000000000004"/>
    <n v="0"/>
    <x v="4"/>
    <s v="NaviMumbai"/>
    <s v="B2C"/>
    <n v="-833.43"/>
  </r>
  <r>
    <x v="1714"/>
    <x v="0"/>
    <s v="Boyfriend Jeans"/>
    <n v="2"/>
    <m/>
    <n v="0"/>
    <m/>
    <n v="0"/>
    <x v="336"/>
    <s v="Mumbai"/>
    <s v="B2B"/>
    <n v="2523.7199999999998"/>
  </r>
  <r>
    <x v="1715"/>
    <x v="5"/>
    <s v="Wrap Dress"/>
    <n v="4"/>
    <n v="3261.51"/>
    <n v="13046.04"/>
    <n v="0.82"/>
    <n v="2348.2872000000007"/>
    <x v="4"/>
    <s v="NaviMumbai"/>
    <s v="B2C"/>
    <n v="1429.02"/>
  </r>
  <r>
    <x v="1716"/>
    <x v="3"/>
    <s v="Sunglasses"/>
    <n v="2"/>
    <n v="541.71"/>
    <n v="1083.42"/>
    <m/>
    <n v="1083.42"/>
    <x v="284"/>
    <s v="Bangalore"/>
    <s v="B2B"/>
    <n v="1872.65"/>
  </r>
  <r>
    <x v="1717"/>
    <x v="0"/>
    <s v="Slim Fit Jeans"/>
    <n v="2"/>
    <m/>
    <n v="0"/>
    <m/>
    <n v="0"/>
    <x v="246"/>
    <s v="Delhi"/>
    <s v="B2C"/>
    <n v="-253.78"/>
  </r>
  <r>
    <x v="1718"/>
    <x v="3"/>
    <s v="Watches"/>
    <n v="2"/>
    <n v="1927.98"/>
    <n v="3855.96"/>
    <m/>
    <n v="3855.96"/>
    <x v="79"/>
    <s v="Pune"/>
    <s v="B2C"/>
    <n v="-251.21"/>
  </r>
  <r>
    <x v="1719"/>
    <x v="5"/>
    <s v="Wrap Dress"/>
    <n v="2"/>
    <m/>
    <n v="0"/>
    <n v="0.55000000000000004"/>
    <n v="0"/>
    <x v="268"/>
    <s v="Mumbai"/>
    <s v="B2B"/>
    <n v="733.8"/>
  </r>
  <r>
    <x v="1720"/>
    <x v="2"/>
    <s v="Boots"/>
    <n v="4"/>
    <n v="4316.8500000000004"/>
    <n v="17267.400000000001"/>
    <m/>
    <n v="17267.400000000001"/>
    <x v="37"/>
    <s v="Ahmedabad"/>
    <s v="B2C"/>
    <n v="2259.3000000000002"/>
  </r>
  <r>
    <x v="1721"/>
    <x v="0"/>
    <s v="Boyfriend Jeans"/>
    <n v="1"/>
    <m/>
    <n v="0"/>
    <m/>
    <n v="0"/>
    <x v="4"/>
    <s v="Mumbai"/>
    <s v="B2B"/>
    <n v="996.39"/>
  </r>
  <r>
    <x v="1722"/>
    <x v="1"/>
    <s v="Bomber Jacket"/>
    <n v="1"/>
    <m/>
    <n v="0"/>
    <n v="0.53"/>
    <n v="0"/>
    <x v="134"/>
    <s v="Mumbai"/>
    <s v="B2C"/>
    <n v="2013.85"/>
  </r>
  <r>
    <x v="1723"/>
    <x v="3"/>
    <s v="Belts"/>
    <n v="-2"/>
    <m/>
    <n v="0"/>
    <m/>
    <n v="0"/>
    <x v="1"/>
    <s v="Bangalore"/>
    <s v="B2C"/>
    <n v="1045.71"/>
  </r>
  <r>
    <x v="1724"/>
    <x v="1"/>
    <s v="Bomber Jacket"/>
    <n v="-1"/>
    <n v="4146.91"/>
    <n v="-4146.91"/>
    <n v="1.03"/>
    <n v="124.40730000000011"/>
    <x v="79"/>
    <s v="Delhi"/>
    <s v="B2B"/>
    <n v="930.16"/>
  </r>
  <r>
    <x v="1725"/>
    <x v="4"/>
    <s v="Crop Top"/>
    <n v="-2"/>
    <m/>
    <n v="0"/>
    <m/>
    <n v="0"/>
    <x v="4"/>
    <s v="Mumbai"/>
    <s v="B2B"/>
    <n v="-635.51"/>
  </r>
  <r>
    <x v="1726"/>
    <x v="0"/>
    <s v="Slim Fit Jeans"/>
    <n v="-1"/>
    <n v="869.82"/>
    <n v="-869.82"/>
    <m/>
    <n v="-869.82"/>
    <x v="448"/>
    <s v="Bangalore"/>
    <s v="B2C"/>
    <n v="737.77"/>
  </r>
  <r>
    <x v="1727"/>
    <x v="0"/>
    <s v="Slim Fit Jeans"/>
    <n v="2"/>
    <n v="668.51"/>
    <n v="1337.02"/>
    <n v="1.02"/>
    <n v="-26.740400000000022"/>
    <x v="126"/>
    <s v="Bangalore"/>
    <s v="B2C"/>
    <n v="2100.4"/>
  </r>
  <r>
    <x v="1728"/>
    <x v="4"/>
    <s v="Graphic Tee"/>
    <n v="1"/>
    <n v="1369.29"/>
    <n v="1369.29"/>
    <m/>
    <n v="1369.29"/>
    <x v="342"/>
    <s v="Mumbai"/>
    <s v="B2C"/>
    <n v="325.08"/>
  </r>
  <r>
    <x v="1729"/>
    <x v="3"/>
    <s v="Watches"/>
    <n v="4"/>
    <n v="3977.88"/>
    <n v="15911.52"/>
    <m/>
    <n v="15911.52"/>
    <x v="395"/>
    <s v="Ahmedabad"/>
    <s v="B2C"/>
    <n v="2431.13"/>
  </r>
  <r>
    <x v="1730"/>
    <x v="1"/>
    <s v="Puffer Coat"/>
    <n v="5"/>
    <m/>
    <n v="0"/>
    <m/>
    <n v="0"/>
    <x v="4"/>
    <s v="Pune"/>
    <s v="B2C"/>
    <n v="2595.31"/>
  </r>
  <r>
    <x v="1731"/>
    <x v="1"/>
    <s v="Leather Jacket"/>
    <n v="2"/>
    <n v="1360.22"/>
    <n v="2720.44"/>
    <m/>
    <n v="2720.44"/>
    <x v="503"/>
    <s v="Mumbai"/>
    <s v="B2C"/>
    <n v="276.89999999999998"/>
  </r>
  <r>
    <x v="1732"/>
    <x v="1"/>
    <s v="Leather Jacket"/>
    <n v="2"/>
    <m/>
    <n v="0"/>
    <n v="0.98"/>
    <n v="0"/>
    <x v="73"/>
    <s v="Bangalore"/>
    <s v="B2C"/>
    <n v="1778.54"/>
  </r>
  <r>
    <x v="1733"/>
    <x v="2"/>
    <s v="Sneakers"/>
    <n v="2"/>
    <n v="4552.8"/>
    <n v="9105.6"/>
    <n v="1.01"/>
    <n v="-91.056000000000083"/>
    <x v="4"/>
    <s v="Pune"/>
    <s v="B2B"/>
    <n v="1802.91"/>
  </r>
  <r>
    <x v="1734"/>
    <x v="0"/>
    <s v="Boyfriend Jeans"/>
    <n v="-1"/>
    <n v="4351.1099999999997"/>
    <n v="-4351.1099999999997"/>
    <m/>
    <n v="-4351.1099999999997"/>
    <x v="43"/>
    <s v="Pune"/>
    <s v="B2C"/>
    <n v="-190.68"/>
  </r>
  <r>
    <x v="1735"/>
    <x v="0"/>
    <s v="Straight Cut"/>
    <n v="1"/>
    <m/>
    <n v="0"/>
    <m/>
    <n v="0"/>
    <x v="267"/>
    <s v="Bangalore"/>
    <s v="B2C"/>
    <n v="-0.15"/>
  </r>
  <r>
    <x v="1736"/>
    <x v="3"/>
    <s v="Watches"/>
    <n v="-2"/>
    <m/>
    <n v="0"/>
    <n v="0.32"/>
    <n v="0"/>
    <x v="514"/>
    <s v="Delhi"/>
    <s v="B2B"/>
    <n v="1174.6400000000001"/>
  </r>
  <r>
    <x v="1737"/>
    <x v="4"/>
    <s v="Classic Tee"/>
    <n v="6"/>
    <m/>
    <n v="0"/>
    <m/>
    <n v="0"/>
    <x v="111"/>
    <s v="Pune"/>
    <s v="B2C"/>
    <n v="813.53"/>
  </r>
  <r>
    <x v="1738"/>
    <x v="3"/>
    <s v="Caps"/>
    <n v="3"/>
    <n v="4923.95"/>
    <n v="14771.849999999999"/>
    <m/>
    <n v="14771.849999999999"/>
    <x v="481"/>
    <s v="Pune"/>
    <s v="B2B"/>
    <n v="794.65"/>
  </r>
  <r>
    <x v="1739"/>
    <x v="4"/>
    <s v="Oversized T-shirt"/>
    <n v="2"/>
    <n v="2965.32"/>
    <n v="5930.64"/>
    <m/>
    <n v="5930.64"/>
    <x v="4"/>
    <s v="Mumbai"/>
    <s v="B2C"/>
    <n v="-786.53"/>
  </r>
  <r>
    <x v="1740"/>
    <x v="2"/>
    <s v="Boots"/>
    <n v="2"/>
    <m/>
    <n v="0"/>
    <n v="0.9"/>
    <n v="0"/>
    <x v="333"/>
    <s v="Ahmedabad"/>
    <s v="B2C"/>
    <n v="-300.89999999999998"/>
  </r>
  <r>
    <x v="1741"/>
    <x v="2"/>
    <s v="Slip-ons"/>
    <n v="2"/>
    <m/>
    <n v="0"/>
    <m/>
    <n v="0"/>
    <x v="459"/>
    <s v="Delhi"/>
    <s v="B2B"/>
    <n v="-833.77"/>
  </r>
  <r>
    <x v="1742"/>
    <x v="5"/>
    <s v="Maxi Dress"/>
    <n v="2"/>
    <n v="3586.76"/>
    <n v="7173.52"/>
    <m/>
    <n v="7173.52"/>
    <x v="30"/>
    <s v="Pune"/>
    <s v="B2C"/>
    <n v="594.95000000000005"/>
  </r>
  <r>
    <x v="1743"/>
    <x v="5"/>
    <s v="Wrap Dress"/>
    <n v="2"/>
    <n v="1278.8499999999999"/>
    <n v="2557.6999999999998"/>
    <m/>
    <n v="2557.6999999999998"/>
    <x v="395"/>
    <s v="NaviMumbai"/>
    <s v="B2B"/>
    <n v="1989.71"/>
  </r>
  <r>
    <x v="1744"/>
    <x v="3"/>
    <s v="Caps"/>
    <n v="3"/>
    <n v="3360.01"/>
    <n v="10080.030000000001"/>
    <m/>
    <n v="10080.030000000001"/>
    <x v="4"/>
    <s v="NaviMumbai"/>
    <s v="B2C"/>
    <n v="1547.22"/>
  </r>
  <r>
    <x v="1745"/>
    <x v="3"/>
    <s v="Watches"/>
    <n v="3"/>
    <m/>
    <n v="0"/>
    <m/>
    <n v="0"/>
    <x v="88"/>
    <s v="Ahmedabad"/>
    <s v="B2B"/>
    <n v="2347.0700000000002"/>
  </r>
  <r>
    <x v="1746"/>
    <x v="5"/>
    <s v="Wrap Dress"/>
    <n v="2"/>
    <m/>
    <n v="0"/>
    <m/>
    <n v="0"/>
    <x v="75"/>
    <s v="Pune"/>
    <s v="B2C"/>
    <n v="2047.44"/>
  </r>
  <r>
    <x v="1747"/>
    <x v="0"/>
    <s v="Straight Cut"/>
    <n v="2"/>
    <m/>
    <n v="0"/>
    <m/>
    <n v="0"/>
    <x v="274"/>
    <s v="Pune"/>
    <s v="B2C"/>
    <n v="621.85"/>
  </r>
  <r>
    <x v="1748"/>
    <x v="4"/>
    <s v="Classic Tee"/>
    <n v="2"/>
    <n v="4149.42"/>
    <n v="8298.84"/>
    <n v="0.13"/>
    <n v="7219.9908000000005"/>
    <x v="4"/>
    <s v="NaviMumbai"/>
    <s v="B2B"/>
    <n v="1926.29"/>
  </r>
  <r>
    <x v="1749"/>
    <x v="4"/>
    <s v="Oversized T-shirt"/>
    <n v="2"/>
    <m/>
    <n v="0"/>
    <n v="0.69"/>
    <n v="0"/>
    <x v="324"/>
    <s v="Pune"/>
    <s v="B2C"/>
    <n v="465.45"/>
  </r>
  <r>
    <x v="1750"/>
    <x v="4"/>
    <s v="Graphic Tee"/>
    <n v="2"/>
    <m/>
    <n v="0"/>
    <m/>
    <n v="0"/>
    <x v="122"/>
    <s v="Ahmedabad"/>
    <s v="B2B"/>
    <n v="2102.88"/>
  </r>
  <r>
    <x v="1751"/>
    <x v="4"/>
    <s v="Classic Tee"/>
    <n v="2"/>
    <n v="1439.18"/>
    <n v="2878.36"/>
    <n v="0.49"/>
    <n v="1467.9636"/>
    <x v="457"/>
    <s v="Pune"/>
    <s v="B2C"/>
    <n v="2007.56"/>
  </r>
  <r>
    <x v="1752"/>
    <x v="2"/>
    <s v="Loafers"/>
    <n v="2"/>
    <n v="3956.83"/>
    <n v="7913.66"/>
    <m/>
    <n v="7913.66"/>
    <x v="213"/>
    <s v="NaviMumbai"/>
    <s v="B2B"/>
    <n v="1061.44"/>
  </r>
  <r>
    <x v="1753"/>
    <x v="0"/>
    <s v="Ripped Denim"/>
    <n v="2"/>
    <m/>
    <n v="0"/>
    <m/>
    <n v="0"/>
    <x v="383"/>
    <s v="NaviMumbai"/>
    <s v="B2B"/>
    <n v="-865.59"/>
  </r>
  <r>
    <x v="1754"/>
    <x v="1"/>
    <s v="Bomber Jacket"/>
    <n v="2"/>
    <m/>
    <n v="0"/>
    <m/>
    <n v="0"/>
    <x v="4"/>
    <s v="Ahmedabad"/>
    <s v="B2C"/>
    <n v="1944.87"/>
  </r>
  <r>
    <x v="1755"/>
    <x v="3"/>
    <s v="Sunglasses"/>
    <n v="2"/>
    <m/>
    <n v="0"/>
    <m/>
    <n v="0"/>
    <x v="448"/>
    <s v="Mumbai"/>
    <s v="B2C"/>
    <n v="1081.4100000000001"/>
  </r>
  <r>
    <x v="1756"/>
    <x v="2"/>
    <s v="Sneakers"/>
    <n v="5"/>
    <m/>
    <n v="0"/>
    <n v="0.46"/>
    <n v="0"/>
    <x v="504"/>
    <s v="Ahmedabad"/>
    <s v="B2B"/>
    <n v="1182.1199999999999"/>
  </r>
  <r>
    <x v="1757"/>
    <x v="1"/>
    <s v="Leather Jacket"/>
    <n v="2"/>
    <n v="891.42"/>
    <n v="1782.84"/>
    <m/>
    <n v="1782.84"/>
    <x v="199"/>
    <s v="Mumbai"/>
    <s v="B2C"/>
    <n v="664.02"/>
  </r>
  <r>
    <x v="1758"/>
    <x v="2"/>
    <s v="Sneakers"/>
    <n v="2"/>
    <m/>
    <n v="0"/>
    <n v="0.42"/>
    <n v="0"/>
    <x v="192"/>
    <s v="Pune"/>
    <s v="B2B"/>
    <n v="1373.67"/>
  </r>
  <r>
    <x v="1759"/>
    <x v="5"/>
    <s v="Wrap Dress"/>
    <n v="0"/>
    <n v="578.58000000000004"/>
    <n v="0"/>
    <n v="1.0900000000000001"/>
    <n v="0"/>
    <x v="125"/>
    <s v="Ahmedabad"/>
    <s v="B2C"/>
    <n v="414.18"/>
  </r>
  <r>
    <x v="1760"/>
    <x v="4"/>
    <s v="Crop Top"/>
    <n v="2"/>
    <m/>
    <n v="0"/>
    <n v="0.4"/>
    <n v="0"/>
    <x v="266"/>
    <s v="Pune"/>
    <s v="B2C"/>
    <n v="2573.85"/>
  </r>
  <r>
    <x v="1761"/>
    <x v="5"/>
    <s v="Casual Midi"/>
    <n v="2"/>
    <n v="2534.9"/>
    <n v="5069.8"/>
    <m/>
    <n v="5069.8"/>
    <x v="276"/>
    <s v="Ahmedabad"/>
    <s v="B2B"/>
    <n v="1529.17"/>
  </r>
  <r>
    <x v="1762"/>
    <x v="0"/>
    <s v="Straight Cut"/>
    <n v="2"/>
    <m/>
    <n v="0"/>
    <n v="1.07"/>
    <n v="0"/>
    <x v="304"/>
    <s v="Ahmedabad"/>
    <s v="B2C"/>
    <n v="1947.29"/>
  </r>
  <r>
    <x v="1763"/>
    <x v="0"/>
    <s v="Ripped Denim"/>
    <n v="2"/>
    <n v="449.09"/>
    <n v="898.18"/>
    <m/>
    <n v="898.18"/>
    <x v="4"/>
    <s v="Mumbai"/>
    <s v="B2C"/>
    <n v="2797.37"/>
  </r>
  <r>
    <x v="1764"/>
    <x v="3"/>
    <s v="Belts"/>
    <n v="2"/>
    <m/>
    <n v="0"/>
    <m/>
    <n v="0"/>
    <x v="31"/>
    <s v="Mumbai"/>
    <s v="B2C"/>
    <n v="45.06"/>
  </r>
  <r>
    <x v="1765"/>
    <x v="1"/>
    <s v="Bomber Jacket"/>
    <n v="2"/>
    <m/>
    <n v="0"/>
    <m/>
    <n v="0"/>
    <x v="210"/>
    <s v="Pune"/>
    <s v="B2C"/>
    <n v="2921.6"/>
  </r>
  <r>
    <x v="1766"/>
    <x v="2"/>
    <s v="Sneakers"/>
    <n v="0"/>
    <m/>
    <n v="0"/>
    <m/>
    <n v="0"/>
    <x v="108"/>
    <s v="Mumbai"/>
    <s v="B2C"/>
    <n v="385.61"/>
  </r>
  <r>
    <x v="1767"/>
    <x v="1"/>
    <s v="Denim Jacket"/>
    <n v="2"/>
    <m/>
    <n v="0"/>
    <n v="0.03"/>
    <n v="0"/>
    <x v="190"/>
    <s v="Delhi"/>
    <s v="B2C"/>
    <n v="688.48"/>
  </r>
  <r>
    <x v="1768"/>
    <x v="3"/>
    <s v="Caps"/>
    <n v="2"/>
    <m/>
    <n v="0"/>
    <m/>
    <n v="0"/>
    <x v="4"/>
    <s v="NaviMumbai"/>
    <s v="B2C"/>
    <n v="1459.62"/>
  </r>
  <r>
    <x v="1769"/>
    <x v="3"/>
    <s v="Sunglasses"/>
    <n v="-1"/>
    <n v="3267.28"/>
    <n v="-3267.28"/>
    <m/>
    <n v="-3267.28"/>
    <x v="177"/>
    <s v="Bangalore"/>
    <s v="B2B"/>
    <n v="81.99"/>
  </r>
  <r>
    <x v="1770"/>
    <x v="3"/>
    <s v="Belts"/>
    <n v="3"/>
    <n v="3735.56"/>
    <n v="11206.68"/>
    <m/>
    <n v="11206.68"/>
    <x v="4"/>
    <s v="Pune"/>
    <s v="B2C"/>
    <n v="-690.11"/>
  </r>
  <r>
    <x v="1771"/>
    <x v="0"/>
    <s v="Boyfriend Jeans"/>
    <n v="3"/>
    <n v="2675.27"/>
    <n v="8025.8099999999995"/>
    <n v="0.41"/>
    <n v="4735.2279000000008"/>
    <x v="60"/>
    <s v="Delhi"/>
    <s v="B2B"/>
    <n v="1960.51"/>
  </r>
  <r>
    <x v="1772"/>
    <x v="4"/>
    <s v="Classic Tee"/>
    <n v="3"/>
    <m/>
    <n v="0"/>
    <m/>
    <n v="0"/>
    <x v="101"/>
    <s v="Pune"/>
    <s v="B2C"/>
    <n v="-166.3"/>
  </r>
  <r>
    <x v="1773"/>
    <x v="4"/>
    <s v="Graphic Tee"/>
    <n v="2"/>
    <n v="1039.1500000000001"/>
    <n v="2078.3000000000002"/>
    <m/>
    <n v="2078.3000000000002"/>
    <x v="4"/>
    <s v="Pune"/>
    <s v="B2C"/>
    <n v="2620.13"/>
  </r>
  <r>
    <x v="1774"/>
    <x v="3"/>
    <s v="Belts"/>
    <n v="-2"/>
    <n v="4836.47"/>
    <n v="-9672.94"/>
    <m/>
    <n v="-9672.94"/>
    <x v="14"/>
    <s v="Ahmedabad"/>
    <s v="B2C"/>
    <n v="-608.29999999999995"/>
  </r>
  <r>
    <x v="1775"/>
    <x v="5"/>
    <s v="Bodycon"/>
    <n v="2"/>
    <m/>
    <n v="0"/>
    <m/>
    <n v="0"/>
    <x v="118"/>
    <s v="Bangalore"/>
    <s v="B2C"/>
    <n v="2860.66"/>
  </r>
  <r>
    <x v="1776"/>
    <x v="0"/>
    <s v="Boyfriend Jeans"/>
    <n v="2"/>
    <m/>
    <n v="0"/>
    <m/>
    <n v="0"/>
    <x v="4"/>
    <s v="Mumbai"/>
    <s v="B2C"/>
    <n v="984.22"/>
  </r>
  <r>
    <x v="1777"/>
    <x v="1"/>
    <s v="Puffer Coat"/>
    <n v="3"/>
    <m/>
    <n v="0"/>
    <m/>
    <n v="0"/>
    <x v="4"/>
    <s v="Delhi"/>
    <s v="B2C"/>
    <n v="2.81"/>
  </r>
  <r>
    <x v="1778"/>
    <x v="3"/>
    <s v="Belts"/>
    <n v="-1"/>
    <n v="1257.81"/>
    <n v="-1257.81"/>
    <m/>
    <n v="-1257.81"/>
    <x v="342"/>
    <s v="Ahmedabad"/>
    <s v="B2C"/>
    <n v="2957.6"/>
  </r>
  <r>
    <x v="1779"/>
    <x v="5"/>
    <s v="Wrap Dress"/>
    <n v="0"/>
    <m/>
    <n v="0"/>
    <m/>
    <n v="0"/>
    <x v="345"/>
    <s v="Pune"/>
    <s v="B2C"/>
    <n v="386.97"/>
  </r>
  <r>
    <x v="1780"/>
    <x v="4"/>
    <s v="Classic Tee"/>
    <n v="2"/>
    <m/>
    <n v="0"/>
    <m/>
    <n v="0"/>
    <x v="14"/>
    <s v="Pune"/>
    <s v="B2C"/>
    <n v="683.04"/>
  </r>
  <r>
    <x v="1781"/>
    <x v="0"/>
    <s v="Boyfriend Jeans"/>
    <n v="2"/>
    <n v="3410.38"/>
    <n v="6820.76"/>
    <m/>
    <n v="6820.76"/>
    <x v="230"/>
    <s v="NaviMumbai"/>
    <s v="B2C"/>
    <n v="1733.81"/>
  </r>
  <r>
    <x v="1782"/>
    <x v="3"/>
    <s v="Watches"/>
    <n v="2"/>
    <n v="1870.82"/>
    <n v="3741.64"/>
    <m/>
    <n v="3741.64"/>
    <x v="4"/>
    <s v="Ahmedabad"/>
    <s v="B2C"/>
    <n v="-45.08"/>
  </r>
  <r>
    <x v="1783"/>
    <x v="2"/>
    <s v="Sneakers"/>
    <n v="-1"/>
    <m/>
    <n v="0"/>
    <m/>
    <n v="0"/>
    <x v="4"/>
    <s v="Bangalore"/>
    <s v="B2C"/>
    <n v="365.63"/>
  </r>
  <r>
    <x v="1784"/>
    <x v="4"/>
    <s v="Crop Top"/>
    <n v="5"/>
    <n v="4418.75"/>
    <n v="22093.75"/>
    <m/>
    <n v="22093.75"/>
    <x v="271"/>
    <s v="Bangalore"/>
    <s v="B2C"/>
    <n v="693.65"/>
  </r>
  <r>
    <x v="1785"/>
    <x v="3"/>
    <s v="Sunglasses"/>
    <n v="6"/>
    <n v="4784"/>
    <n v="28704"/>
    <m/>
    <n v="28704"/>
    <x v="57"/>
    <s v="Mumbai"/>
    <s v="B2B"/>
    <n v="2969.42"/>
  </r>
  <r>
    <x v="1786"/>
    <x v="2"/>
    <s v="Slip-ons"/>
    <n v="0"/>
    <n v="4930.08"/>
    <n v="0"/>
    <n v="0.92"/>
    <n v="0"/>
    <x v="251"/>
    <s v="Bangalore"/>
    <s v="B2B"/>
    <n v="623.04999999999995"/>
  </r>
  <r>
    <x v="1787"/>
    <x v="0"/>
    <s v="Boyfriend Jeans"/>
    <n v="2"/>
    <m/>
    <n v="0"/>
    <m/>
    <n v="0"/>
    <x v="108"/>
    <s v="Bangalore"/>
    <s v="B2C"/>
    <n v="2658.95"/>
  </r>
  <r>
    <x v="1788"/>
    <x v="0"/>
    <s v="Slim Fit Jeans"/>
    <n v="2"/>
    <n v="3064.28"/>
    <n v="6128.56"/>
    <n v="1.04"/>
    <n v="-245.14240000000024"/>
    <x v="298"/>
    <s v="NaviMumbai"/>
    <s v="B2B"/>
    <n v="2540.5300000000002"/>
  </r>
  <r>
    <x v="1789"/>
    <x v="2"/>
    <s v="Slip-ons"/>
    <n v="2"/>
    <n v="4234.7700000000004"/>
    <n v="8469.5400000000009"/>
    <m/>
    <n v="8469.5400000000009"/>
    <x v="4"/>
    <s v="Delhi"/>
    <s v="B2C"/>
    <n v="-664.44"/>
  </r>
  <r>
    <x v="1790"/>
    <x v="2"/>
    <s v="Boots"/>
    <n v="0"/>
    <m/>
    <n v="0"/>
    <m/>
    <n v="0"/>
    <x v="4"/>
    <s v="Mumbai"/>
    <s v="B2C"/>
    <n v="1975.98"/>
  </r>
  <r>
    <x v="1791"/>
    <x v="0"/>
    <s v="Boyfriend Jeans"/>
    <n v="2"/>
    <n v="2038.37"/>
    <n v="4076.74"/>
    <n v="1.07"/>
    <n v="-285.37180000000023"/>
    <x v="4"/>
    <s v="Mumbai"/>
    <s v="B2B"/>
    <n v="1762.96"/>
  </r>
  <r>
    <x v="1792"/>
    <x v="5"/>
    <s v="Bodycon"/>
    <n v="2"/>
    <n v="4426.1499999999996"/>
    <n v="8852.2999999999993"/>
    <m/>
    <n v="8852.2999999999993"/>
    <x v="82"/>
    <s v="Delhi"/>
    <s v="B2B"/>
    <n v="1639.67"/>
  </r>
  <r>
    <x v="1793"/>
    <x v="4"/>
    <s v="Graphic Tee"/>
    <n v="2"/>
    <m/>
    <n v="0"/>
    <m/>
    <n v="0"/>
    <x v="356"/>
    <s v="Pune"/>
    <s v="B2B"/>
    <n v="-662.74"/>
  </r>
  <r>
    <x v="1794"/>
    <x v="3"/>
    <s v="Belts"/>
    <n v="2"/>
    <m/>
    <n v="0"/>
    <n v="0.41"/>
    <n v="0"/>
    <x v="286"/>
    <s v="Ahmedabad"/>
    <s v="B2C"/>
    <n v="-756.66"/>
  </r>
  <r>
    <x v="1795"/>
    <x v="0"/>
    <s v="Boyfriend Jeans"/>
    <n v="2"/>
    <n v="1888.27"/>
    <n v="3776.54"/>
    <m/>
    <n v="3776.54"/>
    <x v="21"/>
    <s v="Mumbai"/>
    <s v="B2B"/>
    <n v="2441.5100000000002"/>
  </r>
  <r>
    <x v="1796"/>
    <x v="0"/>
    <s v="Boyfriend Jeans"/>
    <n v="6"/>
    <n v="2422.0100000000002"/>
    <n v="14532.060000000001"/>
    <m/>
    <n v="14532.060000000001"/>
    <x v="4"/>
    <s v="Pune"/>
    <s v="B2B"/>
    <n v="339.16"/>
  </r>
  <r>
    <x v="1797"/>
    <x v="1"/>
    <s v="Denim Jacket"/>
    <n v="2"/>
    <n v="3817.72"/>
    <n v="7635.44"/>
    <n v="0.34"/>
    <n v="5039.3903999999993"/>
    <x v="147"/>
    <s v="Ahmedabad"/>
    <s v="B2B"/>
    <n v="-69.09"/>
  </r>
  <r>
    <x v="1798"/>
    <x v="5"/>
    <s v="Casual Midi"/>
    <n v="2"/>
    <m/>
    <n v="0"/>
    <n v="0.36"/>
    <n v="0"/>
    <x v="87"/>
    <s v="Mumbai"/>
    <s v="B2C"/>
    <n v="495.32"/>
  </r>
  <r>
    <x v="1799"/>
    <x v="5"/>
    <s v="Wrap Dress"/>
    <n v="2"/>
    <n v="739.57"/>
    <n v="1479.14"/>
    <m/>
    <n v="1479.14"/>
    <x v="457"/>
    <s v="Mumbai"/>
    <s v="B2C"/>
    <n v="1148.8699999999999"/>
  </r>
  <r>
    <x v="1800"/>
    <x v="3"/>
    <s v="Watches"/>
    <n v="-1"/>
    <m/>
    <n v="0"/>
    <m/>
    <n v="0"/>
    <x v="4"/>
    <s v="Ahmedabad"/>
    <s v="B2C"/>
    <n v="526.19000000000005"/>
  </r>
  <r>
    <x v="1801"/>
    <x v="3"/>
    <s v="Caps"/>
    <n v="1"/>
    <n v="2454.71"/>
    <n v="2454.71"/>
    <n v="0.1"/>
    <n v="2209.239"/>
    <x v="515"/>
    <s v="Mumbai"/>
    <s v="B2B"/>
    <n v="2850.37"/>
  </r>
  <r>
    <x v="1802"/>
    <x v="5"/>
    <s v="Wrap Dress"/>
    <n v="2"/>
    <m/>
    <n v="0"/>
    <n v="1.28"/>
    <n v="0"/>
    <x v="488"/>
    <s v="Ahmedabad"/>
    <s v="B2C"/>
    <n v="412.63"/>
  </r>
  <r>
    <x v="1803"/>
    <x v="4"/>
    <s v="Classic Tee"/>
    <n v="-2"/>
    <n v="3864.37"/>
    <n v="-7728.74"/>
    <m/>
    <n v="-7728.74"/>
    <x v="254"/>
    <s v="Bangalore"/>
    <s v="B2C"/>
    <n v="957.65"/>
  </r>
  <r>
    <x v="1804"/>
    <x v="1"/>
    <s v="Bomber Jacket"/>
    <n v="0"/>
    <m/>
    <n v="0"/>
    <m/>
    <n v="0"/>
    <x v="494"/>
    <s v="Ahmedabad"/>
    <s v="B2C"/>
    <n v="-724.81"/>
  </r>
  <r>
    <x v="1805"/>
    <x v="2"/>
    <s v="Boots"/>
    <n v="2"/>
    <m/>
    <n v="0"/>
    <n v="1.08"/>
    <n v="0"/>
    <x v="446"/>
    <s v="Delhi"/>
    <s v="B2C"/>
    <n v="1113.29"/>
  </r>
  <r>
    <x v="1806"/>
    <x v="3"/>
    <s v="Belts"/>
    <n v="2"/>
    <m/>
    <n v="0"/>
    <m/>
    <n v="0"/>
    <x v="4"/>
    <s v="Ahmedabad"/>
    <s v="B2B"/>
    <n v="2935.9"/>
  </r>
  <r>
    <x v="1807"/>
    <x v="4"/>
    <s v="Classic Tee"/>
    <n v="-1"/>
    <m/>
    <n v="0"/>
    <m/>
    <n v="0"/>
    <x v="4"/>
    <s v="Mumbai"/>
    <s v="B2C"/>
    <n v="2275.7399999999998"/>
  </r>
  <r>
    <x v="1808"/>
    <x v="0"/>
    <s v="Slim Fit Jeans"/>
    <n v="2"/>
    <n v="3996.87"/>
    <n v="7993.74"/>
    <m/>
    <n v="7993.74"/>
    <x v="293"/>
    <s v="Mumbai"/>
    <s v="B2C"/>
    <n v="496.23"/>
  </r>
  <r>
    <x v="1809"/>
    <x v="2"/>
    <s v="Loafers"/>
    <n v="2"/>
    <n v="2963.02"/>
    <n v="5926.04"/>
    <m/>
    <n v="5926.04"/>
    <x v="255"/>
    <s v="Bangalore"/>
    <s v="B2B"/>
    <n v="180.31"/>
  </r>
  <r>
    <x v="1810"/>
    <x v="1"/>
    <s v="Denim Jacket"/>
    <n v="2"/>
    <n v="4817.45"/>
    <n v="9634.9"/>
    <n v="1.07"/>
    <n v="-674.44300000000055"/>
    <x v="4"/>
    <s v="Pune"/>
    <s v="B2B"/>
    <n v="2048.06"/>
  </r>
  <r>
    <x v="1811"/>
    <x v="4"/>
    <s v="Crop Top"/>
    <n v="2"/>
    <n v="3588.42"/>
    <n v="7176.84"/>
    <n v="0.04"/>
    <n v="6889.7663999999995"/>
    <x v="33"/>
    <s v="Delhi"/>
    <s v="B2C"/>
    <n v="1952.28"/>
  </r>
  <r>
    <x v="797"/>
    <x v="5"/>
    <s v="Casual Midi"/>
    <n v="2"/>
    <m/>
    <n v="0"/>
    <m/>
    <n v="0"/>
    <x v="132"/>
    <s v="Ahmedabad"/>
    <s v="B2B"/>
    <n v="2091.3000000000002"/>
  </r>
  <r>
    <x v="1812"/>
    <x v="2"/>
    <s v="Boots"/>
    <n v="2"/>
    <m/>
    <n v="0"/>
    <n v="0.56000000000000005"/>
    <n v="0"/>
    <x v="424"/>
    <s v="Mumbai"/>
    <s v="B2C"/>
    <n v="-402.75"/>
  </r>
  <r>
    <x v="1813"/>
    <x v="0"/>
    <s v="Ripped Denim"/>
    <n v="5"/>
    <n v="4273.33"/>
    <n v="21366.65"/>
    <m/>
    <n v="21366.65"/>
    <x v="4"/>
    <s v="Bangalore"/>
    <s v="B2C"/>
    <n v="900.12"/>
  </r>
  <r>
    <x v="1814"/>
    <x v="1"/>
    <s v="Leather Jacket"/>
    <n v="-2"/>
    <n v="3522.98"/>
    <n v="-7045.96"/>
    <m/>
    <n v="-7045.96"/>
    <x v="341"/>
    <s v="Delhi"/>
    <s v="B2C"/>
    <n v="2242.67"/>
  </r>
  <r>
    <x v="1815"/>
    <x v="5"/>
    <s v="Maxi Dress"/>
    <n v="5"/>
    <m/>
    <n v="0"/>
    <n v="0.98"/>
    <n v="0"/>
    <x v="200"/>
    <s v="NaviMumbai"/>
    <s v="B2B"/>
    <n v="-618.55999999999995"/>
  </r>
  <r>
    <x v="1816"/>
    <x v="5"/>
    <s v="Bodycon"/>
    <n v="4"/>
    <n v="4609.95"/>
    <n v="18439.8"/>
    <m/>
    <n v="18439.8"/>
    <x v="516"/>
    <s v="Bangalore"/>
    <s v="B2B"/>
    <n v="-154.75"/>
  </r>
  <r>
    <x v="1817"/>
    <x v="0"/>
    <s v="Slim Fit Jeans"/>
    <n v="2"/>
    <n v="4443.01"/>
    <n v="8886.02"/>
    <m/>
    <n v="8886.02"/>
    <x v="138"/>
    <s v="Bangalore"/>
    <s v="B2B"/>
    <n v="-919.16"/>
  </r>
  <r>
    <x v="1818"/>
    <x v="5"/>
    <s v="Bodycon"/>
    <n v="2"/>
    <m/>
    <n v="0"/>
    <n v="0.97"/>
    <n v="0"/>
    <x v="4"/>
    <s v="Mumbai"/>
    <s v="B2B"/>
    <n v="182.38"/>
  </r>
  <r>
    <x v="1819"/>
    <x v="2"/>
    <s v="Boots"/>
    <n v="2"/>
    <n v="561.24"/>
    <n v="1122.48"/>
    <m/>
    <n v="1122.48"/>
    <x v="517"/>
    <s v="NaviMumbai"/>
    <s v="B2C"/>
    <n v="2551.12"/>
  </r>
  <r>
    <x v="1820"/>
    <x v="1"/>
    <s v="Bomber Jacket"/>
    <n v="2"/>
    <n v="2297.54"/>
    <n v="4595.08"/>
    <m/>
    <n v="4595.08"/>
    <x v="124"/>
    <s v="NaviMumbai"/>
    <s v="B2B"/>
    <n v="490.32"/>
  </r>
  <r>
    <x v="1821"/>
    <x v="0"/>
    <s v="Ripped Denim"/>
    <n v="2"/>
    <n v="4154.05"/>
    <n v="8308.1"/>
    <m/>
    <n v="8308.1"/>
    <x v="312"/>
    <s v="Mumbai"/>
    <s v="B2B"/>
    <n v="265"/>
  </r>
  <r>
    <x v="1822"/>
    <x v="3"/>
    <s v="Sunglasses"/>
    <n v="0"/>
    <n v="1812.58"/>
    <n v="0"/>
    <m/>
    <n v="0"/>
    <x v="273"/>
    <s v="Delhi"/>
    <s v="B2B"/>
    <n v="445.27"/>
  </r>
  <r>
    <x v="1823"/>
    <x v="4"/>
    <s v="Graphic Tee"/>
    <n v="2"/>
    <n v="1110.1099999999999"/>
    <n v="2220.2199999999998"/>
    <m/>
    <n v="2220.2199999999998"/>
    <x v="217"/>
    <s v="Mumbai"/>
    <s v="B2B"/>
    <n v="2926.44"/>
  </r>
  <r>
    <x v="1824"/>
    <x v="0"/>
    <s v="Straight Cut"/>
    <n v="2"/>
    <n v="2549.59"/>
    <n v="5099.18"/>
    <m/>
    <n v="5099.18"/>
    <x v="518"/>
    <s v="Delhi"/>
    <s v="B2C"/>
    <n v="2612.63"/>
  </r>
  <r>
    <x v="1825"/>
    <x v="1"/>
    <s v="Denim Jacket"/>
    <n v="-2"/>
    <m/>
    <n v="0"/>
    <m/>
    <n v="0"/>
    <x v="113"/>
    <s v="Delhi"/>
    <s v="B2B"/>
    <n v="-693.63"/>
  </r>
  <r>
    <x v="1826"/>
    <x v="2"/>
    <s v="Slip-ons"/>
    <n v="-2"/>
    <n v="2525.04"/>
    <n v="-5050.08"/>
    <n v="0.3"/>
    <n v="-3535.0559999999996"/>
    <x v="273"/>
    <s v="NaviMumbai"/>
    <s v="B2C"/>
    <n v="1003.34"/>
  </r>
  <r>
    <x v="1827"/>
    <x v="2"/>
    <s v="Boots"/>
    <n v="2"/>
    <n v="3424.29"/>
    <n v="6848.58"/>
    <n v="1.08"/>
    <n v="-547.88640000000044"/>
    <x v="298"/>
    <s v="Pune"/>
    <s v="B2B"/>
    <n v="2560.3200000000002"/>
  </r>
  <r>
    <x v="1828"/>
    <x v="1"/>
    <s v="Leather Jacket"/>
    <n v="2"/>
    <m/>
    <n v="0"/>
    <m/>
    <n v="0"/>
    <x v="475"/>
    <s v="Ahmedabad"/>
    <s v="B2C"/>
    <n v="2638.28"/>
  </r>
  <r>
    <x v="1829"/>
    <x v="3"/>
    <s v="Sunglasses"/>
    <n v="2"/>
    <m/>
    <n v="0"/>
    <n v="0.35"/>
    <n v="0"/>
    <x v="4"/>
    <s v="Mumbai"/>
    <s v="B2B"/>
    <n v="1750.23"/>
  </r>
  <r>
    <x v="1830"/>
    <x v="0"/>
    <s v="Slim Fit Jeans"/>
    <n v="2"/>
    <n v="2687.96"/>
    <n v="5375.92"/>
    <m/>
    <n v="5375.92"/>
    <x v="322"/>
    <s v="Delhi"/>
    <s v="B2B"/>
    <n v="2288"/>
  </r>
  <r>
    <x v="1831"/>
    <x v="5"/>
    <s v="Casual Midi"/>
    <n v="2"/>
    <n v="1525.28"/>
    <n v="3050.56"/>
    <m/>
    <n v="3050.56"/>
    <x v="65"/>
    <s v="NaviMumbai"/>
    <s v="B2C"/>
    <n v="-560.49"/>
  </r>
  <r>
    <x v="1832"/>
    <x v="2"/>
    <s v="Boots"/>
    <n v="2"/>
    <n v="1816.76"/>
    <n v="3633.52"/>
    <m/>
    <n v="3633.52"/>
    <x v="4"/>
    <s v="Mumbai"/>
    <s v="B2C"/>
    <n v="630.13"/>
  </r>
  <r>
    <x v="1833"/>
    <x v="4"/>
    <s v="Graphic Tee"/>
    <n v="2"/>
    <n v="1212.44"/>
    <n v="2424.88"/>
    <n v="0.89"/>
    <n v="266.73679999999996"/>
    <x v="243"/>
    <s v="Mumbai"/>
    <s v="B2C"/>
    <n v="175.39"/>
  </r>
  <r>
    <x v="1834"/>
    <x v="0"/>
    <s v="Slim Fit Jeans"/>
    <n v="2"/>
    <n v="3303.02"/>
    <n v="6606.04"/>
    <n v="0.7"/>
    <n v="1981.8120000000004"/>
    <x v="4"/>
    <s v="Mumbai"/>
    <s v="B2B"/>
    <n v="276.29000000000002"/>
  </r>
  <r>
    <x v="1835"/>
    <x v="0"/>
    <s v="Slim Fit Jeans"/>
    <n v="2"/>
    <n v="1831.4"/>
    <n v="3662.8"/>
    <m/>
    <n v="3662.8"/>
    <x v="275"/>
    <s v="NaviMumbai"/>
    <s v="B2C"/>
    <n v="719.33"/>
  </r>
  <r>
    <x v="1836"/>
    <x v="5"/>
    <s v="Wrap Dress"/>
    <n v="2"/>
    <m/>
    <n v="0"/>
    <m/>
    <n v="0"/>
    <x v="4"/>
    <s v="NaviMumbai"/>
    <s v="B2B"/>
    <n v="1448.8"/>
  </r>
  <r>
    <x v="1837"/>
    <x v="0"/>
    <s v="Straight Cut"/>
    <n v="5"/>
    <m/>
    <n v="0"/>
    <m/>
    <n v="0"/>
    <x v="281"/>
    <s v="Mumbai"/>
    <s v="B2B"/>
    <n v="-625.91999999999996"/>
  </r>
  <r>
    <x v="1838"/>
    <x v="0"/>
    <s v="Boyfriend Jeans"/>
    <n v="-1"/>
    <n v="3270.29"/>
    <n v="-3270.29"/>
    <m/>
    <n v="-3270.29"/>
    <x v="323"/>
    <s v="Pune"/>
    <s v="B2C"/>
    <n v="-539.25"/>
  </r>
  <r>
    <x v="1839"/>
    <x v="3"/>
    <s v="Sunglasses"/>
    <n v="2"/>
    <m/>
    <n v="0"/>
    <n v="0.78"/>
    <n v="0"/>
    <x v="519"/>
    <s v="Bangalore"/>
    <s v="B2B"/>
    <n v="1686.29"/>
  </r>
  <r>
    <x v="1840"/>
    <x v="0"/>
    <s v="Straight Cut"/>
    <n v="2"/>
    <n v="4428.24"/>
    <n v="8856.48"/>
    <n v="0.09"/>
    <n v="8059.3967999999995"/>
    <x v="4"/>
    <s v="Mumbai"/>
    <s v="B2C"/>
    <n v="-641.59"/>
  </r>
  <r>
    <x v="1841"/>
    <x v="5"/>
    <s v="Maxi Dress"/>
    <n v="4"/>
    <m/>
    <n v="0"/>
    <n v="0.06"/>
    <n v="0"/>
    <x v="200"/>
    <s v="Delhi"/>
    <s v="B2C"/>
    <n v="-936.94"/>
  </r>
  <r>
    <x v="1842"/>
    <x v="0"/>
    <s v="Straight Cut"/>
    <n v="2"/>
    <m/>
    <n v="0"/>
    <m/>
    <n v="0"/>
    <x v="4"/>
    <s v="Pune"/>
    <s v="B2C"/>
    <n v="824.88"/>
  </r>
  <r>
    <x v="1843"/>
    <x v="2"/>
    <s v="Slip-ons"/>
    <n v="6"/>
    <n v="1459.76"/>
    <n v="8758.56"/>
    <n v="1.18"/>
    <n v="-1576.5407999999993"/>
    <x v="164"/>
    <s v="Bangalore"/>
    <s v="B2B"/>
    <n v="2541"/>
  </r>
  <r>
    <x v="1844"/>
    <x v="1"/>
    <s v="Leather Jacket"/>
    <n v="5"/>
    <n v="2535.29"/>
    <n v="12676.45"/>
    <m/>
    <n v="12676.45"/>
    <x v="216"/>
    <s v="Bangalore"/>
    <s v="B2C"/>
    <n v="-456.39"/>
  </r>
  <r>
    <x v="1569"/>
    <x v="0"/>
    <s v="Boyfriend Jeans"/>
    <n v="2"/>
    <n v="2043.3"/>
    <n v="4086.6"/>
    <n v="0.33"/>
    <n v="2738.0219999999995"/>
    <x v="4"/>
    <s v="Ahmedabad"/>
    <s v="B2B"/>
    <n v="-389.95"/>
  </r>
  <r>
    <x v="1845"/>
    <x v="0"/>
    <s v="Ripped Denim"/>
    <n v="2"/>
    <m/>
    <n v="0"/>
    <m/>
    <n v="0"/>
    <x v="480"/>
    <s v="Bangalore"/>
    <s v="B2C"/>
    <n v="883.66"/>
  </r>
  <r>
    <x v="1846"/>
    <x v="0"/>
    <s v="Ripped Denim"/>
    <n v="2"/>
    <m/>
    <n v="0"/>
    <m/>
    <n v="0"/>
    <x v="4"/>
    <s v="Delhi"/>
    <s v="B2C"/>
    <n v="478.82"/>
  </r>
  <r>
    <x v="1847"/>
    <x v="3"/>
    <s v="Sunglasses"/>
    <n v="4"/>
    <n v="1392.21"/>
    <n v="5568.84"/>
    <m/>
    <n v="5568.84"/>
    <x v="27"/>
    <s v="Bangalore"/>
    <s v="B2B"/>
    <n v="758.3"/>
  </r>
  <r>
    <x v="1848"/>
    <x v="5"/>
    <s v="Casual Midi"/>
    <n v="2"/>
    <n v="4238.91"/>
    <n v="8477.82"/>
    <m/>
    <n v="8477.82"/>
    <x v="4"/>
    <s v="NaviMumbai"/>
    <s v="B2B"/>
    <n v="-746.44"/>
  </r>
  <r>
    <x v="1849"/>
    <x v="0"/>
    <s v="Ripped Denim"/>
    <n v="2"/>
    <n v="839.34"/>
    <n v="1678.68"/>
    <m/>
    <n v="1678.68"/>
    <x v="235"/>
    <s v="Pune"/>
    <s v="B2C"/>
    <n v="367.87"/>
  </r>
  <r>
    <x v="1850"/>
    <x v="5"/>
    <s v="Wrap Dress"/>
    <n v="2"/>
    <m/>
    <n v="0"/>
    <m/>
    <n v="0"/>
    <x v="113"/>
    <s v="Mumbai"/>
    <s v="B2C"/>
    <n v="2126.04"/>
  </r>
  <r>
    <x v="1851"/>
    <x v="0"/>
    <s v="Straight Cut"/>
    <n v="-1"/>
    <m/>
    <n v="0"/>
    <m/>
    <n v="0"/>
    <x v="88"/>
    <s v="Bangalore"/>
    <s v="B2C"/>
    <n v="148.19999999999999"/>
  </r>
  <r>
    <x v="1852"/>
    <x v="2"/>
    <s v="Loafers"/>
    <n v="5"/>
    <n v="1354.14"/>
    <n v="6770.7000000000007"/>
    <m/>
    <n v="6770.7000000000007"/>
    <x v="160"/>
    <s v="Ahmedabad"/>
    <s v="B2B"/>
    <n v="2535.62"/>
  </r>
  <r>
    <x v="606"/>
    <x v="0"/>
    <s v="Boyfriend Jeans"/>
    <n v="2"/>
    <n v="3754.23"/>
    <n v="7508.46"/>
    <n v="0.87"/>
    <n v="976.09980000000007"/>
    <x v="190"/>
    <s v="Mumbai"/>
    <s v="B2C"/>
    <n v="-153.77000000000001"/>
  </r>
  <r>
    <x v="1853"/>
    <x v="1"/>
    <s v="Puffer Coat"/>
    <n v="2"/>
    <m/>
    <n v="0"/>
    <m/>
    <n v="0"/>
    <x v="22"/>
    <s v="Delhi"/>
    <s v="B2B"/>
    <n v="1291.9000000000001"/>
  </r>
  <r>
    <x v="1854"/>
    <x v="0"/>
    <s v="Straight Cut"/>
    <n v="6"/>
    <n v="3824.82"/>
    <n v="22948.920000000002"/>
    <n v="0.82"/>
    <n v="4130.8056000000015"/>
    <x v="178"/>
    <s v="Bangalore"/>
    <s v="B2C"/>
    <n v="688.53"/>
  </r>
  <r>
    <x v="1855"/>
    <x v="2"/>
    <s v="Boots"/>
    <n v="2"/>
    <m/>
    <n v="0"/>
    <n v="0.28999999999999998"/>
    <n v="0"/>
    <x v="4"/>
    <s v="NaviMumbai"/>
    <s v="B2B"/>
    <n v="2293.59"/>
  </r>
  <r>
    <x v="1856"/>
    <x v="1"/>
    <s v="Bomber Jacket"/>
    <n v="2"/>
    <m/>
    <n v="0"/>
    <m/>
    <n v="0"/>
    <x v="291"/>
    <s v="NaviMumbai"/>
    <s v="B2C"/>
    <n v="2309.5500000000002"/>
  </r>
  <r>
    <x v="1857"/>
    <x v="1"/>
    <s v="Bomber Jacket"/>
    <n v="2"/>
    <m/>
    <n v="0"/>
    <n v="0.02"/>
    <n v="0"/>
    <x v="4"/>
    <s v="Delhi"/>
    <s v="B2B"/>
    <n v="1146.23"/>
  </r>
  <r>
    <x v="1858"/>
    <x v="3"/>
    <s v="Belts"/>
    <n v="2"/>
    <m/>
    <n v="0"/>
    <m/>
    <n v="0"/>
    <x v="229"/>
    <s v="Mumbai"/>
    <s v="B2C"/>
    <n v="970.22"/>
  </r>
  <r>
    <x v="1859"/>
    <x v="0"/>
    <s v="Boyfriend Jeans"/>
    <n v="-2"/>
    <m/>
    <n v="0"/>
    <m/>
    <n v="0"/>
    <x v="293"/>
    <s v="NaviMumbai"/>
    <s v="B2C"/>
    <n v="1850.77"/>
  </r>
  <r>
    <x v="1860"/>
    <x v="3"/>
    <s v="Caps"/>
    <n v="3"/>
    <n v="583.53"/>
    <n v="1750.59"/>
    <m/>
    <n v="1750.59"/>
    <x v="54"/>
    <s v="Mumbai"/>
    <s v="B2C"/>
    <n v="2334.42"/>
  </r>
  <r>
    <x v="1861"/>
    <x v="4"/>
    <s v="Graphic Tee"/>
    <n v="2"/>
    <n v="2320.7600000000002"/>
    <n v="4641.5200000000004"/>
    <m/>
    <n v="4641.5200000000004"/>
    <x v="334"/>
    <s v="Ahmedabad"/>
    <s v="B2C"/>
    <n v="2529.16"/>
  </r>
  <r>
    <x v="1862"/>
    <x v="0"/>
    <s v="Ripped Denim"/>
    <n v="2"/>
    <m/>
    <n v="0"/>
    <n v="0.4"/>
    <n v="0"/>
    <x v="54"/>
    <s v="Pune"/>
    <s v="B2B"/>
    <n v="896.38"/>
  </r>
  <r>
    <x v="1863"/>
    <x v="4"/>
    <s v="Classic Tee"/>
    <n v="2"/>
    <n v="2666.48"/>
    <n v="5332.96"/>
    <m/>
    <n v="5332.96"/>
    <x v="238"/>
    <s v="Pune"/>
    <s v="B2B"/>
    <n v="-17.89"/>
  </r>
  <r>
    <x v="1864"/>
    <x v="4"/>
    <s v="Graphic Tee"/>
    <n v="2"/>
    <n v="3229.15"/>
    <n v="6458.3"/>
    <n v="1.03"/>
    <n v="-193.74900000000017"/>
    <x v="127"/>
    <s v="Ahmedabad"/>
    <s v="B2B"/>
    <n v="175.26"/>
  </r>
  <r>
    <x v="1865"/>
    <x v="0"/>
    <s v="Boyfriend Jeans"/>
    <n v="2"/>
    <n v="3331.72"/>
    <n v="6663.44"/>
    <n v="1.25"/>
    <n v="-1665.86"/>
    <x v="4"/>
    <s v="Mumbai"/>
    <s v="B2B"/>
    <n v="-267.95999999999998"/>
  </r>
  <r>
    <x v="1866"/>
    <x v="5"/>
    <s v="Casual Midi"/>
    <n v="-1"/>
    <m/>
    <n v="0"/>
    <m/>
    <n v="0"/>
    <x v="499"/>
    <s v="Ahmedabad"/>
    <s v="B2C"/>
    <n v="2007.16"/>
  </r>
  <r>
    <x v="1867"/>
    <x v="2"/>
    <s v="Loafers"/>
    <n v="5"/>
    <m/>
    <n v="0"/>
    <m/>
    <n v="0"/>
    <x v="150"/>
    <s v="NaviMumbai"/>
    <s v="B2C"/>
    <n v="1874.28"/>
  </r>
  <r>
    <x v="1868"/>
    <x v="5"/>
    <s v="Wrap Dress"/>
    <n v="1"/>
    <n v="2357.36"/>
    <n v="2357.36"/>
    <m/>
    <n v="2357.36"/>
    <x v="397"/>
    <s v="Pune"/>
    <s v="B2C"/>
    <n v="468.3"/>
  </r>
  <r>
    <x v="1869"/>
    <x v="1"/>
    <s v="Puffer Coat"/>
    <n v="2"/>
    <m/>
    <n v="0"/>
    <m/>
    <n v="0"/>
    <x v="4"/>
    <s v="Ahmedabad"/>
    <s v="B2C"/>
    <n v="-363.86"/>
  </r>
  <r>
    <x v="1870"/>
    <x v="3"/>
    <s v="Belts"/>
    <n v="2"/>
    <m/>
    <n v="0"/>
    <m/>
    <n v="0"/>
    <x v="247"/>
    <s v="Ahmedabad"/>
    <s v="B2C"/>
    <n v="-502.19"/>
  </r>
  <r>
    <x v="1871"/>
    <x v="2"/>
    <s v="Loafers"/>
    <n v="2"/>
    <m/>
    <n v="0"/>
    <m/>
    <n v="0"/>
    <x v="494"/>
    <s v="Bangalore"/>
    <s v="B2B"/>
    <n v="1825.47"/>
  </r>
  <r>
    <x v="1872"/>
    <x v="2"/>
    <s v="Loafers"/>
    <n v="3"/>
    <m/>
    <n v="0"/>
    <m/>
    <n v="0"/>
    <x v="4"/>
    <s v="Bangalore"/>
    <s v="B2B"/>
    <n v="1479.24"/>
  </r>
  <r>
    <x v="1873"/>
    <x v="2"/>
    <s v="Boots"/>
    <n v="2"/>
    <n v="3593.06"/>
    <n v="7186.12"/>
    <n v="0.34"/>
    <n v="4742.8391999999994"/>
    <x v="4"/>
    <s v="NaviMumbai"/>
    <s v="B2C"/>
    <n v="1031.6600000000001"/>
  </r>
  <r>
    <x v="1874"/>
    <x v="5"/>
    <s v="Wrap Dress"/>
    <n v="2"/>
    <m/>
    <n v="0"/>
    <m/>
    <n v="0"/>
    <x v="309"/>
    <s v="NaviMumbai"/>
    <s v="B2C"/>
    <n v="2760.7"/>
  </r>
  <r>
    <x v="1875"/>
    <x v="1"/>
    <s v="Denim Jacket"/>
    <n v="1"/>
    <n v="1194.44"/>
    <n v="1194.44"/>
    <m/>
    <n v="1194.44"/>
    <x v="110"/>
    <s v="Delhi"/>
    <s v="B2B"/>
    <n v="1048.51"/>
  </r>
  <r>
    <x v="1876"/>
    <x v="5"/>
    <s v="Wrap Dress"/>
    <n v="6"/>
    <m/>
    <n v="0"/>
    <n v="0.54"/>
    <n v="0"/>
    <x v="270"/>
    <s v="Delhi"/>
    <s v="B2B"/>
    <n v="-274.57"/>
  </r>
  <r>
    <x v="1877"/>
    <x v="3"/>
    <s v="Sunglasses"/>
    <n v="2"/>
    <n v="3086.59"/>
    <n v="6173.18"/>
    <m/>
    <n v="6173.18"/>
    <x v="369"/>
    <s v="Delhi"/>
    <s v="B2C"/>
    <n v="-745.27"/>
  </r>
  <r>
    <x v="1878"/>
    <x v="5"/>
    <s v="Wrap Dress"/>
    <n v="2"/>
    <m/>
    <n v="0"/>
    <m/>
    <n v="0"/>
    <x v="4"/>
    <s v="Ahmedabad"/>
    <s v="B2B"/>
    <n v="36.92"/>
  </r>
  <r>
    <x v="1879"/>
    <x v="2"/>
    <s v="Sneakers"/>
    <n v="2"/>
    <n v="1817.71"/>
    <n v="3635.42"/>
    <m/>
    <n v="3635.42"/>
    <x v="386"/>
    <s v="Mumbai"/>
    <s v="B2C"/>
    <n v="391.06"/>
  </r>
  <r>
    <x v="1880"/>
    <x v="0"/>
    <s v="Boyfriend Jeans"/>
    <n v="5"/>
    <n v="3153.37"/>
    <n v="15766.849999999999"/>
    <m/>
    <n v="15766.849999999999"/>
    <x v="134"/>
    <s v="Bangalore"/>
    <s v="B2C"/>
    <n v="-594.19000000000005"/>
  </r>
  <r>
    <x v="1881"/>
    <x v="4"/>
    <s v="Classic Tee"/>
    <n v="2"/>
    <m/>
    <n v="0"/>
    <m/>
    <n v="0"/>
    <x v="4"/>
    <s v="NaviMumbai"/>
    <s v="B2C"/>
    <n v="2232.1799999999998"/>
  </r>
  <r>
    <x v="1882"/>
    <x v="4"/>
    <s v="Crop Top"/>
    <n v="5"/>
    <n v="1202.73"/>
    <n v="6013.65"/>
    <m/>
    <n v="6013.65"/>
    <x v="98"/>
    <s v="NaviMumbai"/>
    <s v="B2C"/>
    <n v="658.6"/>
  </r>
  <r>
    <x v="1883"/>
    <x v="0"/>
    <s v="Straight Cut"/>
    <n v="2"/>
    <n v="1478.93"/>
    <n v="2957.86"/>
    <m/>
    <n v="2957.86"/>
    <x v="0"/>
    <s v="NaviMumbai"/>
    <s v="B2C"/>
    <n v="25.28"/>
  </r>
  <r>
    <x v="1884"/>
    <x v="5"/>
    <s v="Bodycon"/>
    <n v="2"/>
    <m/>
    <n v="0"/>
    <n v="0.25"/>
    <n v="0"/>
    <x v="230"/>
    <s v="Ahmedabad"/>
    <s v="B2C"/>
    <n v="-116.3"/>
  </r>
  <r>
    <x v="1885"/>
    <x v="4"/>
    <s v="Graphic Tee"/>
    <n v="2"/>
    <m/>
    <n v="0"/>
    <m/>
    <n v="0"/>
    <x v="78"/>
    <s v="NaviMumbai"/>
    <s v="B2B"/>
    <n v="-782.3"/>
  </r>
  <r>
    <x v="1886"/>
    <x v="0"/>
    <s v="Straight Cut"/>
    <n v="2"/>
    <m/>
    <n v="0"/>
    <n v="0.51"/>
    <n v="0"/>
    <x v="145"/>
    <s v="Pune"/>
    <s v="B2C"/>
    <n v="-61.23"/>
  </r>
  <r>
    <x v="1887"/>
    <x v="4"/>
    <s v="Crop Top"/>
    <n v="2"/>
    <n v="2928.84"/>
    <n v="5857.68"/>
    <m/>
    <n v="5857.68"/>
    <x v="356"/>
    <s v="Delhi"/>
    <s v="B2B"/>
    <n v="-477.2"/>
  </r>
  <r>
    <x v="1888"/>
    <x v="5"/>
    <s v="Bodycon"/>
    <n v="2"/>
    <n v="1027.54"/>
    <n v="2055.08"/>
    <n v="0.55000000000000004"/>
    <n v="924.78599999999983"/>
    <x v="208"/>
    <s v="Ahmedabad"/>
    <s v="B2C"/>
    <n v="-580.87"/>
  </r>
  <r>
    <x v="1889"/>
    <x v="5"/>
    <s v="Casual Midi"/>
    <n v="1"/>
    <m/>
    <n v="0"/>
    <m/>
    <n v="0"/>
    <x v="4"/>
    <s v="Ahmedabad"/>
    <s v="B2B"/>
    <n v="2672.56"/>
  </r>
  <r>
    <x v="1890"/>
    <x v="2"/>
    <s v="Boots"/>
    <n v="2"/>
    <m/>
    <n v="0"/>
    <m/>
    <n v="0"/>
    <x v="178"/>
    <s v="Pune"/>
    <s v="B2C"/>
    <n v="-97.77"/>
  </r>
  <r>
    <x v="1891"/>
    <x v="2"/>
    <s v="Sneakers"/>
    <n v="2"/>
    <m/>
    <n v="0"/>
    <m/>
    <n v="0"/>
    <x v="4"/>
    <s v="Ahmedabad"/>
    <s v="B2C"/>
    <n v="1693.76"/>
  </r>
  <r>
    <x v="1892"/>
    <x v="3"/>
    <s v="Belts"/>
    <n v="2"/>
    <m/>
    <n v="0"/>
    <n v="1.03"/>
    <n v="0"/>
    <x v="520"/>
    <s v="Delhi"/>
    <s v="B2C"/>
    <n v="2321.6"/>
  </r>
  <r>
    <x v="1893"/>
    <x v="3"/>
    <s v="Belts"/>
    <n v="2"/>
    <n v="3022.15"/>
    <n v="6044.3"/>
    <m/>
    <n v="6044.3"/>
    <x v="462"/>
    <s v="Delhi"/>
    <s v="B2C"/>
    <n v="-528.82000000000005"/>
  </r>
  <r>
    <x v="1894"/>
    <x v="1"/>
    <s v="Denim Jacket"/>
    <n v="2"/>
    <n v="2483.4899999999998"/>
    <n v="4966.9799999999996"/>
    <m/>
    <n v="4966.9799999999996"/>
    <x v="207"/>
    <s v="Ahmedabad"/>
    <s v="B2B"/>
    <n v="370.61"/>
  </r>
  <r>
    <x v="1895"/>
    <x v="3"/>
    <s v="Watches"/>
    <n v="2"/>
    <n v="2092.33"/>
    <n v="4184.66"/>
    <m/>
    <n v="4184.66"/>
    <x v="503"/>
    <s v="Ahmedabad"/>
    <s v="B2C"/>
    <n v="-586.88"/>
  </r>
  <r>
    <x v="1896"/>
    <x v="2"/>
    <s v="Sneakers"/>
    <n v="2"/>
    <m/>
    <n v="0"/>
    <m/>
    <n v="0"/>
    <x v="4"/>
    <s v="Delhi"/>
    <s v="B2C"/>
    <n v="899.98"/>
  </r>
  <r>
    <x v="1897"/>
    <x v="0"/>
    <s v="Slim Fit Jeans"/>
    <n v="2"/>
    <n v="535.62"/>
    <n v="1071.24"/>
    <m/>
    <n v="1071.24"/>
    <x v="216"/>
    <s v="Bangalore"/>
    <s v="B2C"/>
    <n v="-637.47"/>
  </r>
  <r>
    <x v="506"/>
    <x v="3"/>
    <s v="Belts"/>
    <n v="1"/>
    <m/>
    <n v="0"/>
    <n v="1.3"/>
    <n v="0"/>
    <x v="193"/>
    <s v="NaviMumbai"/>
    <s v="B2C"/>
    <n v="489.94"/>
  </r>
  <r>
    <x v="1898"/>
    <x v="2"/>
    <s v="Sneakers"/>
    <n v="6"/>
    <m/>
    <n v="0"/>
    <m/>
    <n v="0"/>
    <x v="3"/>
    <s v="NaviMumbai"/>
    <s v="B2C"/>
    <n v="-821.17"/>
  </r>
  <r>
    <x v="1899"/>
    <x v="1"/>
    <s v="Leather Jacket"/>
    <n v="2"/>
    <n v="2488.9499999999998"/>
    <n v="4977.8999999999996"/>
    <n v="1.23"/>
    <n v="-1144.9169999999999"/>
    <x v="4"/>
    <s v="NaviMumbai"/>
    <s v="B2C"/>
    <n v="2827.47"/>
  </r>
  <r>
    <x v="1900"/>
    <x v="3"/>
    <s v="Sunglasses"/>
    <n v="0"/>
    <m/>
    <n v="0"/>
    <n v="0.17"/>
    <n v="0"/>
    <x v="25"/>
    <s v="NaviMumbai"/>
    <s v="B2C"/>
    <n v="-674.63"/>
  </r>
  <r>
    <x v="1901"/>
    <x v="1"/>
    <s v="Bomber Jacket"/>
    <n v="2"/>
    <n v="4151.88"/>
    <n v="8303.76"/>
    <n v="0.05"/>
    <n v="7888.5720000000001"/>
    <x v="112"/>
    <s v="Pune"/>
    <s v="B2C"/>
    <n v="577.77"/>
  </r>
  <r>
    <x v="1902"/>
    <x v="0"/>
    <s v="Slim Fit Jeans"/>
    <n v="2"/>
    <n v="977.64"/>
    <n v="1955.28"/>
    <m/>
    <n v="1955.28"/>
    <x v="374"/>
    <s v="Bangalore"/>
    <s v="B2C"/>
    <n v="2702.46"/>
  </r>
  <r>
    <x v="1903"/>
    <x v="5"/>
    <s v="Wrap Dress"/>
    <n v="4"/>
    <n v="3263.06"/>
    <n v="13052.24"/>
    <n v="0.16"/>
    <n v="10963.881599999999"/>
    <x v="27"/>
    <s v="Mumbai"/>
    <s v="B2C"/>
    <n v="2428.73"/>
  </r>
  <r>
    <x v="1904"/>
    <x v="5"/>
    <s v="Wrap Dress"/>
    <n v="2"/>
    <m/>
    <n v="0"/>
    <m/>
    <n v="0"/>
    <x v="38"/>
    <s v="Mumbai"/>
    <s v="B2B"/>
    <n v="-674.94"/>
  </r>
  <r>
    <x v="1905"/>
    <x v="2"/>
    <s v="Sneakers"/>
    <n v="0"/>
    <m/>
    <n v="0"/>
    <n v="0.78"/>
    <n v="0"/>
    <x v="341"/>
    <s v="Delhi"/>
    <s v="B2C"/>
    <n v="642.22"/>
  </r>
  <r>
    <x v="1906"/>
    <x v="4"/>
    <s v="Classic Tee"/>
    <n v="2"/>
    <n v="4733.41"/>
    <n v="9466.82"/>
    <n v="1.1299999999999999"/>
    <n v="-1230.6865999999989"/>
    <x v="288"/>
    <s v="Bangalore"/>
    <s v="B2C"/>
    <n v="2459.5"/>
  </r>
  <r>
    <x v="1907"/>
    <x v="5"/>
    <s v="Wrap Dress"/>
    <n v="0"/>
    <n v="2642.73"/>
    <n v="0"/>
    <n v="0.09"/>
    <n v="0"/>
    <x v="358"/>
    <s v="Ahmedabad"/>
    <s v="B2C"/>
    <n v="996.68"/>
  </r>
  <r>
    <x v="1908"/>
    <x v="0"/>
    <s v="Ripped Denim"/>
    <n v="2"/>
    <n v="2629.78"/>
    <n v="5259.56"/>
    <n v="1.3"/>
    <n v="-1577.8680000000004"/>
    <x v="4"/>
    <s v="Delhi"/>
    <s v="B2C"/>
    <n v="2826.2"/>
  </r>
  <r>
    <x v="1909"/>
    <x v="2"/>
    <s v="Sneakers"/>
    <n v="2"/>
    <m/>
    <n v="0"/>
    <m/>
    <n v="0"/>
    <x v="447"/>
    <s v="NaviMumbai"/>
    <s v="B2B"/>
    <n v="700.64"/>
  </r>
  <r>
    <x v="1910"/>
    <x v="0"/>
    <s v="Straight Cut"/>
    <n v="2"/>
    <n v="2891"/>
    <n v="5782"/>
    <m/>
    <n v="5782"/>
    <x v="457"/>
    <s v="Delhi"/>
    <s v="B2C"/>
    <n v="1279.32"/>
  </r>
  <r>
    <x v="1911"/>
    <x v="5"/>
    <s v="Wrap Dress"/>
    <n v="5"/>
    <m/>
    <n v="0"/>
    <m/>
    <n v="0"/>
    <x v="67"/>
    <s v="Ahmedabad"/>
    <s v="B2C"/>
    <n v="-811.78"/>
  </r>
  <r>
    <x v="1912"/>
    <x v="2"/>
    <s v="Loafers"/>
    <n v="2"/>
    <n v="3681.08"/>
    <n v="7362.16"/>
    <m/>
    <n v="7362.16"/>
    <x v="4"/>
    <s v="NaviMumbai"/>
    <s v="B2B"/>
    <n v="2705.42"/>
  </r>
  <r>
    <x v="1913"/>
    <x v="2"/>
    <s v="Loafers"/>
    <n v="2"/>
    <n v="4487.5"/>
    <n v="8975"/>
    <m/>
    <n v="8975"/>
    <x v="280"/>
    <s v="Pune"/>
    <s v="B2B"/>
    <n v="2518.5300000000002"/>
  </r>
  <r>
    <x v="1914"/>
    <x v="3"/>
    <s v="Sunglasses"/>
    <n v="-2"/>
    <m/>
    <n v="0"/>
    <m/>
    <n v="0"/>
    <x v="409"/>
    <s v="Mumbai"/>
    <s v="B2C"/>
    <n v="-889.53"/>
  </r>
  <r>
    <x v="580"/>
    <x v="2"/>
    <s v="Boots"/>
    <n v="2"/>
    <n v="2429.63"/>
    <n v="4859.26"/>
    <m/>
    <n v="4859.26"/>
    <x v="4"/>
    <s v="Ahmedabad"/>
    <s v="B2B"/>
    <n v="-7.17"/>
  </r>
  <r>
    <x v="1915"/>
    <x v="2"/>
    <s v="Sneakers"/>
    <n v="2"/>
    <m/>
    <n v="0"/>
    <m/>
    <n v="0"/>
    <x v="94"/>
    <s v="Bangalore"/>
    <s v="B2C"/>
    <n v="2143.94"/>
  </r>
  <r>
    <x v="1916"/>
    <x v="2"/>
    <s v="Slip-ons"/>
    <n v="2"/>
    <m/>
    <n v="0"/>
    <m/>
    <n v="0"/>
    <x v="338"/>
    <s v="NaviMumbai"/>
    <s v="B2C"/>
    <n v="1992.92"/>
  </r>
  <r>
    <x v="1917"/>
    <x v="1"/>
    <s v="Puffer Coat"/>
    <n v="2"/>
    <n v="2144.36"/>
    <n v="4288.72"/>
    <m/>
    <n v="4288.72"/>
    <x v="448"/>
    <s v="Pune"/>
    <s v="B2C"/>
    <n v="1435.03"/>
  </r>
  <r>
    <x v="1918"/>
    <x v="3"/>
    <s v="Sunglasses"/>
    <n v="2"/>
    <m/>
    <n v="0"/>
    <n v="0.56000000000000005"/>
    <n v="0"/>
    <x v="4"/>
    <s v="Pune"/>
    <s v="B2C"/>
    <n v="2500.35"/>
  </r>
  <r>
    <x v="1919"/>
    <x v="0"/>
    <s v="Boyfriend Jeans"/>
    <n v="2"/>
    <n v="4638.0200000000004"/>
    <n v="9276.0400000000009"/>
    <m/>
    <n v="9276.0400000000009"/>
    <x v="28"/>
    <s v="Pune"/>
    <s v="B2C"/>
    <n v="745.3"/>
  </r>
  <r>
    <x v="1920"/>
    <x v="5"/>
    <s v="Casual Midi"/>
    <n v="1"/>
    <n v="1313.35"/>
    <n v="1313.35"/>
    <n v="0.2"/>
    <n v="1050.68"/>
    <x v="357"/>
    <s v="NaviMumbai"/>
    <s v="B2C"/>
    <n v="-384.05"/>
  </r>
  <r>
    <x v="1888"/>
    <x v="2"/>
    <s v="Boots"/>
    <n v="1"/>
    <m/>
    <n v="0"/>
    <m/>
    <n v="0"/>
    <x v="159"/>
    <s v="Mumbai"/>
    <s v="B2C"/>
    <n v="-130.97"/>
  </r>
  <r>
    <x v="1921"/>
    <x v="5"/>
    <s v="Wrap Dress"/>
    <n v="-1"/>
    <m/>
    <n v="0"/>
    <n v="1.2"/>
    <n v="0"/>
    <x v="233"/>
    <s v="Mumbai"/>
    <s v="B2B"/>
    <n v="2187.48"/>
  </r>
  <r>
    <x v="1922"/>
    <x v="2"/>
    <s v="Boots"/>
    <n v="2"/>
    <m/>
    <n v="0"/>
    <n v="0.97"/>
    <n v="0"/>
    <x v="460"/>
    <s v="Mumbai"/>
    <s v="B2C"/>
    <n v="1577.91"/>
  </r>
  <r>
    <x v="1923"/>
    <x v="0"/>
    <s v="Slim Fit Jeans"/>
    <n v="5"/>
    <n v="2494.15"/>
    <n v="12470.75"/>
    <m/>
    <n v="12470.75"/>
    <x v="323"/>
    <s v="Delhi"/>
    <s v="B2B"/>
    <n v="-901.7"/>
  </r>
  <r>
    <x v="1924"/>
    <x v="0"/>
    <s v="Boyfriend Jeans"/>
    <n v="2"/>
    <m/>
    <n v="0"/>
    <n v="0.1"/>
    <n v="0"/>
    <x v="4"/>
    <s v="Pune"/>
    <s v="B2C"/>
    <n v="1569.63"/>
  </r>
  <r>
    <x v="1925"/>
    <x v="3"/>
    <s v="Belts"/>
    <n v="2"/>
    <m/>
    <n v="0"/>
    <n v="0.27"/>
    <n v="0"/>
    <x v="214"/>
    <s v="Bangalore"/>
    <s v="B2C"/>
    <n v="1158.28"/>
  </r>
  <r>
    <x v="1926"/>
    <x v="5"/>
    <s v="Wrap Dress"/>
    <n v="5"/>
    <m/>
    <n v="0"/>
    <m/>
    <n v="0"/>
    <x v="4"/>
    <s v="Delhi"/>
    <s v="B2C"/>
    <n v="2454.0700000000002"/>
  </r>
  <r>
    <x v="1927"/>
    <x v="2"/>
    <s v="Boots"/>
    <n v="-2"/>
    <n v="470.68"/>
    <n v="-941.36"/>
    <n v="0.06"/>
    <n v="-884.87839999999994"/>
    <x v="469"/>
    <s v="Ahmedabad"/>
    <s v="B2B"/>
    <n v="2812.7"/>
  </r>
  <r>
    <x v="1928"/>
    <x v="2"/>
    <s v="Boots"/>
    <n v="3"/>
    <n v="3500.98"/>
    <n v="10502.94"/>
    <m/>
    <n v="10502.94"/>
    <x v="4"/>
    <s v="Mumbai"/>
    <s v="B2C"/>
    <n v="-865.81"/>
  </r>
  <r>
    <x v="1929"/>
    <x v="5"/>
    <s v="Maxi Dress"/>
    <n v="2"/>
    <m/>
    <n v="0"/>
    <m/>
    <n v="0"/>
    <x v="43"/>
    <s v="NaviMumbai"/>
    <s v="B2B"/>
    <n v="1632.71"/>
  </r>
  <r>
    <x v="1930"/>
    <x v="5"/>
    <s v="Wrap Dress"/>
    <n v="6"/>
    <m/>
    <n v="0"/>
    <n v="1.28"/>
    <n v="0"/>
    <x v="110"/>
    <s v="Ahmedabad"/>
    <s v="B2B"/>
    <n v="-646.89"/>
  </r>
  <r>
    <x v="1931"/>
    <x v="1"/>
    <s v="Puffer Coat"/>
    <n v="2"/>
    <n v="2710.15"/>
    <n v="5420.3"/>
    <m/>
    <n v="5420.3"/>
    <x v="18"/>
    <s v="Delhi"/>
    <s v="B2C"/>
    <n v="2.2200000000000002"/>
  </r>
  <r>
    <x v="1932"/>
    <x v="3"/>
    <s v="Belts"/>
    <n v="2"/>
    <m/>
    <n v="0"/>
    <n v="0.68"/>
    <n v="0"/>
    <x v="455"/>
    <s v="Ahmedabad"/>
    <s v="B2C"/>
    <n v="301.72000000000003"/>
  </r>
  <r>
    <x v="1933"/>
    <x v="4"/>
    <s v="Classic Tee"/>
    <n v="-2"/>
    <m/>
    <n v="0"/>
    <m/>
    <n v="0"/>
    <x v="81"/>
    <s v="Pune"/>
    <s v="B2C"/>
    <n v="-645.12"/>
  </r>
  <r>
    <x v="1934"/>
    <x v="2"/>
    <s v="Loafers"/>
    <n v="2"/>
    <n v="4113.9799999999996"/>
    <n v="8227.9599999999991"/>
    <m/>
    <n v="8227.9599999999991"/>
    <x v="68"/>
    <s v="Mumbai"/>
    <s v="B2C"/>
    <n v="477.7"/>
  </r>
  <r>
    <x v="1935"/>
    <x v="3"/>
    <s v="Belts"/>
    <n v="2"/>
    <n v="1536.53"/>
    <n v="3073.06"/>
    <n v="0.96"/>
    <n v="122.92240000000011"/>
    <x v="8"/>
    <s v="Bangalore"/>
    <s v="B2B"/>
    <n v="1052.28"/>
  </r>
  <r>
    <x v="1936"/>
    <x v="4"/>
    <s v="Classic Tee"/>
    <n v="2"/>
    <m/>
    <n v="0"/>
    <n v="0.04"/>
    <n v="0"/>
    <x v="92"/>
    <s v="Pune"/>
    <s v="B2C"/>
    <n v="796.33"/>
  </r>
  <r>
    <x v="1937"/>
    <x v="3"/>
    <s v="Belts"/>
    <n v="2"/>
    <m/>
    <n v="0"/>
    <n v="0.87"/>
    <n v="0"/>
    <x v="226"/>
    <s v="Delhi"/>
    <s v="B2C"/>
    <n v="-617.13"/>
  </r>
  <r>
    <x v="1938"/>
    <x v="0"/>
    <s v="Slim Fit Jeans"/>
    <n v="2"/>
    <n v="570.21"/>
    <n v="1140.42"/>
    <m/>
    <n v="1140.42"/>
    <x v="307"/>
    <s v="Delhi"/>
    <s v="B2B"/>
    <n v="380.3"/>
  </r>
  <r>
    <x v="1939"/>
    <x v="2"/>
    <s v="Boots"/>
    <n v="-1"/>
    <m/>
    <n v="0"/>
    <n v="0.96"/>
    <n v="0"/>
    <x v="338"/>
    <s v="NaviMumbai"/>
    <s v="B2C"/>
    <n v="-937.17"/>
  </r>
  <r>
    <x v="1940"/>
    <x v="2"/>
    <s v="Boots"/>
    <n v="2"/>
    <m/>
    <n v="0"/>
    <m/>
    <n v="0"/>
    <x v="453"/>
    <s v="Pune"/>
    <s v="B2C"/>
    <n v="2689.89"/>
  </r>
  <r>
    <x v="1941"/>
    <x v="4"/>
    <s v="Crop Top"/>
    <n v="2"/>
    <n v="1650.01"/>
    <n v="3300.02"/>
    <m/>
    <n v="3300.02"/>
    <x v="521"/>
    <s v="NaviMumbai"/>
    <s v="B2B"/>
    <n v="2561.34"/>
  </r>
  <r>
    <x v="1942"/>
    <x v="5"/>
    <s v="Casual Midi"/>
    <n v="2"/>
    <m/>
    <n v="0"/>
    <m/>
    <n v="0"/>
    <x v="201"/>
    <s v="NaviMumbai"/>
    <s v="B2B"/>
    <n v="-346.59"/>
  </r>
  <r>
    <x v="1943"/>
    <x v="1"/>
    <s v="Puffer Coat"/>
    <n v="2"/>
    <m/>
    <n v="0"/>
    <m/>
    <n v="0"/>
    <x v="522"/>
    <s v="Mumbai"/>
    <s v="B2B"/>
    <n v="768.33"/>
  </r>
  <r>
    <x v="1944"/>
    <x v="1"/>
    <s v="Leather Jacket"/>
    <n v="2"/>
    <n v="4858.47"/>
    <n v="9716.94"/>
    <n v="0.68"/>
    <n v="3109.4207999999999"/>
    <x v="3"/>
    <s v="Bangalore"/>
    <s v="B2B"/>
    <n v="1115.8900000000001"/>
  </r>
  <r>
    <x v="1945"/>
    <x v="4"/>
    <s v="Oversized T-shirt"/>
    <n v="1"/>
    <m/>
    <n v="0"/>
    <m/>
    <n v="0"/>
    <x v="27"/>
    <s v="Pune"/>
    <s v="B2C"/>
    <n v="1214.1500000000001"/>
  </r>
  <r>
    <x v="1946"/>
    <x v="5"/>
    <s v="Bodycon"/>
    <n v="6"/>
    <n v="1507.6"/>
    <n v="9045.5999999999985"/>
    <m/>
    <n v="9045.5999999999985"/>
    <x v="460"/>
    <s v="Delhi"/>
    <s v="B2C"/>
    <n v="2280.06"/>
  </r>
  <r>
    <x v="1947"/>
    <x v="5"/>
    <s v="Bodycon"/>
    <n v="5"/>
    <m/>
    <n v="0"/>
    <m/>
    <n v="0"/>
    <x v="4"/>
    <s v="Pune"/>
    <s v="B2C"/>
    <n v="2532.7600000000002"/>
  </r>
  <r>
    <x v="1948"/>
    <x v="3"/>
    <s v="Belts"/>
    <n v="2"/>
    <m/>
    <n v="0"/>
    <m/>
    <n v="0"/>
    <x v="99"/>
    <s v="NaviMumbai"/>
    <s v="B2C"/>
    <n v="1576.16"/>
  </r>
  <r>
    <x v="1949"/>
    <x v="3"/>
    <s v="Watches"/>
    <n v="6"/>
    <n v="1765.76"/>
    <n v="10594.56"/>
    <n v="0.36"/>
    <n v="6780.5183999999999"/>
    <x v="418"/>
    <s v="Ahmedabad"/>
    <s v="B2B"/>
    <n v="2947"/>
  </r>
  <r>
    <x v="1950"/>
    <x v="3"/>
    <s v="Caps"/>
    <n v="2"/>
    <n v="3835.25"/>
    <n v="7670.5"/>
    <m/>
    <n v="7670.5"/>
    <x v="39"/>
    <s v="Ahmedabad"/>
    <s v="B2B"/>
    <n v="2378.4"/>
  </r>
  <r>
    <x v="1951"/>
    <x v="4"/>
    <s v="Classic Tee"/>
    <n v="2"/>
    <n v="1572.95"/>
    <n v="3145.9"/>
    <m/>
    <n v="3145.9"/>
    <x v="291"/>
    <s v="NaviMumbai"/>
    <s v="B2B"/>
    <n v="2532.02"/>
  </r>
  <r>
    <x v="1952"/>
    <x v="5"/>
    <s v="Casual Midi"/>
    <n v="-2"/>
    <n v="3205.93"/>
    <n v="-6411.86"/>
    <m/>
    <n v="-6411.86"/>
    <x v="4"/>
    <s v="Mumbai"/>
    <s v="B2C"/>
    <n v="1421.4"/>
  </r>
  <r>
    <x v="1953"/>
    <x v="5"/>
    <s v="Bodycon"/>
    <n v="3"/>
    <m/>
    <n v="0"/>
    <n v="0.52"/>
    <n v="0"/>
    <x v="97"/>
    <s v="NaviMumbai"/>
    <s v="B2C"/>
    <n v="771.47"/>
  </r>
  <r>
    <x v="1954"/>
    <x v="4"/>
    <s v="Classic Tee"/>
    <n v="2"/>
    <m/>
    <n v="0"/>
    <n v="0.23"/>
    <n v="0"/>
    <x v="4"/>
    <s v="Mumbai"/>
    <s v="B2C"/>
    <n v="862.17"/>
  </r>
  <r>
    <x v="1955"/>
    <x v="4"/>
    <s v="Classic Tee"/>
    <n v="2"/>
    <m/>
    <n v="0"/>
    <n v="0.36"/>
    <n v="0"/>
    <x v="147"/>
    <s v="Delhi"/>
    <s v="B2C"/>
    <n v="147.66999999999999"/>
  </r>
  <r>
    <x v="1956"/>
    <x v="4"/>
    <s v="Crop Top"/>
    <n v="2"/>
    <m/>
    <n v="0"/>
    <m/>
    <n v="0"/>
    <x v="80"/>
    <s v="Delhi"/>
    <s v="B2B"/>
    <n v="2959.73"/>
  </r>
  <r>
    <x v="1957"/>
    <x v="4"/>
    <s v="Oversized T-shirt"/>
    <n v="-1"/>
    <n v="2497.52"/>
    <n v="-2497.52"/>
    <m/>
    <n v="-2497.52"/>
    <x v="233"/>
    <s v="Ahmedabad"/>
    <s v="B2C"/>
    <n v="-523.42999999999995"/>
  </r>
  <r>
    <x v="1958"/>
    <x v="2"/>
    <s v="Sneakers"/>
    <n v="2"/>
    <m/>
    <n v="0"/>
    <m/>
    <n v="0"/>
    <x v="4"/>
    <s v="Pune"/>
    <s v="B2C"/>
    <n v="1347.94"/>
  </r>
  <r>
    <x v="1959"/>
    <x v="2"/>
    <s v="Loafers"/>
    <n v="4"/>
    <n v="2062.9"/>
    <n v="8251.6"/>
    <m/>
    <n v="8251.6"/>
    <x v="178"/>
    <s v="Mumbai"/>
    <s v="B2C"/>
    <n v="2471.06"/>
  </r>
  <r>
    <x v="1960"/>
    <x v="0"/>
    <s v="Straight Cut"/>
    <n v="2"/>
    <m/>
    <n v="0"/>
    <n v="1.1499999999999999"/>
    <n v="0"/>
    <x v="48"/>
    <s v="NaviMumbai"/>
    <s v="B2C"/>
    <n v="774.28"/>
  </r>
  <r>
    <x v="1961"/>
    <x v="5"/>
    <s v="Wrap Dress"/>
    <n v="-2"/>
    <m/>
    <n v="0"/>
    <m/>
    <n v="0"/>
    <x v="85"/>
    <s v="Mumbai"/>
    <s v="B2B"/>
    <n v="-283.42"/>
  </r>
  <r>
    <x v="1962"/>
    <x v="3"/>
    <s v="Belts"/>
    <n v="6"/>
    <n v="2584.4299999999998"/>
    <n v="15506.579999999998"/>
    <m/>
    <n v="15506.579999999998"/>
    <x v="4"/>
    <s v="Delhi"/>
    <s v="B2C"/>
    <n v="992.21"/>
  </r>
  <r>
    <x v="1963"/>
    <x v="4"/>
    <s v="Graphic Tee"/>
    <n v="2"/>
    <m/>
    <n v="0"/>
    <m/>
    <n v="0"/>
    <x v="4"/>
    <s v="Pune"/>
    <s v="B2C"/>
    <n v="2784.91"/>
  </r>
  <r>
    <x v="1964"/>
    <x v="2"/>
    <s v="Boots"/>
    <n v="-1"/>
    <n v="4084.97"/>
    <n v="-4084.97"/>
    <n v="0.83"/>
    <n v="-694.44490000000008"/>
    <x v="464"/>
    <s v="Mumbai"/>
    <s v="B2B"/>
    <n v="2395.4299999999998"/>
  </r>
  <r>
    <x v="1965"/>
    <x v="0"/>
    <s v="Slim Fit Jeans"/>
    <n v="0"/>
    <n v="3205.73"/>
    <n v="0"/>
    <m/>
    <n v="0"/>
    <x v="10"/>
    <s v="Mumbai"/>
    <s v="B2C"/>
    <n v="1600.5"/>
  </r>
  <r>
    <x v="1966"/>
    <x v="5"/>
    <s v="Bodycon"/>
    <n v="2"/>
    <n v="2053.65"/>
    <n v="4107.3"/>
    <m/>
    <n v="4107.3"/>
    <x v="96"/>
    <s v="NaviMumbai"/>
    <s v="B2C"/>
    <n v="-86.89"/>
  </r>
  <r>
    <x v="1967"/>
    <x v="0"/>
    <s v="Straight Cut"/>
    <n v="2"/>
    <n v="4747.16"/>
    <n v="9494.32"/>
    <n v="0.9"/>
    <n v="949.43199999999979"/>
    <x v="523"/>
    <s v="Bangalore"/>
    <s v="B2B"/>
    <n v="2189.0500000000002"/>
  </r>
  <r>
    <x v="1968"/>
    <x v="3"/>
    <s v="Caps"/>
    <n v="2"/>
    <m/>
    <n v="0"/>
    <m/>
    <n v="0"/>
    <x v="524"/>
    <s v="Mumbai"/>
    <s v="B2C"/>
    <n v="-568.91"/>
  </r>
  <r>
    <x v="1969"/>
    <x v="4"/>
    <s v="Oversized T-shirt"/>
    <n v="5"/>
    <n v="919.26"/>
    <n v="4596.3"/>
    <m/>
    <n v="4596.3"/>
    <x v="4"/>
    <s v="NaviMumbai"/>
    <s v="B2C"/>
    <n v="2805.22"/>
  </r>
  <r>
    <x v="1970"/>
    <x v="2"/>
    <s v="Sneakers"/>
    <n v="2"/>
    <n v="2617.66"/>
    <n v="5235.32"/>
    <n v="0.55000000000000004"/>
    <n v="2355.8939999999998"/>
    <x v="175"/>
    <s v="Mumbai"/>
    <s v="B2C"/>
    <n v="1406.13"/>
  </r>
  <r>
    <x v="1971"/>
    <x v="5"/>
    <s v="Wrap Dress"/>
    <n v="2"/>
    <n v="3750.45"/>
    <n v="7500.9"/>
    <n v="1.04"/>
    <n v="-300.03600000000023"/>
    <x v="455"/>
    <s v="Ahmedabad"/>
    <s v="B2C"/>
    <n v="1108.3800000000001"/>
  </r>
  <r>
    <x v="684"/>
    <x v="1"/>
    <s v="Bomber Jacket"/>
    <n v="2"/>
    <m/>
    <n v="0"/>
    <m/>
    <n v="0"/>
    <x v="4"/>
    <s v="NaviMumbai"/>
    <s v="B2C"/>
    <n v="1921.25"/>
  </r>
  <r>
    <x v="1972"/>
    <x v="1"/>
    <s v="Puffer Coat"/>
    <n v="0"/>
    <n v="3453.58"/>
    <n v="0"/>
    <m/>
    <n v="0"/>
    <x v="525"/>
    <s v="Mumbai"/>
    <s v="B2B"/>
    <n v="2018.4"/>
  </r>
  <r>
    <x v="1973"/>
    <x v="2"/>
    <s v="Loafers"/>
    <n v="2"/>
    <m/>
    <n v="0"/>
    <m/>
    <n v="0"/>
    <x v="4"/>
    <s v="NaviMumbai"/>
    <s v="B2B"/>
    <n v="-828.2"/>
  </r>
  <r>
    <x v="1974"/>
    <x v="5"/>
    <s v="Casual Midi"/>
    <n v="2"/>
    <m/>
    <n v="0"/>
    <m/>
    <n v="0"/>
    <x v="478"/>
    <s v="NaviMumbai"/>
    <s v="B2C"/>
    <n v="-41.81"/>
  </r>
  <r>
    <x v="1975"/>
    <x v="1"/>
    <s v="Denim Jacket"/>
    <n v="-1"/>
    <n v="1171.57"/>
    <n v="-1171.57"/>
    <m/>
    <n v="-1171.57"/>
    <x v="45"/>
    <s v="Pune"/>
    <s v="B2C"/>
    <n v="2541.21"/>
  </r>
  <r>
    <x v="1976"/>
    <x v="4"/>
    <s v="Oversized T-shirt"/>
    <n v="2"/>
    <m/>
    <n v="0"/>
    <m/>
    <n v="0"/>
    <x v="526"/>
    <s v="Delhi"/>
    <s v="B2B"/>
    <n v="900.65"/>
  </r>
  <r>
    <x v="1977"/>
    <x v="0"/>
    <s v="Straight Cut"/>
    <n v="-1"/>
    <m/>
    <n v="0"/>
    <m/>
    <n v="0"/>
    <x v="34"/>
    <s v="Delhi"/>
    <s v="B2B"/>
    <n v="605.98"/>
  </r>
  <r>
    <x v="1978"/>
    <x v="4"/>
    <s v="Crop Top"/>
    <n v="3"/>
    <n v="1759.66"/>
    <n v="5278.9800000000005"/>
    <m/>
    <n v="5278.9800000000005"/>
    <x v="113"/>
    <s v="Mumbai"/>
    <s v="B2C"/>
    <n v="1133.07"/>
  </r>
  <r>
    <x v="1979"/>
    <x v="1"/>
    <s v="Bomber Jacket"/>
    <n v="2"/>
    <m/>
    <n v="0"/>
    <m/>
    <n v="0"/>
    <x v="263"/>
    <s v="NaviMumbai"/>
    <s v="B2C"/>
    <n v="2378.14"/>
  </r>
  <r>
    <x v="1980"/>
    <x v="2"/>
    <s v="Loafers"/>
    <n v="2"/>
    <m/>
    <n v="0"/>
    <n v="1.26"/>
    <n v="0"/>
    <x v="4"/>
    <s v="Pune"/>
    <s v="B2B"/>
    <n v="1441.9"/>
  </r>
  <r>
    <x v="1981"/>
    <x v="2"/>
    <s v="Loafers"/>
    <n v="-2"/>
    <n v="3922.01"/>
    <n v="-7844.02"/>
    <m/>
    <n v="-7844.02"/>
    <x v="236"/>
    <s v="Bangalore"/>
    <s v="B2B"/>
    <n v="2186.58"/>
  </r>
  <r>
    <x v="1982"/>
    <x v="3"/>
    <s v="Sunglasses"/>
    <n v="2"/>
    <n v="2880.85"/>
    <n v="5761.7"/>
    <m/>
    <n v="5761.7"/>
    <x v="418"/>
    <s v="Delhi"/>
    <s v="B2C"/>
    <n v="2519.23"/>
  </r>
  <r>
    <x v="1983"/>
    <x v="0"/>
    <s v="Slim Fit Jeans"/>
    <n v="2"/>
    <m/>
    <n v="0"/>
    <m/>
    <n v="0"/>
    <x v="480"/>
    <s v="Bangalore"/>
    <s v="B2C"/>
    <n v="25.22"/>
  </r>
  <r>
    <x v="1984"/>
    <x v="1"/>
    <s v="Puffer Coat"/>
    <n v="-2"/>
    <m/>
    <n v="0"/>
    <n v="0.68"/>
    <n v="0"/>
    <x v="286"/>
    <s v="NaviMumbai"/>
    <s v="B2C"/>
    <n v="671.7"/>
  </r>
  <r>
    <x v="1985"/>
    <x v="3"/>
    <s v="Belts"/>
    <n v="2"/>
    <n v="4016.78"/>
    <n v="8033.56"/>
    <n v="1.03"/>
    <n v="-241.00680000000023"/>
    <x v="304"/>
    <s v="Delhi"/>
    <s v="B2B"/>
    <n v="729.73"/>
  </r>
  <r>
    <x v="1986"/>
    <x v="3"/>
    <s v="Caps"/>
    <n v="2"/>
    <n v="673.96"/>
    <n v="1347.92"/>
    <m/>
    <n v="1347.92"/>
    <x v="4"/>
    <s v="Bangalore"/>
    <s v="B2B"/>
    <n v="799.35"/>
  </r>
  <r>
    <x v="1987"/>
    <x v="4"/>
    <s v="Graphic Tee"/>
    <n v="2"/>
    <m/>
    <n v="0"/>
    <n v="0.66"/>
    <n v="0"/>
    <x v="402"/>
    <s v="Bangalore"/>
    <s v="B2C"/>
    <n v="-572.35"/>
  </r>
  <r>
    <x v="1988"/>
    <x v="4"/>
    <s v="Graphic Tee"/>
    <n v="2"/>
    <m/>
    <n v="0"/>
    <m/>
    <n v="0"/>
    <x v="321"/>
    <s v="Delhi"/>
    <s v="B2B"/>
    <n v="1056.99"/>
  </r>
  <r>
    <x v="1989"/>
    <x v="0"/>
    <s v="Ripped Denim"/>
    <n v="2"/>
    <n v="3211"/>
    <n v="6422"/>
    <n v="0.56000000000000005"/>
    <n v="2825.68"/>
    <x v="45"/>
    <s v="Delhi"/>
    <s v="B2C"/>
    <n v="-659.55"/>
  </r>
  <r>
    <x v="1990"/>
    <x v="3"/>
    <s v="Belts"/>
    <n v="5"/>
    <m/>
    <n v="0"/>
    <m/>
    <n v="0"/>
    <x v="73"/>
    <s v="NaviMumbai"/>
    <s v="B2C"/>
    <n v="426.15"/>
  </r>
  <r>
    <x v="1991"/>
    <x v="2"/>
    <s v="Boots"/>
    <n v="2"/>
    <m/>
    <n v="0"/>
    <m/>
    <n v="0"/>
    <x v="99"/>
    <s v="Ahmedabad"/>
    <s v="B2C"/>
    <n v="1237.1300000000001"/>
  </r>
  <r>
    <x v="1992"/>
    <x v="0"/>
    <s v="Slim Fit Jeans"/>
    <n v="0"/>
    <n v="4744.8599999999997"/>
    <n v="0"/>
    <m/>
    <n v="0"/>
    <x v="372"/>
    <s v="NaviMumbai"/>
    <s v="B2C"/>
    <n v="2963.16"/>
  </r>
  <r>
    <x v="1993"/>
    <x v="0"/>
    <s v="Slim Fit Jeans"/>
    <n v="0"/>
    <n v="2705.09"/>
    <n v="0"/>
    <m/>
    <n v="0"/>
    <x v="95"/>
    <s v="NaviMumbai"/>
    <s v="B2C"/>
    <n v="-546.72"/>
  </r>
  <r>
    <x v="1994"/>
    <x v="2"/>
    <s v="Boots"/>
    <n v="2"/>
    <m/>
    <n v="0"/>
    <m/>
    <n v="0"/>
    <x v="169"/>
    <s v="Bangalore"/>
    <s v="B2B"/>
    <n v="134.93"/>
  </r>
  <r>
    <x v="1995"/>
    <x v="1"/>
    <s v="Bomber Jacket"/>
    <n v="3"/>
    <m/>
    <n v="0"/>
    <m/>
    <n v="0"/>
    <x v="152"/>
    <s v="Mumbai"/>
    <s v="B2B"/>
    <n v="-571.78"/>
  </r>
  <r>
    <x v="1996"/>
    <x v="3"/>
    <s v="Belts"/>
    <n v="3"/>
    <n v="1695.61"/>
    <n v="5086.83"/>
    <m/>
    <n v="5086.83"/>
    <x v="119"/>
    <s v="Delhi"/>
    <s v="B2C"/>
    <n v="297.83"/>
  </r>
  <r>
    <x v="1997"/>
    <x v="4"/>
    <s v="Oversized T-shirt"/>
    <n v="2"/>
    <m/>
    <n v="0"/>
    <m/>
    <n v="0"/>
    <x v="527"/>
    <s v="Delhi"/>
    <s v="B2C"/>
    <n v="2001.88"/>
  </r>
  <r>
    <x v="1998"/>
    <x v="4"/>
    <s v="Classic Tee"/>
    <n v="2"/>
    <m/>
    <n v="0"/>
    <n v="0.18"/>
    <n v="0"/>
    <x v="4"/>
    <s v="Mumbai"/>
    <s v="B2C"/>
    <n v="1505.68"/>
  </r>
  <r>
    <x v="1999"/>
    <x v="3"/>
    <s v="Belts"/>
    <n v="2"/>
    <m/>
    <n v="0"/>
    <m/>
    <n v="0"/>
    <x v="184"/>
    <s v="Bangalore"/>
    <s v="B2C"/>
    <n v="2275.0700000000002"/>
  </r>
  <r>
    <x v="2000"/>
    <x v="0"/>
    <s v="Straight Cut"/>
    <n v="2"/>
    <n v="3345.45"/>
    <n v="6690.9"/>
    <m/>
    <n v="6690.9"/>
    <x v="119"/>
    <s v="NaviMumbai"/>
    <s v="B2C"/>
    <n v="2896.95"/>
  </r>
  <r>
    <x v="2001"/>
    <x v="3"/>
    <s v="Watches"/>
    <n v="2"/>
    <m/>
    <n v="0"/>
    <m/>
    <n v="0"/>
    <x v="135"/>
    <s v="Mumbai"/>
    <s v="B2B"/>
    <n v="1256.47"/>
  </r>
  <r>
    <x v="2002"/>
    <x v="2"/>
    <s v="Slip-ons"/>
    <n v="2"/>
    <m/>
    <n v="0"/>
    <n v="0.74"/>
    <n v="0"/>
    <x v="52"/>
    <s v="Bangalore"/>
    <s v="B2C"/>
    <n v="-436.73"/>
  </r>
  <r>
    <x v="2003"/>
    <x v="0"/>
    <s v="Slim Fit Jeans"/>
    <n v="2"/>
    <n v="2267.3000000000002"/>
    <n v="4534.6000000000004"/>
    <n v="0.91"/>
    <n v="408.11399999999992"/>
    <x v="57"/>
    <s v="Bangalore"/>
    <s v="B2C"/>
    <n v="1673.55"/>
  </r>
  <r>
    <x v="225"/>
    <x v="3"/>
    <s v="Watches"/>
    <n v="2"/>
    <n v="4101.8900000000003"/>
    <n v="8203.7800000000007"/>
    <m/>
    <n v="8203.7800000000007"/>
    <x v="528"/>
    <s v="Delhi"/>
    <s v="B2C"/>
    <n v="1196.03"/>
  </r>
  <r>
    <x v="2004"/>
    <x v="1"/>
    <s v="Leather Jacket"/>
    <n v="-1"/>
    <m/>
    <n v="0"/>
    <m/>
    <n v="0"/>
    <x v="416"/>
    <s v="NaviMumbai"/>
    <s v="B2C"/>
    <n v="-970.17"/>
  </r>
  <r>
    <x v="2005"/>
    <x v="2"/>
    <s v="Slip-ons"/>
    <n v="5"/>
    <n v="3654.9"/>
    <n v="18274.5"/>
    <m/>
    <n v="18274.5"/>
    <x v="4"/>
    <s v="Ahmedabad"/>
    <s v="B2C"/>
    <n v="1069.81"/>
  </r>
  <r>
    <x v="2006"/>
    <x v="4"/>
    <s v="Classic Tee"/>
    <n v="2"/>
    <n v="1787.52"/>
    <n v="3575.04"/>
    <m/>
    <n v="3575.04"/>
    <x v="154"/>
    <s v="NaviMumbai"/>
    <s v="B2B"/>
    <n v="2626.27"/>
  </r>
  <r>
    <x v="2007"/>
    <x v="4"/>
    <s v="Oversized T-shirt"/>
    <n v="2"/>
    <m/>
    <n v="0"/>
    <m/>
    <n v="0"/>
    <x v="4"/>
    <s v="Ahmedabad"/>
    <s v="B2B"/>
    <n v="2599.13"/>
  </r>
  <r>
    <x v="2008"/>
    <x v="5"/>
    <s v="Casual Midi"/>
    <n v="4"/>
    <m/>
    <n v="0"/>
    <n v="1"/>
    <n v="0"/>
    <x v="4"/>
    <s v="Bangalore"/>
    <s v="B2B"/>
    <n v="2640.01"/>
  </r>
  <r>
    <x v="2009"/>
    <x v="5"/>
    <s v="Bodycon"/>
    <n v="2"/>
    <n v="3997.83"/>
    <n v="7995.66"/>
    <m/>
    <n v="7995.66"/>
    <x v="511"/>
    <s v="Delhi"/>
    <s v="B2B"/>
    <n v="1399.12"/>
  </r>
  <r>
    <x v="2010"/>
    <x v="1"/>
    <s v="Puffer Coat"/>
    <n v="2"/>
    <m/>
    <n v="0"/>
    <n v="0.85"/>
    <n v="0"/>
    <x v="43"/>
    <s v="Delhi"/>
    <s v="B2C"/>
    <n v="-298.81"/>
  </r>
  <r>
    <x v="2011"/>
    <x v="1"/>
    <s v="Bomber Jacket"/>
    <n v="2"/>
    <n v="1318.04"/>
    <n v="2636.08"/>
    <m/>
    <n v="2636.08"/>
    <x v="366"/>
    <s v="Ahmedabad"/>
    <s v="B2C"/>
    <n v="-19.53"/>
  </r>
  <r>
    <x v="2012"/>
    <x v="0"/>
    <s v="Slim Fit Jeans"/>
    <n v="2"/>
    <m/>
    <n v="0"/>
    <m/>
    <n v="0"/>
    <x v="4"/>
    <s v="Pune"/>
    <s v="B2C"/>
    <n v="748.79"/>
  </r>
  <r>
    <x v="2013"/>
    <x v="2"/>
    <s v="Slip-ons"/>
    <n v="-2"/>
    <m/>
    <n v="0"/>
    <m/>
    <n v="0"/>
    <x v="14"/>
    <s v="NaviMumbai"/>
    <s v="B2B"/>
    <n v="2991.73"/>
  </r>
  <r>
    <x v="2014"/>
    <x v="1"/>
    <s v="Bomber Jacket"/>
    <n v="2"/>
    <m/>
    <n v="0"/>
    <m/>
    <n v="0"/>
    <x v="396"/>
    <s v="NaviMumbai"/>
    <s v="B2C"/>
    <n v="2179.9299999999998"/>
  </r>
  <r>
    <x v="2015"/>
    <x v="1"/>
    <s v="Leather Jacket"/>
    <n v="3"/>
    <n v="848.45"/>
    <n v="2545.3500000000004"/>
    <m/>
    <n v="2545.3500000000004"/>
    <x v="4"/>
    <s v="Bangalore"/>
    <s v="B2C"/>
    <n v="1334.54"/>
  </r>
  <r>
    <x v="2016"/>
    <x v="3"/>
    <s v="Caps"/>
    <n v="2"/>
    <n v="1137.77"/>
    <n v="2275.54"/>
    <m/>
    <n v="2275.54"/>
    <x v="529"/>
    <s v="Delhi"/>
    <s v="B2C"/>
    <n v="-471.37"/>
  </r>
  <r>
    <x v="2017"/>
    <x v="4"/>
    <s v="Oversized T-shirt"/>
    <n v="2"/>
    <n v="431.31"/>
    <n v="862.62"/>
    <n v="1.25"/>
    <n v="-215.655"/>
    <x v="367"/>
    <s v="Mumbai"/>
    <s v="B2C"/>
    <n v="2866.66"/>
  </r>
  <r>
    <x v="2018"/>
    <x v="5"/>
    <s v="Casual Midi"/>
    <n v="2"/>
    <n v="3180.69"/>
    <n v="6361.38"/>
    <m/>
    <n v="6361.38"/>
    <x v="271"/>
    <s v="NaviMumbai"/>
    <s v="B2B"/>
    <n v="2237.56"/>
  </r>
  <r>
    <x v="2019"/>
    <x v="0"/>
    <s v="Straight Cut"/>
    <n v="2"/>
    <m/>
    <n v="0"/>
    <m/>
    <n v="0"/>
    <x v="4"/>
    <s v="NaviMumbai"/>
    <s v="B2B"/>
    <n v="372.98"/>
  </r>
  <r>
    <x v="2020"/>
    <x v="4"/>
    <s v="Oversized T-shirt"/>
    <n v="2"/>
    <m/>
    <n v="0"/>
    <m/>
    <n v="0"/>
    <x v="4"/>
    <s v="Mumbai"/>
    <s v="B2C"/>
    <n v="1396.38"/>
  </r>
  <r>
    <x v="2021"/>
    <x v="1"/>
    <s v="Puffer Coat"/>
    <n v="2"/>
    <n v="1136.4100000000001"/>
    <n v="2272.8200000000002"/>
    <m/>
    <n v="2272.8200000000002"/>
    <x v="460"/>
    <s v="Ahmedabad"/>
    <s v="B2B"/>
    <n v="2504.79"/>
  </r>
  <r>
    <x v="2022"/>
    <x v="5"/>
    <s v="Wrap Dress"/>
    <n v="-2"/>
    <m/>
    <n v="0"/>
    <m/>
    <n v="0"/>
    <x v="481"/>
    <s v="Mumbai"/>
    <s v="B2C"/>
    <n v="2001.07"/>
  </r>
  <r>
    <x v="2023"/>
    <x v="0"/>
    <s v="Ripped Denim"/>
    <n v="2"/>
    <n v="3177.78"/>
    <n v="6355.56"/>
    <m/>
    <n v="6355.56"/>
    <x v="88"/>
    <s v="Ahmedabad"/>
    <s v="B2C"/>
    <n v="407.14"/>
  </r>
  <r>
    <x v="2024"/>
    <x v="2"/>
    <s v="Loafers"/>
    <n v="0"/>
    <m/>
    <n v="0"/>
    <m/>
    <n v="0"/>
    <x v="4"/>
    <s v="Bangalore"/>
    <s v="B2B"/>
    <n v="1877.82"/>
  </r>
  <r>
    <x v="2025"/>
    <x v="3"/>
    <s v="Belts"/>
    <n v="-1"/>
    <n v="1290.42"/>
    <n v="-1290.42"/>
    <m/>
    <n v="-1290.42"/>
    <x v="530"/>
    <s v="Ahmedabad"/>
    <s v="B2B"/>
    <n v="-196.63"/>
  </r>
  <r>
    <x v="2026"/>
    <x v="2"/>
    <s v="Sneakers"/>
    <n v="5"/>
    <m/>
    <n v="0"/>
    <m/>
    <n v="0"/>
    <x v="4"/>
    <s v="Ahmedabad"/>
    <s v="B2C"/>
    <n v="612.53"/>
  </r>
  <r>
    <x v="2027"/>
    <x v="5"/>
    <s v="Wrap Dress"/>
    <n v="5"/>
    <n v="1722.34"/>
    <n v="8611.6999999999989"/>
    <n v="1.04"/>
    <n v="-344.46800000000025"/>
    <x v="362"/>
    <s v="Delhi"/>
    <s v="B2B"/>
    <n v="2459.2800000000002"/>
  </r>
  <r>
    <x v="2028"/>
    <x v="5"/>
    <s v="Casual Midi"/>
    <n v="1"/>
    <m/>
    <n v="0"/>
    <m/>
    <n v="0"/>
    <x v="272"/>
    <s v="Mumbai"/>
    <s v="B2C"/>
    <n v="2024.8"/>
  </r>
  <r>
    <x v="2029"/>
    <x v="2"/>
    <s v="Sneakers"/>
    <n v="4"/>
    <m/>
    <n v="0"/>
    <m/>
    <n v="0"/>
    <x v="93"/>
    <s v="Mumbai"/>
    <s v="B2C"/>
    <n v="2126.75"/>
  </r>
  <r>
    <x v="2030"/>
    <x v="1"/>
    <s v="Bomber Jacket"/>
    <n v="2"/>
    <m/>
    <n v="0"/>
    <n v="1.05"/>
    <n v="0"/>
    <x v="200"/>
    <s v="Ahmedabad"/>
    <s v="B2C"/>
    <n v="2241.83"/>
  </r>
  <r>
    <x v="2031"/>
    <x v="4"/>
    <s v="Graphic Tee"/>
    <n v="2"/>
    <n v="2948.36"/>
    <n v="5896.72"/>
    <m/>
    <n v="5896.72"/>
    <x v="4"/>
    <s v="Pune"/>
    <s v="B2B"/>
    <n v="1074.3499999999999"/>
  </r>
  <r>
    <x v="2032"/>
    <x v="4"/>
    <s v="Crop Top"/>
    <n v="-2"/>
    <n v="4949.17"/>
    <n v="-9898.34"/>
    <m/>
    <n v="-9898.34"/>
    <x v="58"/>
    <s v="Bangalore"/>
    <s v="B2B"/>
    <n v="1267.49"/>
  </r>
  <r>
    <x v="2033"/>
    <x v="3"/>
    <s v="Watches"/>
    <n v="2"/>
    <m/>
    <n v="0"/>
    <n v="0.71"/>
    <n v="0"/>
    <x v="217"/>
    <s v="Mumbai"/>
    <s v="B2C"/>
    <n v="1011.23"/>
  </r>
  <r>
    <x v="2034"/>
    <x v="4"/>
    <s v="Crop Top"/>
    <n v="-1"/>
    <n v="1873.39"/>
    <n v="-1873.39"/>
    <n v="0.74"/>
    <n v="-487.08140000000003"/>
    <x v="528"/>
    <s v="NaviMumbai"/>
    <s v="B2B"/>
    <n v="1596.53"/>
  </r>
  <r>
    <x v="2035"/>
    <x v="4"/>
    <s v="Classic Tee"/>
    <n v="2"/>
    <n v="4312.55"/>
    <n v="8625.1"/>
    <m/>
    <n v="8625.1"/>
    <x v="107"/>
    <s v="NaviMumbai"/>
    <s v="B2C"/>
    <n v="496.16"/>
  </r>
  <r>
    <x v="2036"/>
    <x v="4"/>
    <s v="Graphic Tee"/>
    <n v="2"/>
    <n v="4971.93"/>
    <n v="9943.86"/>
    <n v="0.51"/>
    <n v="4872.4913999999999"/>
    <x v="457"/>
    <s v="NaviMumbai"/>
    <s v="B2C"/>
    <n v="1941.61"/>
  </r>
  <r>
    <x v="2037"/>
    <x v="1"/>
    <s v="Puffer Coat"/>
    <n v="2"/>
    <m/>
    <n v="0"/>
    <n v="1.24"/>
    <n v="0"/>
    <x v="74"/>
    <s v="NaviMumbai"/>
    <s v="B2C"/>
    <n v="2520.12"/>
  </r>
  <r>
    <x v="2038"/>
    <x v="4"/>
    <s v="Crop Top"/>
    <n v="-1"/>
    <n v="873.64"/>
    <n v="-873.64"/>
    <n v="0.17"/>
    <n v="-725.12119999999993"/>
    <x v="422"/>
    <s v="Pune"/>
    <s v="B2C"/>
    <n v="1107.8499999999999"/>
  </r>
  <r>
    <x v="2039"/>
    <x v="2"/>
    <s v="Boots"/>
    <n v="2"/>
    <m/>
    <n v="0"/>
    <n v="1.28"/>
    <n v="0"/>
    <x v="183"/>
    <s v="Mumbai"/>
    <s v="B2C"/>
    <n v="80.290000000000006"/>
  </r>
  <r>
    <x v="2040"/>
    <x v="4"/>
    <s v="Oversized T-shirt"/>
    <n v="0"/>
    <m/>
    <n v="0"/>
    <m/>
    <n v="0"/>
    <x v="100"/>
    <s v="Bangalore"/>
    <s v="B2C"/>
    <n v="2711.03"/>
  </r>
  <r>
    <x v="2041"/>
    <x v="2"/>
    <s v="Sneakers"/>
    <n v="2"/>
    <m/>
    <n v="0"/>
    <n v="0.99"/>
    <n v="0"/>
    <x v="4"/>
    <s v="Pune"/>
    <s v="B2C"/>
    <n v="1886.51"/>
  </r>
  <r>
    <x v="2042"/>
    <x v="1"/>
    <s v="Puffer Coat"/>
    <n v="2"/>
    <m/>
    <n v="0"/>
    <m/>
    <n v="0"/>
    <x v="11"/>
    <s v="Bangalore"/>
    <s v="B2C"/>
    <n v="-524.33000000000004"/>
  </r>
  <r>
    <x v="2043"/>
    <x v="1"/>
    <s v="Leather Jacket"/>
    <n v="2"/>
    <m/>
    <n v="0"/>
    <m/>
    <n v="0"/>
    <x v="169"/>
    <s v="Delhi"/>
    <s v="B2B"/>
    <n v="1136.04"/>
  </r>
  <r>
    <x v="2044"/>
    <x v="2"/>
    <s v="Sneakers"/>
    <n v="2"/>
    <n v="4617.8500000000004"/>
    <n v="9235.7000000000007"/>
    <n v="1.02"/>
    <n v="-184.71400000000017"/>
    <x v="531"/>
    <s v="Delhi"/>
    <s v="B2C"/>
    <n v="1778.15"/>
  </r>
  <r>
    <x v="2045"/>
    <x v="2"/>
    <s v="Boots"/>
    <n v="6"/>
    <m/>
    <n v="0"/>
    <m/>
    <n v="0"/>
    <x v="52"/>
    <s v="Ahmedabad"/>
    <s v="B2C"/>
    <n v="1650.33"/>
  </r>
  <r>
    <x v="2046"/>
    <x v="3"/>
    <s v="Sunglasses"/>
    <n v="1"/>
    <n v="478.6"/>
    <n v="478.6"/>
    <n v="1.18"/>
    <n v="-86.147999999999968"/>
    <x v="51"/>
    <s v="Bangalore"/>
    <s v="B2B"/>
    <n v="1139.8399999999999"/>
  </r>
  <r>
    <x v="2047"/>
    <x v="3"/>
    <s v="Caps"/>
    <n v="2"/>
    <m/>
    <n v="0"/>
    <m/>
    <n v="0"/>
    <x v="532"/>
    <s v="Mumbai"/>
    <s v="B2B"/>
    <n v="-906.63"/>
  </r>
  <r>
    <x v="2048"/>
    <x v="3"/>
    <s v="Watches"/>
    <n v="2"/>
    <n v="1501.49"/>
    <n v="3002.98"/>
    <n v="0.43"/>
    <n v="1711.6986000000002"/>
    <x v="385"/>
    <s v="NaviMumbai"/>
    <s v="B2C"/>
    <n v="-100.14"/>
  </r>
  <r>
    <x v="2049"/>
    <x v="4"/>
    <s v="Crop Top"/>
    <n v="0"/>
    <m/>
    <n v="0"/>
    <m/>
    <n v="0"/>
    <x v="293"/>
    <s v="Pune"/>
    <s v="B2C"/>
    <n v="1933.72"/>
  </r>
  <r>
    <x v="2050"/>
    <x v="5"/>
    <s v="Casual Midi"/>
    <n v="4"/>
    <m/>
    <n v="0"/>
    <n v="0.92"/>
    <n v="0"/>
    <x v="533"/>
    <s v="Ahmedabad"/>
    <s v="B2C"/>
    <n v="-528.22"/>
  </r>
  <r>
    <x v="2051"/>
    <x v="1"/>
    <s v="Puffer Coat"/>
    <n v="2"/>
    <n v="2563.2399999999998"/>
    <n v="5126.4799999999996"/>
    <m/>
    <n v="5126.4799999999996"/>
    <x v="4"/>
    <s v="Ahmedabad"/>
    <s v="B2B"/>
    <n v="195.81"/>
  </r>
  <r>
    <x v="2052"/>
    <x v="2"/>
    <s v="Boots"/>
    <n v="2"/>
    <n v="2839.98"/>
    <n v="5679.96"/>
    <m/>
    <n v="5679.96"/>
    <x v="247"/>
    <s v="Mumbai"/>
    <s v="B2B"/>
    <n v="-48.25"/>
  </r>
  <r>
    <x v="2053"/>
    <x v="4"/>
    <s v="Crop Top"/>
    <n v="2"/>
    <m/>
    <n v="0"/>
    <m/>
    <n v="0"/>
    <x v="281"/>
    <s v="Bangalore"/>
    <s v="B2B"/>
    <n v="2067.89"/>
  </r>
  <r>
    <x v="2054"/>
    <x v="4"/>
    <s v="Oversized T-shirt"/>
    <n v="2"/>
    <m/>
    <n v="0"/>
    <m/>
    <n v="0"/>
    <x v="4"/>
    <s v="Ahmedabad"/>
    <s v="B2C"/>
    <n v="-245.42"/>
  </r>
  <r>
    <x v="2055"/>
    <x v="5"/>
    <s v="Maxi Dress"/>
    <n v="5"/>
    <m/>
    <n v="0"/>
    <m/>
    <n v="0"/>
    <x v="26"/>
    <s v="Pune"/>
    <s v="B2C"/>
    <n v="664.73"/>
  </r>
  <r>
    <x v="2056"/>
    <x v="4"/>
    <s v="Crop Top"/>
    <n v="2"/>
    <n v="1573.64"/>
    <n v="3147.28"/>
    <m/>
    <n v="3147.28"/>
    <x v="35"/>
    <s v="Delhi"/>
    <s v="B2C"/>
    <n v="792.35"/>
  </r>
  <r>
    <x v="2057"/>
    <x v="4"/>
    <s v="Oversized T-shirt"/>
    <n v="2"/>
    <n v="2316.64"/>
    <n v="4633.28"/>
    <n v="0.7"/>
    <n v="1389.9840000000002"/>
    <x v="429"/>
    <s v="Ahmedabad"/>
    <s v="B2B"/>
    <n v="-657.76"/>
  </r>
  <r>
    <x v="2058"/>
    <x v="4"/>
    <s v="Crop Top"/>
    <n v="4"/>
    <m/>
    <n v="0"/>
    <m/>
    <n v="0"/>
    <x v="348"/>
    <s v="Mumbai"/>
    <s v="B2C"/>
    <n v="2563.31"/>
  </r>
  <r>
    <x v="2059"/>
    <x v="3"/>
    <s v="Watches"/>
    <n v="-1"/>
    <m/>
    <n v="0"/>
    <m/>
    <n v="0"/>
    <x v="233"/>
    <s v="Delhi"/>
    <s v="B2B"/>
    <n v="918.53"/>
  </r>
  <r>
    <x v="2060"/>
    <x v="0"/>
    <s v="Slim Fit Jeans"/>
    <n v="2"/>
    <n v="692.46"/>
    <n v="1384.92"/>
    <n v="1.2"/>
    <n v="-276.98399999999998"/>
    <x v="494"/>
    <s v="Bangalore"/>
    <s v="B2C"/>
    <n v="-901.21"/>
  </r>
  <r>
    <x v="2061"/>
    <x v="0"/>
    <s v="Slim Fit Jeans"/>
    <n v="-2"/>
    <n v="3344.74"/>
    <n v="-6689.48"/>
    <n v="1.1000000000000001"/>
    <n v="668.94800000000055"/>
    <x v="152"/>
    <s v="Ahmedabad"/>
    <s v="B2B"/>
    <n v="2728.08"/>
  </r>
  <r>
    <x v="2062"/>
    <x v="3"/>
    <s v="Belts"/>
    <n v="-2"/>
    <n v="3153.72"/>
    <n v="-6307.44"/>
    <m/>
    <n v="-6307.44"/>
    <x v="152"/>
    <s v="NaviMumbai"/>
    <s v="B2B"/>
    <n v="2686.96"/>
  </r>
  <r>
    <x v="2063"/>
    <x v="5"/>
    <s v="Wrap Dress"/>
    <n v="-2"/>
    <n v="3033.2"/>
    <n v="-6066.4"/>
    <m/>
    <n v="-6066.4"/>
    <x v="498"/>
    <s v="Pune"/>
    <s v="B2B"/>
    <n v="490.69"/>
  </r>
  <r>
    <x v="2064"/>
    <x v="3"/>
    <s v="Watches"/>
    <n v="2"/>
    <n v="1091.76"/>
    <n v="2183.52"/>
    <n v="0.54"/>
    <n v="1004.4191999999999"/>
    <x v="374"/>
    <s v="NaviMumbai"/>
    <s v="B2C"/>
    <n v="2584.69"/>
  </r>
  <r>
    <x v="2065"/>
    <x v="1"/>
    <s v="Puffer Coat"/>
    <n v="2"/>
    <m/>
    <n v="0"/>
    <m/>
    <n v="0"/>
    <x v="311"/>
    <s v="Bangalore"/>
    <s v="B2C"/>
    <n v="250.05"/>
  </r>
  <r>
    <x v="2066"/>
    <x v="2"/>
    <s v="Boots"/>
    <n v="2"/>
    <n v="1551.41"/>
    <n v="3102.82"/>
    <n v="0.54"/>
    <n v="1427.2972"/>
    <x v="528"/>
    <s v="Delhi"/>
    <s v="B2C"/>
    <n v="763.37"/>
  </r>
  <r>
    <x v="2067"/>
    <x v="5"/>
    <s v="Wrap Dress"/>
    <n v="2"/>
    <n v="4382.8599999999997"/>
    <n v="8765.7199999999993"/>
    <m/>
    <n v="8765.7199999999993"/>
    <x v="140"/>
    <s v="Pune"/>
    <s v="B2C"/>
    <n v="1172.7"/>
  </r>
  <r>
    <x v="2068"/>
    <x v="3"/>
    <s v="Watches"/>
    <n v="1"/>
    <m/>
    <n v="0"/>
    <m/>
    <n v="0"/>
    <x v="200"/>
    <s v="Pune"/>
    <s v="B2C"/>
    <n v="2699.57"/>
  </r>
  <r>
    <x v="2069"/>
    <x v="2"/>
    <s v="Boots"/>
    <n v="2"/>
    <n v="2312.09"/>
    <n v="4624.18"/>
    <m/>
    <n v="4624.18"/>
    <x v="272"/>
    <s v="Bangalore"/>
    <s v="B2C"/>
    <n v="508.96"/>
  </r>
  <r>
    <x v="2070"/>
    <x v="2"/>
    <s v="Boots"/>
    <n v="2"/>
    <n v="3111.65"/>
    <n v="6223.3"/>
    <m/>
    <n v="6223.3"/>
    <x v="293"/>
    <s v="NaviMumbai"/>
    <s v="B2B"/>
    <n v="2868.09"/>
  </r>
  <r>
    <x v="2071"/>
    <x v="5"/>
    <s v="Maxi Dress"/>
    <n v="2"/>
    <n v="2996.43"/>
    <n v="5992.86"/>
    <m/>
    <n v="5992.86"/>
    <x v="4"/>
    <s v="Pune"/>
    <s v="B2C"/>
    <n v="2205.5700000000002"/>
  </r>
  <r>
    <x v="2072"/>
    <x v="3"/>
    <s v="Watches"/>
    <n v="2"/>
    <n v="4426.87"/>
    <n v="8853.74"/>
    <m/>
    <n v="8853.74"/>
    <x v="18"/>
    <s v="Pune"/>
    <s v="B2B"/>
    <n v="2480.9499999999998"/>
  </r>
  <r>
    <x v="2073"/>
    <x v="1"/>
    <s v="Leather Jacket"/>
    <n v="2"/>
    <m/>
    <n v="0"/>
    <m/>
    <n v="0"/>
    <x v="231"/>
    <s v="Ahmedabad"/>
    <s v="B2B"/>
    <n v="2379.7399999999998"/>
  </r>
  <r>
    <x v="2074"/>
    <x v="3"/>
    <s v="Belts"/>
    <n v="1"/>
    <m/>
    <n v="0"/>
    <m/>
    <n v="0"/>
    <x v="17"/>
    <s v="Mumbai"/>
    <s v="B2B"/>
    <n v="478.53"/>
  </r>
  <r>
    <x v="2075"/>
    <x v="5"/>
    <s v="Maxi Dress"/>
    <n v="0"/>
    <m/>
    <n v="0"/>
    <m/>
    <n v="0"/>
    <x v="104"/>
    <s v="Ahmedabad"/>
    <s v="B2B"/>
    <n v="-861.84"/>
  </r>
  <r>
    <x v="2076"/>
    <x v="4"/>
    <s v="Graphic Tee"/>
    <n v="5"/>
    <m/>
    <n v="0"/>
    <m/>
    <n v="0"/>
    <x v="155"/>
    <s v="Bangalore"/>
    <s v="B2C"/>
    <n v="654.74"/>
  </r>
  <r>
    <x v="2077"/>
    <x v="5"/>
    <s v="Casual Midi"/>
    <n v="2"/>
    <n v="4274.01"/>
    <n v="8548.02"/>
    <n v="0.28000000000000003"/>
    <n v="6154.5744000000004"/>
    <x v="288"/>
    <s v="Ahmedabad"/>
    <s v="B2B"/>
    <n v="2263.5700000000002"/>
  </r>
  <r>
    <x v="2078"/>
    <x v="3"/>
    <s v="Belts"/>
    <n v="2"/>
    <m/>
    <n v="0"/>
    <m/>
    <n v="0"/>
    <x v="407"/>
    <s v="NaviMumbai"/>
    <s v="B2C"/>
    <n v="1488.64"/>
  </r>
  <r>
    <x v="2079"/>
    <x v="3"/>
    <s v="Sunglasses"/>
    <n v="6"/>
    <m/>
    <n v="0"/>
    <m/>
    <n v="0"/>
    <x v="141"/>
    <s v="Delhi"/>
    <s v="B2C"/>
    <n v="-521.15"/>
  </r>
  <r>
    <x v="2080"/>
    <x v="0"/>
    <s v="Slim Fit Jeans"/>
    <n v="2"/>
    <n v="2068.64"/>
    <n v="4137.28"/>
    <m/>
    <n v="4137.28"/>
    <x v="4"/>
    <s v="Mumbai"/>
    <s v="B2C"/>
    <n v="2447.29"/>
  </r>
  <r>
    <x v="2081"/>
    <x v="5"/>
    <s v="Wrap Dress"/>
    <n v="2"/>
    <m/>
    <n v="0"/>
    <m/>
    <n v="0"/>
    <x v="120"/>
    <s v="Mumbai"/>
    <s v="B2C"/>
    <n v="-815.76"/>
  </r>
  <r>
    <x v="2082"/>
    <x v="4"/>
    <s v="Crop Top"/>
    <n v="5"/>
    <m/>
    <n v="0"/>
    <n v="0.35"/>
    <n v="0"/>
    <x v="4"/>
    <s v="Ahmedabad"/>
    <s v="B2C"/>
    <n v="445.05"/>
  </r>
  <r>
    <x v="2083"/>
    <x v="0"/>
    <s v="Boyfriend Jeans"/>
    <n v="2"/>
    <n v="4103.32"/>
    <n v="8206.64"/>
    <m/>
    <n v="8206.64"/>
    <x v="358"/>
    <s v="Delhi"/>
    <s v="B2C"/>
    <n v="-828.25"/>
  </r>
  <r>
    <x v="2084"/>
    <x v="4"/>
    <s v="Classic Tee"/>
    <n v="-1"/>
    <n v="839.87"/>
    <n v="-839.87"/>
    <m/>
    <n v="-839.87"/>
    <x v="4"/>
    <s v="Bangalore"/>
    <s v="B2C"/>
    <n v="-286.10000000000002"/>
  </r>
  <r>
    <x v="2085"/>
    <x v="2"/>
    <s v="Loafers"/>
    <n v="2"/>
    <n v="3026.75"/>
    <n v="6053.5"/>
    <m/>
    <n v="6053.5"/>
    <x v="348"/>
    <s v="Delhi"/>
    <s v="B2B"/>
    <n v="-565.91999999999996"/>
  </r>
  <r>
    <x v="2086"/>
    <x v="2"/>
    <s v="Loafers"/>
    <n v="4"/>
    <n v="3256.86"/>
    <n v="13027.44"/>
    <n v="0.77"/>
    <n v="2996.3112000000001"/>
    <x v="486"/>
    <s v="Bangalore"/>
    <s v="B2B"/>
    <n v="-109.08"/>
  </r>
  <r>
    <x v="2087"/>
    <x v="0"/>
    <s v="Slim Fit Jeans"/>
    <n v="2"/>
    <n v="4082.61"/>
    <n v="8165.22"/>
    <m/>
    <n v="8165.22"/>
    <x v="4"/>
    <s v="Pune"/>
    <s v="B2C"/>
    <n v="-454.61"/>
  </r>
  <r>
    <x v="2088"/>
    <x v="3"/>
    <s v="Caps"/>
    <n v="2"/>
    <m/>
    <n v="0"/>
    <m/>
    <n v="0"/>
    <x v="451"/>
    <s v="NaviMumbai"/>
    <s v="B2C"/>
    <n v="-546.69000000000005"/>
  </r>
  <r>
    <x v="2089"/>
    <x v="5"/>
    <s v="Wrap Dress"/>
    <n v="2"/>
    <n v="1237.1500000000001"/>
    <n v="2474.3000000000002"/>
    <m/>
    <n v="2474.3000000000002"/>
    <x v="160"/>
    <s v="Bangalore"/>
    <s v="B2B"/>
    <n v="1357.42"/>
  </r>
  <r>
    <x v="2090"/>
    <x v="1"/>
    <s v="Denim Jacket"/>
    <n v="4"/>
    <m/>
    <n v="0"/>
    <n v="0.28999999999999998"/>
    <n v="0"/>
    <x v="134"/>
    <s v="Bangalore"/>
    <s v="B2B"/>
    <n v="-706.51"/>
  </r>
  <r>
    <x v="2091"/>
    <x v="1"/>
    <s v="Puffer Coat"/>
    <n v="2"/>
    <n v="948.06"/>
    <n v="1896.12"/>
    <n v="0.6"/>
    <n v="758.44799999999998"/>
    <x v="27"/>
    <s v="Pune"/>
    <s v="B2B"/>
    <n v="69.349999999999994"/>
  </r>
  <r>
    <x v="2092"/>
    <x v="0"/>
    <s v="Slim Fit Jeans"/>
    <n v="2"/>
    <n v="722.74"/>
    <n v="1445.48"/>
    <m/>
    <n v="1445.48"/>
    <x v="288"/>
    <s v="Pune"/>
    <s v="B2C"/>
    <n v="1610.64"/>
  </r>
  <r>
    <x v="2093"/>
    <x v="3"/>
    <s v="Sunglasses"/>
    <n v="2"/>
    <n v="824.59"/>
    <n v="1649.18"/>
    <n v="0.13"/>
    <n v="1434.7866000000001"/>
    <x v="212"/>
    <s v="NaviMumbai"/>
    <s v="B2C"/>
    <n v="-276.22000000000003"/>
  </r>
  <r>
    <x v="2094"/>
    <x v="1"/>
    <s v="Bomber Jacket"/>
    <n v="2"/>
    <n v="1049.27"/>
    <n v="2098.54"/>
    <m/>
    <n v="2098.54"/>
    <x v="534"/>
    <s v="NaviMumbai"/>
    <s v="B2C"/>
    <n v="-648.45000000000005"/>
  </r>
  <r>
    <x v="2095"/>
    <x v="3"/>
    <s v="Belts"/>
    <n v="2"/>
    <m/>
    <n v="0"/>
    <n v="1.19"/>
    <n v="0"/>
    <x v="42"/>
    <s v="Pune"/>
    <s v="B2C"/>
    <n v="551.79"/>
  </r>
  <r>
    <x v="2096"/>
    <x v="1"/>
    <s v="Bomber Jacket"/>
    <n v="5"/>
    <m/>
    <n v="0"/>
    <m/>
    <n v="0"/>
    <x v="357"/>
    <s v="NaviMumbai"/>
    <s v="B2C"/>
    <n v="1980.42"/>
  </r>
  <r>
    <x v="2097"/>
    <x v="4"/>
    <s v="Crop Top"/>
    <n v="2"/>
    <m/>
    <n v="0"/>
    <n v="0.87"/>
    <n v="0"/>
    <x v="432"/>
    <s v="Pune"/>
    <s v="B2B"/>
    <n v="-399.81"/>
  </r>
  <r>
    <x v="2098"/>
    <x v="5"/>
    <s v="Casual Midi"/>
    <n v="5"/>
    <n v="4264.79"/>
    <n v="21323.95"/>
    <m/>
    <n v="21323.95"/>
    <x v="237"/>
    <s v="Ahmedabad"/>
    <s v="B2C"/>
    <n v="2388.91"/>
  </r>
  <r>
    <x v="2099"/>
    <x v="4"/>
    <s v="Graphic Tee"/>
    <n v="4"/>
    <m/>
    <n v="0"/>
    <m/>
    <n v="0"/>
    <x v="22"/>
    <s v="Mumbai"/>
    <s v="B2B"/>
    <n v="2624.13"/>
  </r>
  <r>
    <x v="2100"/>
    <x v="2"/>
    <s v="Boots"/>
    <n v="2"/>
    <n v="491.77"/>
    <n v="983.54"/>
    <n v="0.9"/>
    <n v="98.353999999999971"/>
    <x v="291"/>
    <s v="Pune"/>
    <s v="B2B"/>
    <n v="2069.0500000000002"/>
  </r>
  <r>
    <x v="2101"/>
    <x v="5"/>
    <s v="Casual Midi"/>
    <n v="2"/>
    <n v="3216.9"/>
    <n v="6433.8"/>
    <m/>
    <n v="6433.8"/>
    <x v="367"/>
    <s v="NaviMumbai"/>
    <s v="B2C"/>
    <n v="192.22"/>
  </r>
  <r>
    <x v="2102"/>
    <x v="0"/>
    <s v="Straight Cut"/>
    <n v="2"/>
    <n v="3201.09"/>
    <n v="6402.18"/>
    <m/>
    <n v="6402.18"/>
    <x v="251"/>
    <s v="Pune"/>
    <s v="B2C"/>
    <n v="2989.88"/>
  </r>
  <r>
    <x v="2103"/>
    <x v="5"/>
    <s v="Casual Midi"/>
    <n v="2"/>
    <n v="3742.62"/>
    <n v="7485.24"/>
    <m/>
    <n v="7485.24"/>
    <x v="142"/>
    <s v="Mumbai"/>
    <s v="B2C"/>
    <n v="2886.26"/>
  </r>
  <r>
    <x v="2104"/>
    <x v="3"/>
    <s v="Belts"/>
    <n v="2"/>
    <n v="4938.03"/>
    <n v="9876.06"/>
    <m/>
    <n v="9876.06"/>
    <x v="535"/>
    <s v="Delhi"/>
    <s v="B2B"/>
    <n v="878.99"/>
  </r>
  <r>
    <x v="2105"/>
    <x v="1"/>
    <s v="Denim Jacket"/>
    <n v="6"/>
    <n v="2940.45"/>
    <n v="17642.699999999997"/>
    <m/>
    <n v="17642.699999999997"/>
    <x v="4"/>
    <s v="NaviMumbai"/>
    <s v="B2C"/>
    <n v="-583.80999999999995"/>
  </r>
  <r>
    <x v="2106"/>
    <x v="1"/>
    <s v="Denim Jacket"/>
    <n v="1"/>
    <n v="974.54"/>
    <n v="974.54"/>
    <n v="0.44"/>
    <n v="545.74239999999998"/>
    <x v="95"/>
    <s v="NaviMumbai"/>
    <s v="B2B"/>
    <n v="2655.22"/>
  </r>
  <r>
    <x v="2107"/>
    <x v="1"/>
    <s v="Bomber Jacket"/>
    <n v="2"/>
    <m/>
    <n v="0"/>
    <n v="0.53"/>
    <n v="0"/>
    <x v="4"/>
    <s v="Ahmedabad"/>
    <s v="B2B"/>
    <n v="1130.74"/>
  </r>
  <r>
    <x v="2108"/>
    <x v="1"/>
    <s v="Puffer Coat"/>
    <n v="1"/>
    <m/>
    <n v="0"/>
    <n v="0.67"/>
    <n v="0"/>
    <x v="4"/>
    <s v="NaviMumbai"/>
    <s v="B2B"/>
    <n v="2619.5"/>
  </r>
  <r>
    <x v="2109"/>
    <x v="4"/>
    <s v="Graphic Tee"/>
    <n v="2"/>
    <n v="3622.93"/>
    <n v="7245.86"/>
    <m/>
    <n v="7245.86"/>
    <x v="458"/>
    <s v="Delhi"/>
    <s v="B2C"/>
    <n v="813.36"/>
  </r>
  <r>
    <x v="2110"/>
    <x v="1"/>
    <s v="Puffer Coat"/>
    <n v="2"/>
    <m/>
    <n v="0"/>
    <m/>
    <n v="0"/>
    <x v="374"/>
    <s v="Bangalore"/>
    <s v="B2C"/>
    <n v="-122.35"/>
  </r>
  <r>
    <x v="2111"/>
    <x v="3"/>
    <s v="Caps"/>
    <n v="0"/>
    <n v="855.81"/>
    <n v="0"/>
    <n v="0.31"/>
    <n v="0"/>
    <x v="375"/>
    <s v="Delhi"/>
    <s v="B2C"/>
    <n v="1801"/>
  </r>
  <r>
    <x v="2112"/>
    <x v="4"/>
    <s v="Oversized T-shirt"/>
    <n v="6"/>
    <m/>
    <n v="0"/>
    <m/>
    <n v="0"/>
    <x v="4"/>
    <s v="NaviMumbai"/>
    <s v="B2B"/>
    <n v="563.12"/>
  </r>
  <r>
    <x v="2113"/>
    <x v="0"/>
    <s v="Ripped Denim"/>
    <n v="2"/>
    <m/>
    <n v="0"/>
    <m/>
    <n v="0"/>
    <x v="4"/>
    <s v="Ahmedabad"/>
    <s v="B2B"/>
    <n v="2551.31"/>
  </r>
  <r>
    <x v="2114"/>
    <x v="1"/>
    <s v="Denim Jacket"/>
    <n v="2"/>
    <m/>
    <n v="0"/>
    <m/>
    <n v="0"/>
    <x v="173"/>
    <s v="Mumbai"/>
    <s v="B2C"/>
    <n v="2279.1799999999998"/>
  </r>
  <r>
    <x v="2115"/>
    <x v="5"/>
    <s v="Bodycon"/>
    <n v="1"/>
    <n v="4887.3599999999997"/>
    <n v="4887.3599999999997"/>
    <m/>
    <n v="4887.3599999999997"/>
    <x v="525"/>
    <s v="NaviMumbai"/>
    <s v="B2B"/>
    <n v="-243.32"/>
  </r>
  <r>
    <x v="2116"/>
    <x v="4"/>
    <s v="Oversized T-shirt"/>
    <n v="2"/>
    <m/>
    <n v="0"/>
    <m/>
    <n v="0"/>
    <x v="4"/>
    <s v="NaviMumbai"/>
    <s v="B2B"/>
    <n v="-525.49"/>
  </r>
  <r>
    <x v="2117"/>
    <x v="5"/>
    <s v="Casual Midi"/>
    <n v="2"/>
    <n v="2664.43"/>
    <n v="5328.86"/>
    <m/>
    <n v="5328.86"/>
    <x v="266"/>
    <s v="NaviMumbai"/>
    <s v="B2C"/>
    <n v="1324.18"/>
  </r>
  <r>
    <x v="2118"/>
    <x v="1"/>
    <s v="Bomber Jacket"/>
    <n v="2"/>
    <n v="4414.97"/>
    <n v="8829.94"/>
    <m/>
    <n v="8829.94"/>
    <x v="4"/>
    <s v="NaviMumbai"/>
    <s v="B2B"/>
    <n v="2754.74"/>
  </r>
  <r>
    <x v="2119"/>
    <x v="1"/>
    <s v="Bomber Jacket"/>
    <n v="2"/>
    <m/>
    <n v="0"/>
    <m/>
    <n v="0"/>
    <x v="4"/>
    <s v="NaviMumbai"/>
    <s v="B2B"/>
    <n v="146.19"/>
  </r>
  <r>
    <x v="517"/>
    <x v="5"/>
    <s v="Casual Midi"/>
    <n v="2"/>
    <m/>
    <n v="0"/>
    <m/>
    <n v="0"/>
    <x v="1"/>
    <s v="Bangalore"/>
    <s v="B2C"/>
    <n v="2987.89"/>
  </r>
  <r>
    <x v="2120"/>
    <x v="5"/>
    <s v="Casual Midi"/>
    <n v="6"/>
    <m/>
    <n v="0"/>
    <n v="0.5"/>
    <n v="0"/>
    <x v="115"/>
    <s v="Ahmedabad"/>
    <s v="B2C"/>
    <n v="605.46"/>
  </r>
  <r>
    <x v="2121"/>
    <x v="2"/>
    <s v="Loafers"/>
    <n v="5"/>
    <m/>
    <n v="0"/>
    <m/>
    <n v="0"/>
    <x v="4"/>
    <s v="Bangalore"/>
    <s v="B2C"/>
    <n v="-681.76"/>
  </r>
  <r>
    <x v="2122"/>
    <x v="4"/>
    <s v="Graphic Tee"/>
    <n v="0"/>
    <n v="850.69"/>
    <n v="0"/>
    <n v="0.41"/>
    <n v="0"/>
    <x v="151"/>
    <s v="Bangalore"/>
    <s v="B2C"/>
    <n v="2291.9299999999998"/>
  </r>
  <r>
    <x v="2123"/>
    <x v="0"/>
    <s v="Slim Fit Jeans"/>
    <n v="2"/>
    <m/>
    <n v="0"/>
    <n v="0.19"/>
    <n v="0"/>
    <x v="46"/>
    <s v="Mumbai"/>
    <s v="B2B"/>
    <n v="-858.13"/>
  </r>
  <r>
    <x v="2124"/>
    <x v="4"/>
    <s v="Graphic Tee"/>
    <n v="-2"/>
    <n v="2116.65"/>
    <n v="-4233.3"/>
    <n v="0.21"/>
    <n v="-3344.3070000000002"/>
    <x v="134"/>
    <s v="Mumbai"/>
    <s v="B2C"/>
    <n v="385.42"/>
  </r>
  <r>
    <x v="2125"/>
    <x v="5"/>
    <s v="Casual Midi"/>
    <n v="2"/>
    <n v="4723.0200000000004"/>
    <n v="9446.0400000000009"/>
    <n v="0.52"/>
    <n v="4534.0992000000006"/>
    <x v="4"/>
    <s v="Ahmedabad"/>
    <s v="B2B"/>
    <n v="316.63"/>
  </r>
  <r>
    <x v="2126"/>
    <x v="4"/>
    <s v="Oversized T-shirt"/>
    <n v="1"/>
    <n v="3154.48"/>
    <n v="3154.48"/>
    <m/>
    <n v="3154.48"/>
    <x v="416"/>
    <s v="Ahmedabad"/>
    <s v="B2C"/>
    <n v="-243.92"/>
  </r>
  <r>
    <x v="2127"/>
    <x v="3"/>
    <s v="Caps"/>
    <n v="2"/>
    <m/>
    <n v="0"/>
    <n v="0.27"/>
    <n v="0"/>
    <x v="4"/>
    <s v="Mumbai"/>
    <s v="B2C"/>
    <n v="2621.96"/>
  </r>
  <r>
    <x v="2128"/>
    <x v="2"/>
    <s v="Loafers"/>
    <n v="1"/>
    <m/>
    <n v="0"/>
    <n v="0.52"/>
    <n v="0"/>
    <x v="4"/>
    <s v="Ahmedabad"/>
    <s v="B2C"/>
    <n v="2568.9"/>
  </r>
  <r>
    <x v="2129"/>
    <x v="3"/>
    <s v="Caps"/>
    <n v="6"/>
    <n v="1768.88"/>
    <n v="10613.28"/>
    <m/>
    <n v="10613.28"/>
    <x v="536"/>
    <s v="Pune"/>
    <s v="B2B"/>
    <n v="-750.14"/>
  </r>
  <r>
    <x v="2130"/>
    <x v="2"/>
    <s v="Boots"/>
    <n v="2"/>
    <m/>
    <n v="0"/>
    <m/>
    <n v="0"/>
    <x v="216"/>
    <s v="Pune"/>
    <s v="B2C"/>
    <n v="-274.08999999999997"/>
  </r>
  <r>
    <x v="2131"/>
    <x v="4"/>
    <s v="Graphic Tee"/>
    <n v="2"/>
    <m/>
    <n v="0"/>
    <m/>
    <n v="0"/>
    <x v="156"/>
    <s v="Delhi"/>
    <s v="B2B"/>
    <n v="1668.66"/>
  </r>
  <r>
    <x v="2132"/>
    <x v="0"/>
    <s v="Ripped Denim"/>
    <n v="6"/>
    <n v="4976.8100000000004"/>
    <n v="29860.86"/>
    <m/>
    <n v="29860.86"/>
    <x v="481"/>
    <s v="Ahmedabad"/>
    <s v="B2C"/>
    <n v="845.06"/>
  </r>
  <r>
    <x v="2133"/>
    <x v="3"/>
    <s v="Belts"/>
    <n v="2"/>
    <m/>
    <n v="0"/>
    <m/>
    <n v="0"/>
    <x v="537"/>
    <s v="Mumbai"/>
    <s v="B2C"/>
    <n v="1399.1"/>
  </r>
  <r>
    <x v="2134"/>
    <x v="3"/>
    <s v="Sunglasses"/>
    <n v="2"/>
    <m/>
    <n v="0"/>
    <m/>
    <n v="0"/>
    <x v="268"/>
    <s v="Bangalore"/>
    <s v="B2C"/>
    <n v="344.06"/>
  </r>
  <r>
    <x v="2135"/>
    <x v="0"/>
    <s v="Ripped Denim"/>
    <n v="2"/>
    <m/>
    <n v="0"/>
    <m/>
    <n v="0"/>
    <x v="205"/>
    <s v="Ahmedabad"/>
    <s v="B2C"/>
    <n v="-13.76"/>
  </r>
  <r>
    <x v="2136"/>
    <x v="1"/>
    <s v="Bomber Jacket"/>
    <n v="3"/>
    <m/>
    <n v="0"/>
    <n v="0.09"/>
    <n v="0"/>
    <x v="153"/>
    <s v="Bangalore"/>
    <s v="B2C"/>
    <n v="-750.61"/>
  </r>
  <r>
    <x v="2137"/>
    <x v="5"/>
    <s v="Bodycon"/>
    <n v="2"/>
    <n v="2994.31"/>
    <n v="5988.62"/>
    <m/>
    <n v="5988.62"/>
    <x v="4"/>
    <s v="Bangalore"/>
    <s v="B2C"/>
    <n v="-990.57"/>
  </r>
  <r>
    <x v="2138"/>
    <x v="5"/>
    <s v="Bodycon"/>
    <n v="-2"/>
    <m/>
    <n v="0"/>
    <m/>
    <n v="0"/>
    <x v="474"/>
    <s v="Pune"/>
    <s v="B2B"/>
    <n v="1384.25"/>
  </r>
  <r>
    <x v="2139"/>
    <x v="0"/>
    <s v="Ripped Denim"/>
    <n v="2"/>
    <m/>
    <n v="0"/>
    <m/>
    <n v="0"/>
    <x v="168"/>
    <s v="Mumbai"/>
    <s v="B2B"/>
    <n v="1078.74"/>
  </r>
  <r>
    <x v="2140"/>
    <x v="0"/>
    <s v="Ripped Denim"/>
    <n v="-1"/>
    <n v="1845.75"/>
    <n v="-1845.75"/>
    <m/>
    <n v="-1845.75"/>
    <x v="198"/>
    <s v="Bangalore"/>
    <s v="B2B"/>
    <n v="268.45"/>
  </r>
  <r>
    <x v="2141"/>
    <x v="1"/>
    <s v="Puffer Coat"/>
    <n v="-2"/>
    <m/>
    <n v="0"/>
    <m/>
    <n v="0"/>
    <x v="303"/>
    <s v="NaviMumbai"/>
    <s v="B2C"/>
    <n v="796.19"/>
  </r>
  <r>
    <x v="2142"/>
    <x v="1"/>
    <s v="Denim Jacket"/>
    <n v="2"/>
    <n v="2229.77"/>
    <n v="4459.54"/>
    <m/>
    <n v="4459.54"/>
    <x v="4"/>
    <s v="Ahmedabad"/>
    <s v="B2C"/>
    <n v="2733.99"/>
  </r>
  <r>
    <x v="2143"/>
    <x v="4"/>
    <s v="Classic Tee"/>
    <n v="2"/>
    <n v="3618.17"/>
    <n v="7236.34"/>
    <m/>
    <n v="7236.34"/>
    <x v="205"/>
    <s v="Ahmedabad"/>
    <s v="B2B"/>
    <n v="726.81"/>
  </r>
  <r>
    <x v="2144"/>
    <x v="2"/>
    <s v="Sneakers"/>
    <n v="3"/>
    <n v="4433.3500000000004"/>
    <n v="13300.050000000001"/>
    <m/>
    <n v="13300.050000000001"/>
    <x v="133"/>
    <s v="Pune"/>
    <s v="B2C"/>
    <n v="329.75"/>
  </r>
  <r>
    <x v="2145"/>
    <x v="2"/>
    <s v="Sneakers"/>
    <n v="4"/>
    <n v="1205.98"/>
    <n v="4823.92"/>
    <m/>
    <n v="4823.92"/>
    <x v="4"/>
    <s v="Delhi"/>
    <s v="B2C"/>
    <n v="-794.73"/>
  </r>
  <r>
    <x v="2146"/>
    <x v="1"/>
    <s v="Puffer Coat"/>
    <n v="4"/>
    <n v="4345.79"/>
    <n v="17383.16"/>
    <n v="1.1399999999999999"/>
    <n v="-2433.6423999999984"/>
    <x v="202"/>
    <s v="Pune"/>
    <s v="B2C"/>
    <n v="2747.47"/>
  </r>
  <r>
    <x v="2147"/>
    <x v="0"/>
    <s v="Straight Cut"/>
    <n v="3"/>
    <n v="2937.09"/>
    <n v="8811.27"/>
    <m/>
    <n v="8811.27"/>
    <x v="115"/>
    <s v="Pune"/>
    <s v="B2C"/>
    <n v="2471.63"/>
  </r>
  <r>
    <x v="2148"/>
    <x v="5"/>
    <s v="Wrap Dress"/>
    <n v="2"/>
    <n v="4473.84"/>
    <n v="8947.68"/>
    <n v="0.3"/>
    <n v="6263.3760000000002"/>
    <x v="234"/>
    <s v="Pune"/>
    <s v="B2B"/>
    <n v="2874.33"/>
  </r>
  <r>
    <x v="2149"/>
    <x v="0"/>
    <s v="Slim Fit Jeans"/>
    <n v="-1"/>
    <m/>
    <n v="0"/>
    <m/>
    <n v="0"/>
    <x v="338"/>
    <s v="Ahmedabad"/>
    <s v="B2C"/>
    <n v="2693.49"/>
  </r>
  <r>
    <x v="2150"/>
    <x v="1"/>
    <s v="Denim Jacket"/>
    <n v="2"/>
    <m/>
    <n v="0"/>
    <n v="0.66"/>
    <n v="0"/>
    <x v="4"/>
    <s v="NaviMumbai"/>
    <s v="B2C"/>
    <n v="-174.17"/>
  </r>
  <r>
    <x v="976"/>
    <x v="1"/>
    <s v="Puffer Coat"/>
    <n v="1"/>
    <n v="2057.88"/>
    <n v="2057.88"/>
    <m/>
    <n v="2057.88"/>
    <x v="85"/>
    <s v="Ahmedabad"/>
    <s v="B2C"/>
    <n v="932.33"/>
  </r>
  <r>
    <x v="2151"/>
    <x v="2"/>
    <s v="Boots"/>
    <n v="5"/>
    <n v="1981.32"/>
    <n v="9906.6"/>
    <m/>
    <n v="9906.6"/>
    <x v="247"/>
    <s v="Bangalore"/>
    <s v="B2C"/>
    <n v="1113.19"/>
  </r>
  <r>
    <x v="2152"/>
    <x v="2"/>
    <s v="Loafers"/>
    <n v="2"/>
    <m/>
    <n v="0"/>
    <m/>
    <n v="0"/>
    <x v="476"/>
    <s v="Ahmedabad"/>
    <s v="B2C"/>
    <n v="1727.03"/>
  </r>
  <r>
    <x v="1025"/>
    <x v="5"/>
    <s v="Wrap Dress"/>
    <n v="2"/>
    <n v="3078.92"/>
    <n v="6157.84"/>
    <m/>
    <n v="6157.84"/>
    <x v="4"/>
    <s v="NaviMumbai"/>
    <s v="B2B"/>
    <n v="1935.04"/>
  </r>
  <r>
    <x v="2153"/>
    <x v="3"/>
    <s v="Watches"/>
    <n v="2"/>
    <m/>
    <n v="0"/>
    <m/>
    <n v="0"/>
    <x v="538"/>
    <s v="Bangalore"/>
    <s v="B2C"/>
    <n v="2332.84"/>
  </r>
  <r>
    <x v="2154"/>
    <x v="2"/>
    <s v="Slip-ons"/>
    <n v="3"/>
    <m/>
    <n v="0"/>
    <n v="1"/>
    <n v="0"/>
    <x v="61"/>
    <s v="Pune"/>
    <s v="B2C"/>
    <n v="386.15"/>
  </r>
  <r>
    <x v="2155"/>
    <x v="0"/>
    <s v="Ripped Denim"/>
    <n v="2"/>
    <m/>
    <n v="0"/>
    <m/>
    <n v="0"/>
    <x v="45"/>
    <s v="Ahmedabad"/>
    <s v="B2C"/>
    <n v="-726.08"/>
  </r>
  <r>
    <x v="2156"/>
    <x v="0"/>
    <s v="Ripped Denim"/>
    <n v="5"/>
    <m/>
    <n v="0"/>
    <m/>
    <n v="0"/>
    <x v="4"/>
    <s v="NaviMumbai"/>
    <s v="B2B"/>
    <n v="-637.71"/>
  </r>
  <r>
    <x v="2157"/>
    <x v="5"/>
    <s v="Maxi Dress"/>
    <n v="6"/>
    <n v="3998.97"/>
    <n v="23993.82"/>
    <m/>
    <n v="23993.82"/>
    <x v="443"/>
    <s v="Mumbai"/>
    <s v="B2C"/>
    <n v="716.49"/>
  </r>
  <r>
    <x v="2158"/>
    <x v="3"/>
    <s v="Belts"/>
    <n v="2"/>
    <n v="936.76"/>
    <n v="1873.52"/>
    <m/>
    <n v="1873.52"/>
    <x v="4"/>
    <s v="NaviMumbai"/>
    <s v="B2B"/>
    <n v="1308.49"/>
  </r>
  <r>
    <x v="2159"/>
    <x v="2"/>
    <s v="Boots"/>
    <n v="2"/>
    <n v="1299.74"/>
    <n v="2599.48"/>
    <n v="0.09"/>
    <n v="2365.5268000000001"/>
    <x v="488"/>
    <s v="Bangalore"/>
    <s v="B2C"/>
    <n v="1607.44"/>
  </r>
  <r>
    <x v="2160"/>
    <x v="2"/>
    <s v="Sneakers"/>
    <n v="2"/>
    <m/>
    <n v="0"/>
    <n v="0.44"/>
    <n v="0"/>
    <x v="4"/>
    <s v="NaviMumbai"/>
    <s v="B2B"/>
    <n v="620.19000000000005"/>
  </r>
  <r>
    <x v="2161"/>
    <x v="1"/>
    <s v="Denim Jacket"/>
    <n v="2"/>
    <m/>
    <n v="0"/>
    <m/>
    <n v="0"/>
    <x v="339"/>
    <s v="Delhi"/>
    <s v="B2C"/>
    <n v="173.16"/>
  </r>
  <r>
    <x v="2162"/>
    <x v="0"/>
    <s v="Straight Cut"/>
    <n v="-2"/>
    <n v="3568.45"/>
    <n v="-7136.9"/>
    <n v="0.37"/>
    <n v="-4496.2469999999994"/>
    <x v="145"/>
    <s v="Delhi"/>
    <s v="B2C"/>
    <n v="1683.74"/>
  </r>
  <r>
    <x v="2163"/>
    <x v="0"/>
    <s v="Boyfriend Jeans"/>
    <n v="3"/>
    <m/>
    <n v="0"/>
    <m/>
    <n v="0"/>
    <x v="146"/>
    <s v="Ahmedabad"/>
    <s v="B2C"/>
    <n v="1236.54"/>
  </r>
  <r>
    <x v="2164"/>
    <x v="2"/>
    <s v="Sneakers"/>
    <n v="2"/>
    <n v="3611.35"/>
    <n v="7222.7"/>
    <m/>
    <n v="7222.7"/>
    <x v="390"/>
    <s v="Ahmedabad"/>
    <s v="B2C"/>
    <n v="-200.64"/>
  </r>
  <r>
    <x v="2165"/>
    <x v="1"/>
    <s v="Denim Jacket"/>
    <n v="2"/>
    <n v="958.16"/>
    <n v="1916.32"/>
    <m/>
    <n v="1916.32"/>
    <x v="501"/>
    <s v="Delhi"/>
    <s v="B2C"/>
    <n v="2567.6999999999998"/>
  </r>
  <r>
    <x v="2166"/>
    <x v="5"/>
    <s v="Wrap Dress"/>
    <n v="2"/>
    <n v="4897.24"/>
    <n v="9794.48"/>
    <m/>
    <n v="9794.48"/>
    <x v="43"/>
    <s v="Pune"/>
    <s v="B2B"/>
    <n v="2989.6"/>
  </r>
  <r>
    <x v="2167"/>
    <x v="3"/>
    <s v="Caps"/>
    <n v="5"/>
    <m/>
    <n v="0"/>
    <n v="1.1200000000000001"/>
    <n v="0"/>
    <x v="167"/>
    <s v="NaviMumbai"/>
    <s v="B2C"/>
    <n v="2348.85"/>
  </r>
  <r>
    <x v="2168"/>
    <x v="1"/>
    <s v="Puffer Coat"/>
    <n v="2"/>
    <m/>
    <n v="0"/>
    <m/>
    <n v="0"/>
    <x v="72"/>
    <s v="Pune"/>
    <s v="B2C"/>
    <n v="816.72"/>
  </r>
  <r>
    <x v="2169"/>
    <x v="0"/>
    <s v="Slim Fit Jeans"/>
    <n v="2"/>
    <m/>
    <n v="0"/>
    <m/>
    <n v="0"/>
    <x v="539"/>
    <s v="Mumbai"/>
    <s v="B2C"/>
    <n v="-756.14"/>
  </r>
  <r>
    <x v="2170"/>
    <x v="3"/>
    <s v="Caps"/>
    <n v="2"/>
    <m/>
    <n v="0"/>
    <m/>
    <n v="0"/>
    <x v="403"/>
    <s v="Mumbai"/>
    <s v="B2B"/>
    <n v="2779.48"/>
  </r>
  <r>
    <x v="2171"/>
    <x v="2"/>
    <s v="Sneakers"/>
    <n v="2"/>
    <n v="3494.89"/>
    <n v="6989.78"/>
    <m/>
    <n v="6989.78"/>
    <x v="203"/>
    <s v="NaviMumbai"/>
    <s v="B2C"/>
    <n v="1036.32"/>
  </r>
  <r>
    <x v="2172"/>
    <x v="2"/>
    <s v="Loafers"/>
    <n v="2"/>
    <n v="2520.44"/>
    <n v="5040.88"/>
    <n v="0.15"/>
    <n v="4284.7479999999996"/>
    <x v="32"/>
    <s v="Bangalore"/>
    <s v="B2C"/>
    <n v="2408.2800000000002"/>
  </r>
  <r>
    <x v="2173"/>
    <x v="1"/>
    <s v="Denim Jacket"/>
    <n v="-1"/>
    <n v="4883.5200000000004"/>
    <n v="-4883.5200000000004"/>
    <m/>
    <n v="-4883.5200000000004"/>
    <x v="4"/>
    <s v="Pune"/>
    <s v="B2C"/>
    <n v="1510.55"/>
  </r>
  <r>
    <x v="2174"/>
    <x v="3"/>
    <s v="Sunglasses"/>
    <n v="0"/>
    <n v="781.13"/>
    <n v="0"/>
    <m/>
    <n v="0"/>
    <x v="416"/>
    <s v="Mumbai"/>
    <s v="B2C"/>
    <n v="2822.85"/>
  </r>
  <r>
    <x v="2175"/>
    <x v="2"/>
    <s v="Sneakers"/>
    <n v="2"/>
    <m/>
    <n v="0"/>
    <m/>
    <n v="0"/>
    <x v="528"/>
    <s v="NaviMumbai"/>
    <s v="B2C"/>
    <n v="1723.22"/>
  </r>
  <r>
    <x v="2176"/>
    <x v="5"/>
    <s v="Bodycon"/>
    <n v="-1"/>
    <m/>
    <n v="0"/>
    <n v="0.54"/>
    <n v="0"/>
    <x v="376"/>
    <s v="Delhi"/>
    <s v="B2C"/>
    <n v="550.46"/>
  </r>
  <r>
    <x v="2177"/>
    <x v="0"/>
    <s v="Straight Cut"/>
    <n v="2"/>
    <m/>
    <n v="0"/>
    <m/>
    <n v="0"/>
    <x v="4"/>
    <s v="Ahmedabad"/>
    <s v="B2C"/>
    <n v="-547.29"/>
  </r>
  <r>
    <x v="2178"/>
    <x v="3"/>
    <s v="Watches"/>
    <n v="4"/>
    <n v="4280.7"/>
    <n v="17122.8"/>
    <m/>
    <n v="17122.8"/>
    <x v="420"/>
    <s v="Pune"/>
    <s v="B2B"/>
    <n v="68.36"/>
  </r>
  <r>
    <x v="2179"/>
    <x v="2"/>
    <s v="Boots"/>
    <n v="2"/>
    <n v="3221.55"/>
    <n v="6443.1"/>
    <m/>
    <n v="6443.1"/>
    <x v="473"/>
    <s v="Ahmedabad"/>
    <s v="B2B"/>
    <n v="1996.4"/>
  </r>
  <r>
    <x v="2180"/>
    <x v="0"/>
    <s v="Ripped Denim"/>
    <n v="0"/>
    <m/>
    <n v="0"/>
    <m/>
    <n v="0"/>
    <x v="172"/>
    <s v="Mumbai"/>
    <s v="B2B"/>
    <n v="1580.66"/>
  </r>
  <r>
    <x v="2181"/>
    <x v="4"/>
    <s v="Crop Top"/>
    <n v="2"/>
    <n v="1624.28"/>
    <n v="3248.56"/>
    <n v="1.29"/>
    <n v="-942.08240000000012"/>
    <x v="338"/>
    <s v="Bangalore"/>
    <s v="B2B"/>
    <n v="1863.17"/>
  </r>
  <r>
    <x v="1882"/>
    <x v="1"/>
    <s v="Puffer Coat"/>
    <n v="2"/>
    <n v="4606.8500000000004"/>
    <n v="9213.7000000000007"/>
    <n v="0.28000000000000003"/>
    <n v="6633.8640000000005"/>
    <x v="274"/>
    <s v="Ahmedabad"/>
    <s v="B2C"/>
    <n v="188.97"/>
  </r>
  <r>
    <x v="2182"/>
    <x v="1"/>
    <s v="Bomber Jacket"/>
    <n v="6"/>
    <n v="1213.25"/>
    <n v="7279.5"/>
    <n v="1.1100000000000001"/>
    <n v="-800.74500000000069"/>
    <x v="159"/>
    <s v="Ahmedabad"/>
    <s v="B2C"/>
    <n v="-82.79"/>
  </r>
  <r>
    <x v="1067"/>
    <x v="0"/>
    <s v="Ripped Denim"/>
    <n v="2"/>
    <m/>
    <n v="0"/>
    <m/>
    <n v="0"/>
    <x v="266"/>
    <s v="Mumbai"/>
    <s v="B2C"/>
    <n v="1084.99"/>
  </r>
  <r>
    <x v="2183"/>
    <x v="0"/>
    <s v="Ripped Denim"/>
    <n v="1"/>
    <n v="552.80999999999995"/>
    <n v="552.80999999999995"/>
    <n v="0.56999999999999995"/>
    <n v="237.70830000000001"/>
    <x v="4"/>
    <s v="Delhi"/>
    <s v="B2C"/>
    <n v="206.75"/>
  </r>
  <r>
    <x v="2184"/>
    <x v="2"/>
    <s v="Sneakers"/>
    <n v="0"/>
    <m/>
    <n v="0"/>
    <n v="7.0000000000000007E-2"/>
    <n v="0"/>
    <x v="226"/>
    <s v="Pune"/>
    <s v="B2C"/>
    <n v="1989.05"/>
  </r>
  <r>
    <x v="2185"/>
    <x v="5"/>
    <s v="Wrap Dress"/>
    <n v="2"/>
    <n v="1039.75"/>
    <n v="2079.5"/>
    <m/>
    <n v="2079.5"/>
    <x v="145"/>
    <s v="Pune"/>
    <s v="B2C"/>
    <n v="902.04"/>
  </r>
  <r>
    <x v="2186"/>
    <x v="4"/>
    <s v="Crop Top"/>
    <n v="0"/>
    <m/>
    <n v="0"/>
    <n v="0.16"/>
    <n v="0"/>
    <x v="320"/>
    <s v="Pune"/>
    <s v="B2B"/>
    <n v="946.6"/>
  </r>
  <r>
    <x v="2187"/>
    <x v="2"/>
    <s v="Boots"/>
    <n v="5"/>
    <m/>
    <n v="0"/>
    <m/>
    <n v="0"/>
    <x v="540"/>
    <s v="Bangalore"/>
    <s v="B2C"/>
    <n v="908.45"/>
  </r>
  <r>
    <x v="1539"/>
    <x v="0"/>
    <s v="Ripped Denim"/>
    <n v="2"/>
    <n v="732.96"/>
    <n v="1465.92"/>
    <n v="0.21"/>
    <n v="1158.0768"/>
    <x v="4"/>
    <s v="NaviMumbai"/>
    <s v="B2B"/>
    <n v="-702.58"/>
  </r>
  <r>
    <x v="2188"/>
    <x v="3"/>
    <s v="Belts"/>
    <n v="-2"/>
    <m/>
    <n v="0"/>
    <m/>
    <n v="0"/>
    <x v="97"/>
    <s v="Pune"/>
    <s v="B2C"/>
    <n v="2141.34"/>
  </r>
  <r>
    <x v="2189"/>
    <x v="5"/>
    <s v="Bodycon"/>
    <n v="-2"/>
    <m/>
    <n v="0"/>
    <m/>
    <n v="0"/>
    <x v="241"/>
    <s v="Pune"/>
    <s v="B2B"/>
    <n v="-545.96"/>
  </r>
  <r>
    <x v="2190"/>
    <x v="4"/>
    <s v="Graphic Tee"/>
    <n v="2"/>
    <m/>
    <n v="0"/>
    <m/>
    <n v="0"/>
    <x v="137"/>
    <s v="Mumbai"/>
    <s v="B2C"/>
    <n v="1477.87"/>
  </r>
  <r>
    <x v="2191"/>
    <x v="0"/>
    <s v="Slim Fit Jeans"/>
    <n v="6"/>
    <n v="878.95"/>
    <n v="5273.7000000000007"/>
    <n v="0.01"/>
    <n v="5220.9630000000006"/>
    <x v="187"/>
    <s v="Mumbai"/>
    <s v="B2C"/>
    <n v="2099.52"/>
  </r>
  <r>
    <x v="2192"/>
    <x v="5"/>
    <s v="Casual Midi"/>
    <n v="6"/>
    <m/>
    <n v="0"/>
    <m/>
    <n v="0"/>
    <x v="4"/>
    <s v="Pune"/>
    <s v="B2C"/>
    <n v="2666.58"/>
  </r>
  <r>
    <x v="2193"/>
    <x v="5"/>
    <s v="Wrap Dress"/>
    <n v="2"/>
    <m/>
    <n v="0"/>
    <m/>
    <n v="0"/>
    <x v="541"/>
    <s v="Bangalore"/>
    <s v="B2C"/>
    <n v="2715.65"/>
  </r>
  <r>
    <x v="2194"/>
    <x v="3"/>
    <s v="Belts"/>
    <n v="2"/>
    <m/>
    <n v="0"/>
    <m/>
    <n v="0"/>
    <x v="362"/>
    <s v="Mumbai"/>
    <s v="B2C"/>
    <n v="2498.2199999999998"/>
  </r>
  <r>
    <x v="2195"/>
    <x v="4"/>
    <s v="Graphic Tee"/>
    <n v="2"/>
    <n v="2125.02"/>
    <n v="4250.04"/>
    <m/>
    <n v="4250.04"/>
    <x v="134"/>
    <s v="NaviMumbai"/>
    <s v="B2C"/>
    <n v="1154.25"/>
  </r>
  <r>
    <x v="2196"/>
    <x v="3"/>
    <s v="Caps"/>
    <n v="-1"/>
    <m/>
    <n v="0"/>
    <m/>
    <n v="0"/>
    <x v="4"/>
    <s v="Delhi"/>
    <s v="B2C"/>
    <n v="1178.45"/>
  </r>
  <r>
    <x v="2197"/>
    <x v="1"/>
    <s v="Puffer Coat"/>
    <n v="3"/>
    <n v="4694.3100000000004"/>
    <n v="14082.93"/>
    <n v="0.09"/>
    <n v="12815.4663"/>
    <x v="4"/>
    <s v="Bangalore"/>
    <s v="B2B"/>
    <n v="-215.18"/>
  </r>
  <r>
    <x v="2198"/>
    <x v="2"/>
    <s v="Loafers"/>
    <n v="2"/>
    <m/>
    <n v="0"/>
    <m/>
    <n v="0"/>
    <x v="542"/>
    <s v="Pune"/>
    <s v="B2B"/>
    <n v="2837.72"/>
  </r>
  <r>
    <x v="2199"/>
    <x v="1"/>
    <s v="Puffer Coat"/>
    <n v="-2"/>
    <m/>
    <n v="0"/>
    <n v="0.3"/>
    <n v="0"/>
    <x v="185"/>
    <s v="Bangalore"/>
    <s v="B2C"/>
    <n v="1045.42"/>
  </r>
  <r>
    <x v="2200"/>
    <x v="4"/>
    <s v="Crop Top"/>
    <n v="2"/>
    <n v="2654.66"/>
    <n v="5309.32"/>
    <m/>
    <n v="5309.32"/>
    <x v="262"/>
    <s v="Bangalore"/>
    <s v="B2B"/>
    <n v="2008.66"/>
  </r>
  <r>
    <x v="2201"/>
    <x v="0"/>
    <s v="Ripped Denim"/>
    <n v="2"/>
    <n v="2068.3000000000002"/>
    <n v="4136.6000000000004"/>
    <m/>
    <n v="4136.6000000000004"/>
    <x v="372"/>
    <s v="NaviMumbai"/>
    <s v="B2C"/>
    <n v="-896.79"/>
  </r>
  <r>
    <x v="2202"/>
    <x v="2"/>
    <s v="Loafers"/>
    <n v="2"/>
    <n v="3466.1"/>
    <n v="6932.2"/>
    <m/>
    <n v="6932.2"/>
    <x v="8"/>
    <s v="Bangalore"/>
    <s v="B2C"/>
    <n v="1011.48"/>
  </r>
  <r>
    <x v="2203"/>
    <x v="1"/>
    <s v="Leather Jacket"/>
    <n v="2"/>
    <n v="3253.51"/>
    <n v="6507.02"/>
    <n v="0.55000000000000004"/>
    <n v="2928.1590000000001"/>
    <x v="332"/>
    <s v="Pune"/>
    <s v="B2C"/>
    <n v="713.71"/>
  </r>
  <r>
    <x v="2204"/>
    <x v="1"/>
    <s v="Puffer Coat"/>
    <n v="3"/>
    <m/>
    <n v="0"/>
    <m/>
    <n v="0"/>
    <x v="336"/>
    <s v="Ahmedabad"/>
    <s v="B2C"/>
    <n v="1866.05"/>
  </r>
  <r>
    <x v="2205"/>
    <x v="4"/>
    <s v="Classic Tee"/>
    <n v="2"/>
    <m/>
    <n v="0"/>
    <n v="0.87"/>
    <n v="0"/>
    <x v="273"/>
    <s v="Delhi"/>
    <s v="B2C"/>
    <n v="744.17"/>
  </r>
  <r>
    <x v="2206"/>
    <x v="0"/>
    <s v="Straight Cut"/>
    <n v="1"/>
    <n v="4585.71"/>
    <n v="4585.71"/>
    <m/>
    <n v="4585.71"/>
    <x v="270"/>
    <s v="Ahmedabad"/>
    <s v="B2B"/>
    <n v="1277.56"/>
  </r>
  <r>
    <x v="2207"/>
    <x v="5"/>
    <s v="Casual Midi"/>
    <n v="2"/>
    <m/>
    <n v="0"/>
    <m/>
    <n v="0"/>
    <x v="100"/>
    <s v="Bangalore"/>
    <s v="B2B"/>
    <n v="940.05"/>
  </r>
  <r>
    <x v="2208"/>
    <x v="4"/>
    <s v="Crop Top"/>
    <n v="0"/>
    <n v="3186.11"/>
    <n v="0"/>
    <n v="0.74"/>
    <n v="0"/>
    <x v="543"/>
    <s v="Ahmedabad"/>
    <s v="B2C"/>
    <n v="2939.87"/>
  </r>
  <r>
    <x v="2209"/>
    <x v="2"/>
    <s v="Loafers"/>
    <n v="2"/>
    <m/>
    <n v="0"/>
    <n v="0.16"/>
    <n v="0"/>
    <x v="391"/>
    <s v="Mumbai"/>
    <s v="B2B"/>
    <n v="2996.49"/>
  </r>
  <r>
    <x v="2210"/>
    <x v="5"/>
    <s v="Bodycon"/>
    <n v="4"/>
    <m/>
    <n v="0"/>
    <n v="0.87"/>
    <n v="0"/>
    <x v="4"/>
    <s v="Delhi"/>
    <s v="B2B"/>
    <n v="1345.46"/>
  </r>
  <r>
    <x v="2211"/>
    <x v="3"/>
    <s v="Watches"/>
    <n v="-2"/>
    <m/>
    <n v="0"/>
    <n v="0.47"/>
    <n v="0"/>
    <x v="311"/>
    <s v="Ahmedabad"/>
    <s v="B2B"/>
    <n v="2205.34"/>
  </r>
  <r>
    <x v="2212"/>
    <x v="2"/>
    <s v="Sneakers"/>
    <n v="2"/>
    <m/>
    <n v="0"/>
    <m/>
    <n v="0"/>
    <x v="289"/>
    <s v="NaviMumbai"/>
    <s v="B2B"/>
    <n v="1403.98"/>
  </r>
  <r>
    <x v="2213"/>
    <x v="0"/>
    <s v="Boyfriend Jeans"/>
    <n v="2"/>
    <n v="4842.74"/>
    <n v="9685.48"/>
    <m/>
    <n v="9685.48"/>
    <x v="4"/>
    <s v="Pune"/>
    <s v="B2C"/>
    <n v="2628.24"/>
  </r>
  <r>
    <x v="2214"/>
    <x v="5"/>
    <s v="Casual Midi"/>
    <n v="2"/>
    <m/>
    <n v="0"/>
    <m/>
    <n v="0"/>
    <x v="396"/>
    <s v="Delhi"/>
    <s v="B2B"/>
    <n v="2182.4899999999998"/>
  </r>
  <r>
    <x v="2215"/>
    <x v="5"/>
    <s v="Casual Midi"/>
    <n v="2"/>
    <n v="2061.91"/>
    <n v="4123.82"/>
    <m/>
    <n v="4123.82"/>
    <x v="441"/>
    <s v="Ahmedabad"/>
    <s v="B2C"/>
    <n v="-729.1"/>
  </r>
  <r>
    <x v="2216"/>
    <x v="4"/>
    <s v="Crop Top"/>
    <n v="2"/>
    <m/>
    <n v="0"/>
    <m/>
    <n v="0"/>
    <x v="4"/>
    <s v="Delhi"/>
    <s v="B2C"/>
    <n v="1787.82"/>
  </r>
  <r>
    <x v="2217"/>
    <x v="4"/>
    <s v="Crop Top"/>
    <n v="2"/>
    <m/>
    <n v="0"/>
    <m/>
    <n v="0"/>
    <x v="4"/>
    <s v="Bangalore"/>
    <s v="B2C"/>
    <n v="2200.6"/>
  </r>
  <r>
    <x v="2218"/>
    <x v="5"/>
    <s v="Maxi Dress"/>
    <n v="2"/>
    <m/>
    <n v="0"/>
    <m/>
    <n v="0"/>
    <x v="48"/>
    <s v="Delhi"/>
    <s v="B2C"/>
    <n v="2977.81"/>
  </r>
  <r>
    <x v="2219"/>
    <x v="2"/>
    <s v="Slip-ons"/>
    <n v="2"/>
    <m/>
    <n v="0"/>
    <m/>
    <n v="0"/>
    <x v="39"/>
    <s v="Ahmedabad"/>
    <s v="B2B"/>
    <n v="-544.70000000000005"/>
  </r>
  <r>
    <x v="2220"/>
    <x v="1"/>
    <s v="Bomber Jacket"/>
    <n v="5"/>
    <n v="4429.95"/>
    <n v="22149.75"/>
    <n v="0.35"/>
    <n v="14397.3375"/>
    <x v="356"/>
    <s v="NaviMumbai"/>
    <s v="B2C"/>
    <n v="-746.94"/>
  </r>
  <r>
    <x v="2221"/>
    <x v="1"/>
    <s v="Bomber Jacket"/>
    <n v="-2"/>
    <m/>
    <n v="0"/>
    <n v="1.02"/>
    <n v="0"/>
    <x v="437"/>
    <s v="Pune"/>
    <s v="B2C"/>
    <n v="2285.19"/>
  </r>
  <r>
    <x v="2222"/>
    <x v="3"/>
    <s v="Watches"/>
    <n v="6"/>
    <n v="3904.86"/>
    <n v="23429.16"/>
    <m/>
    <n v="23429.16"/>
    <x v="130"/>
    <s v="Mumbai"/>
    <s v="B2C"/>
    <n v="1504.25"/>
  </r>
  <r>
    <x v="2223"/>
    <x v="4"/>
    <s v="Crop Top"/>
    <n v="2"/>
    <m/>
    <n v="0"/>
    <m/>
    <n v="0"/>
    <x v="243"/>
    <s v="Mumbai"/>
    <s v="B2B"/>
    <n v="298.94"/>
  </r>
  <r>
    <x v="373"/>
    <x v="4"/>
    <s v="Graphic Tee"/>
    <n v="-2"/>
    <m/>
    <n v="0"/>
    <m/>
    <n v="0"/>
    <x v="267"/>
    <s v="NaviMumbai"/>
    <s v="B2B"/>
    <n v="-271.48"/>
  </r>
  <r>
    <x v="2224"/>
    <x v="2"/>
    <s v="Loafers"/>
    <n v="2"/>
    <m/>
    <n v="0"/>
    <m/>
    <n v="0"/>
    <x v="357"/>
    <s v="Ahmedabad"/>
    <s v="B2B"/>
    <n v="682.17"/>
  </r>
  <r>
    <x v="2225"/>
    <x v="2"/>
    <s v="Boots"/>
    <n v="2"/>
    <m/>
    <n v="0"/>
    <m/>
    <n v="0"/>
    <x v="533"/>
    <s v="Mumbai"/>
    <s v="B2B"/>
    <n v="2448.2199999999998"/>
  </r>
  <r>
    <x v="2226"/>
    <x v="3"/>
    <s v="Watches"/>
    <n v="-2"/>
    <n v="940.64"/>
    <n v="-1881.28"/>
    <n v="0.67"/>
    <n v="-620.8223999999999"/>
    <x v="123"/>
    <s v="Mumbai"/>
    <s v="B2C"/>
    <n v="1552.9"/>
  </r>
  <r>
    <x v="2227"/>
    <x v="1"/>
    <s v="Denim Jacket"/>
    <n v="-1"/>
    <m/>
    <n v="0"/>
    <m/>
    <n v="0"/>
    <x v="206"/>
    <s v="Pune"/>
    <s v="B2C"/>
    <n v="-602.39"/>
  </r>
  <r>
    <x v="2228"/>
    <x v="3"/>
    <s v="Caps"/>
    <n v="2"/>
    <n v="3727.53"/>
    <n v="7455.06"/>
    <m/>
    <n v="7455.06"/>
    <x v="4"/>
    <s v="Ahmedabad"/>
    <s v="B2C"/>
    <n v="29.62"/>
  </r>
  <r>
    <x v="2229"/>
    <x v="2"/>
    <s v="Sneakers"/>
    <n v="6"/>
    <n v="3121.49"/>
    <n v="18728.939999999999"/>
    <m/>
    <n v="18728.939999999999"/>
    <x v="208"/>
    <s v="Bangalore"/>
    <s v="B2B"/>
    <n v="1156.27"/>
  </r>
  <r>
    <x v="2230"/>
    <x v="5"/>
    <s v="Wrap Dress"/>
    <n v="2"/>
    <n v="944.36"/>
    <n v="1888.72"/>
    <n v="7.0000000000000007E-2"/>
    <n v="1756.5095999999999"/>
    <x v="280"/>
    <s v="NaviMumbai"/>
    <s v="B2C"/>
    <n v="1133.74"/>
  </r>
  <r>
    <x v="2231"/>
    <x v="1"/>
    <s v="Leather Jacket"/>
    <n v="-1"/>
    <n v="1882.93"/>
    <n v="-1882.93"/>
    <m/>
    <n v="-1882.93"/>
    <x v="84"/>
    <s v="Bangalore"/>
    <s v="B2B"/>
    <n v="520.85"/>
  </r>
  <r>
    <x v="2232"/>
    <x v="4"/>
    <s v="Classic Tee"/>
    <n v="2"/>
    <n v="3349.58"/>
    <n v="6699.16"/>
    <m/>
    <n v="6699.16"/>
    <x v="4"/>
    <s v="Mumbai"/>
    <s v="B2B"/>
    <n v="1085.2"/>
  </r>
  <r>
    <x v="2233"/>
    <x v="5"/>
    <s v="Maxi Dress"/>
    <n v="1"/>
    <n v="3965.8"/>
    <n v="3965.8"/>
    <n v="0.48"/>
    <n v="2062.2160000000003"/>
    <x v="13"/>
    <s v="Bangalore"/>
    <s v="B2B"/>
    <n v="1222.8499999999999"/>
  </r>
  <r>
    <x v="2234"/>
    <x v="3"/>
    <s v="Sunglasses"/>
    <n v="-2"/>
    <m/>
    <n v="0"/>
    <m/>
    <n v="0"/>
    <x v="544"/>
    <s v="Pune"/>
    <s v="B2C"/>
    <n v="454.74"/>
  </r>
  <r>
    <x v="2235"/>
    <x v="4"/>
    <s v="Crop Top"/>
    <n v="2"/>
    <n v="2998.25"/>
    <n v="5996.5"/>
    <n v="1.19"/>
    <n v="-1139.3349999999996"/>
    <x v="303"/>
    <s v="Ahmedabad"/>
    <s v="B2C"/>
    <n v="-781.65"/>
  </r>
  <r>
    <x v="2236"/>
    <x v="4"/>
    <s v="Oversized T-shirt"/>
    <n v="3"/>
    <n v="3190.74"/>
    <n v="9572.2199999999993"/>
    <n v="0.96"/>
    <n v="382.88880000000029"/>
    <x v="4"/>
    <s v="Ahmedabad"/>
    <s v="B2C"/>
    <n v="2195.96"/>
  </r>
  <r>
    <x v="2237"/>
    <x v="3"/>
    <s v="Watches"/>
    <n v="0"/>
    <n v="2672.26"/>
    <n v="0"/>
    <n v="0.28999999999999998"/>
    <n v="0"/>
    <x v="301"/>
    <s v="Ahmedabad"/>
    <s v="B2C"/>
    <n v="722.57"/>
  </r>
  <r>
    <x v="1580"/>
    <x v="2"/>
    <s v="Boots"/>
    <n v="3"/>
    <n v="4236.45"/>
    <n v="12709.349999999999"/>
    <m/>
    <n v="12709.349999999999"/>
    <x v="117"/>
    <s v="Mumbai"/>
    <s v="B2C"/>
    <n v="-849.83"/>
  </r>
  <r>
    <x v="1248"/>
    <x v="2"/>
    <s v="Boots"/>
    <n v="2"/>
    <n v="4089.68"/>
    <n v="8179.36"/>
    <m/>
    <n v="8179.36"/>
    <x v="298"/>
    <s v="Bangalore"/>
    <s v="B2B"/>
    <n v="-713.14"/>
  </r>
  <r>
    <x v="2238"/>
    <x v="5"/>
    <s v="Casual Midi"/>
    <n v="-2"/>
    <n v="4409.22"/>
    <n v="-8818.44"/>
    <m/>
    <n v="-8818.44"/>
    <x v="545"/>
    <s v="Delhi"/>
    <s v="B2C"/>
    <n v="2886.62"/>
  </r>
  <r>
    <x v="2239"/>
    <x v="3"/>
    <s v="Watches"/>
    <n v="6"/>
    <m/>
    <n v="0"/>
    <m/>
    <n v="0"/>
    <x v="320"/>
    <s v="Ahmedabad"/>
    <s v="B2C"/>
    <n v="-733.06"/>
  </r>
  <r>
    <x v="2240"/>
    <x v="4"/>
    <s v="Oversized T-shirt"/>
    <n v="6"/>
    <m/>
    <n v="0"/>
    <m/>
    <n v="0"/>
    <x v="52"/>
    <s v="Pune"/>
    <s v="B2C"/>
    <n v="-659.65"/>
  </r>
  <r>
    <x v="2241"/>
    <x v="1"/>
    <s v="Denim Jacket"/>
    <n v="2"/>
    <n v="3583.06"/>
    <n v="7166.12"/>
    <m/>
    <n v="7166.12"/>
    <x v="4"/>
    <s v="Ahmedabad"/>
    <s v="B2C"/>
    <n v="2185.25"/>
  </r>
  <r>
    <x v="2242"/>
    <x v="3"/>
    <s v="Belts"/>
    <n v="2"/>
    <n v="3767.69"/>
    <n v="7535.38"/>
    <n v="0.46"/>
    <n v="4069.1052000000004"/>
    <x v="10"/>
    <s v="Bangalore"/>
    <s v="B2C"/>
    <n v="746.84"/>
  </r>
  <r>
    <x v="2243"/>
    <x v="3"/>
    <s v="Watches"/>
    <n v="0"/>
    <n v="4643.96"/>
    <n v="0"/>
    <n v="0.82"/>
    <n v="0"/>
    <x v="429"/>
    <s v="Bangalore"/>
    <s v="B2C"/>
    <n v="2569.86"/>
  </r>
  <r>
    <x v="2244"/>
    <x v="5"/>
    <s v="Wrap Dress"/>
    <n v="2"/>
    <m/>
    <n v="0"/>
    <m/>
    <n v="0"/>
    <x v="546"/>
    <s v="NaviMumbai"/>
    <s v="B2C"/>
    <n v="601.65"/>
  </r>
  <r>
    <x v="2245"/>
    <x v="1"/>
    <s v="Bomber Jacket"/>
    <n v="2"/>
    <m/>
    <n v="0"/>
    <n v="0.23"/>
    <n v="0"/>
    <x v="547"/>
    <s v="Bangalore"/>
    <s v="B2C"/>
    <n v="1469.72"/>
  </r>
  <r>
    <x v="2246"/>
    <x v="0"/>
    <s v="Ripped Denim"/>
    <n v="2"/>
    <n v="4405.96"/>
    <n v="8811.92"/>
    <n v="0.28000000000000003"/>
    <n v="6344.5824000000002"/>
    <x v="526"/>
    <s v="Bangalore"/>
    <s v="B2B"/>
    <n v="503.27"/>
  </r>
  <r>
    <x v="2247"/>
    <x v="5"/>
    <s v="Casual Midi"/>
    <n v="3"/>
    <m/>
    <n v="0"/>
    <m/>
    <n v="0"/>
    <x v="4"/>
    <s v="Mumbai"/>
    <s v="B2C"/>
    <n v="1653.09"/>
  </r>
  <r>
    <x v="2248"/>
    <x v="3"/>
    <s v="Sunglasses"/>
    <n v="2"/>
    <m/>
    <n v="0"/>
    <m/>
    <n v="0"/>
    <x v="14"/>
    <s v="Delhi"/>
    <s v="B2C"/>
    <n v="1560.64"/>
  </r>
  <r>
    <x v="2249"/>
    <x v="4"/>
    <s v="Graphic Tee"/>
    <n v="0"/>
    <n v="4347.43"/>
    <n v="0"/>
    <m/>
    <n v="0"/>
    <x v="358"/>
    <s v="Delhi"/>
    <s v="B2C"/>
    <n v="1440.27"/>
  </r>
  <r>
    <x v="2250"/>
    <x v="1"/>
    <s v="Denim Jacket"/>
    <n v="-2"/>
    <m/>
    <n v="0"/>
    <m/>
    <n v="0"/>
    <x v="44"/>
    <s v="NaviMumbai"/>
    <s v="B2C"/>
    <n v="2616.2800000000002"/>
  </r>
  <r>
    <x v="165"/>
    <x v="1"/>
    <s v="Leather Jacket"/>
    <n v="2"/>
    <m/>
    <n v="0"/>
    <n v="0.21"/>
    <n v="0"/>
    <x v="548"/>
    <s v="Bangalore"/>
    <s v="B2C"/>
    <n v="1684.69"/>
  </r>
  <r>
    <x v="2251"/>
    <x v="1"/>
    <s v="Bomber Jacket"/>
    <n v="5"/>
    <m/>
    <n v="0"/>
    <m/>
    <n v="0"/>
    <x v="4"/>
    <s v="Bangalore"/>
    <s v="B2C"/>
    <n v="1657.65"/>
  </r>
  <r>
    <x v="2252"/>
    <x v="3"/>
    <s v="Sunglasses"/>
    <n v="2"/>
    <m/>
    <n v="0"/>
    <n v="1.08"/>
    <n v="0"/>
    <x v="4"/>
    <s v="Ahmedabad"/>
    <s v="B2B"/>
    <n v="-272.83999999999997"/>
  </r>
  <r>
    <x v="1238"/>
    <x v="1"/>
    <s v="Puffer Coat"/>
    <n v="2"/>
    <m/>
    <n v="0"/>
    <m/>
    <n v="0"/>
    <x v="228"/>
    <s v="Pune"/>
    <s v="B2B"/>
    <n v="1001.31"/>
  </r>
  <r>
    <x v="2253"/>
    <x v="3"/>
    <s v="Belts"/>
    <n v="3"/>
    <m/>
    <n v="0"/>
    <n v="0.27"/>
    <n v="0"/>
    <x v="409"/>
    <s v="Delhi"/>
    <s v="B2C"/>
    <n v="1907.94"/>
  </r>
  <r>
    <x v="2254"/>
    <x v="4"/>
    <s v="Oversized T-shirt"/>
    <n v="2"/>
    <m/>
    <n v="0"/>
    <n v="0.5"/>
    <n v="0"/>
    <x v="115"/>
    <s v="NaviMumbai"/>
    <s v="B2B"/>
    <n v="-774.38"/>
  </r>
  <r>
    <x v="2255"/>
    <x v="4"/>
    <s v="Graphic Tee"/>
    <n v="4"/>
    <m/>
    <n v="0"/>
    <n v="0.98"/>
    <n v="0"/>
    <x v="69"/>
    <s v="Pune"/>
    <s v="B2C"/>
    <n v="1009.78"/>
  </r>
  <r>
    <x v="2256"/>
    <x v="4"/>
    <s v="Oversized T-shirt"/>
    <n v="4"/>
    <n v="1316.9"/>
    <n v="5267.6"/>
    <n v="0.11"/>
    <n v="4688.1640000000007"/>
    <x v="428"/>
    <s v="Delhi"/>
    <s v="B2C"/>
    <n v="2743.65"/>
  </r>
  <r>
    <x v="2257"/>
    <x v="4"/>
    <s v="Crop Top"/>
    <n v="2"/>
    <m/>
    <n v="0"/>
    <m/>
    <n v="0"/>
    <x v="4"/>
    <s v="NaviMumbai"/>
    <s v="B2C"/>
    <n v="-623.54999999999995"/>
  </r>
  <r>
    <x v="2258"/>
    <x v="4"/>
    <s v="Crop Top"/>
    <n v="5"/>
    <m/>
    <n v="0"/>
    <n v="0.39"/>
    <n v="0"/>
    <x v="4"/>
    <s v="Ahmedabad"/>
    <s v="B2B"/>
    <n v="-63"/>
  </r>
  <r>
    <x v="2259"/>
    <x v="2"/>
    <s v="Slip-ons"/>
    <n v="2"/>
    <m/>
    <n v="0"/>
    <m/>
    <n v="0"/>
    <x v="208"/>
    <s v="Delhi"/>
    <s v="B2C"/>
    <n v="1746.36"/>
  </r>
  <r>
    <x v="2260"/>
    <x v="3"/>
    <s v="Belts"/>
    <n v="1"/>
    <n v="2124.13"/>
    <n v="2124.13"/>
    <n v="0.85"/>
    <n v="318.61950000000007"/>
    <x v="222"/>
    <s v="NaviMumbai"/>
    <s v="B2C"/>
    <n v="1126.81"/>
  </r>
  <r>
    <x v="2261"/>
    <x v="1"/>
    <s v="Leather Jacket"/>
    <n v="-1"/>
    <n v="4090.34"/>
    <n v="-4090.34"/>
    <n v="0.99"/>
    <n v="-40.90340000000004"/>
    <x v="326"/>
    <s v="Mumbai"/>
    <s v="B2B"/>
    <n v="1676.64"/>
  </r>
  <r>
    <x v="2262"/>
    <x v="3"/>
    <s v="Sunglasses"/>
    <n v="5"/>
    <m/>
    <n v="0"/>
    <n v="1.06"/>
    <n v="0"/>
    <x v="4"/>
    <s v="Bangalore"/>
    <s v="B2C"/>
    <n v="525.1"/>
  </r>
  <r>
    <x v="2263"/>
    <x v="4"/>
    <s v="Graphic Tee"/>
    <n v="5"/>
    <n v="2590.44"/>
    <n v="12952.2"/>
    <m/>
    <n v="12952.2"/>
    <x v="327"/>
    <s v="NaviMumbai"/>
    <s v="B2C"/>
    <n v="-613.96"/>
  </r>
  <r>
    <x v="2264"/>
    <x v="0"/>
    <s v="Straight Cut"/>
    <n v="3"/>
    <m/>
    <n v="0"/>
    <m/>
    <n v="0"/>
    <x v="8"/>
    <s v="Delhi"/>
    <s v="B2B"/>
    <n v="2938.26"/>
  </r>
  <r>
    <x v="2265"/>
    <x v="2"/>
    <s v="Slip-ons"/>
    <n v="2"/>
    <m/>
    <n v="0"/>
    <m/>
    <n v="0"/>
    <x v="463"/>
    <s v="NaviMumbai"/>
    <s v="B2C"/>
    <n v="295.89"/>
  </r>
  <r>
    <x v="2266"/>
    <x v="3"/>
    <s v="Watches"/>
    <n v="2"/>
    <n v="4452.04"/>
    <n v="8904.08"/>
    <m/>
    <n v="8904.08"/>
    <x v="115"/>
    <s v="Bangalore"/>
    <s v="B2C"/>
    <n v="2932.37"/>
  </r>
  <r>
    <x v="2267"/>
    <x v="0"/>
    <s v="Boyfriend Jeans"/>
    <n v="2"/>
    <m/>
    <n v="0"/>
    <m/>
    <n v="0"/>
    <x v="372"/>
    <s v="Mumbai"/>
    <s v="B2C"/>
    <n v="1362.42"/>
  </r>
  <r>
    <x v="2268"/>
    <x v="4"/>
    <s v="Oversized T-shirt"/>
    <n v="2"/>
    <n v="4536.09"/>
    <n v="9072.18"/>
    <m/>
    <n v="9072.18"/>
    <x v="4"/>
    <s v="NaviMumbai"/>
    <s v="B2C"/>
    <n v="1015.71"/>
  </r>
  <r>
    <x v="2269"/>
    <x v="3"/>
    <s v="Sunglasses"/>
    <n v="2"/>
    <n v="3896.07"/>
    <n v="7792.14"/>
    <m/>
    <n v="7792.14"/>
    <x v="292"/>
    <s v="Pune"/>
    <s v="B2C"/>
    <n v="409.14"/>
  </r>
  <r>
    <x v="2270"/>
    <x v="1"/>
    <s v="Denim Jacket"/>
    <n v="2"/>
    <m/>
    <n v="0"/>
    <m/>
    <n v="0"/>
    <x v="352"/>
    <s v="Ahmedabad"/>
    <s v="B2C"/>
    <n v="1711.84"/>
  </r>
  <r>
    <x v="2271"/>
    <x v="5"/>
    <s v="Casual Midi"/>
    <n v="-2"/>
    <n v="3944.46"/>
    <n v="-7888.92"/>
    <m/>
    <n v="-7888.92"/>
    <x v="549"/>
    <s v="Ahmedabad"/>
    <s v="B2C"/>
    <n v="1392.37"/>
  </r>
  <r>
    <x v="2272"/>
    <x v="5"/>
    <s v="Wrap Dress"/>
    <n v="2"/>
    <m/>
    <n v="0"/>
    <m/>
    <n v="0"/>
    <x v="550"/>
    <s v="Pune"/>
    <s v="B2C"/>
    <n v="463.6"/>
  </r>
  <r>
    <x v="2273"/>
    <x v="5"/>
    <s v="Maxi Dress"/>
    <n v="-1"/>
    <n v="3108.69"/>
    <n v="-3108.69"/>
    <m/>
    <n v="-3108.69"/>
    <x v="24"/>
    <s v="Delhi"/>
    <s v="B2C"/>
    <n v="2986.53"/>
  </r>
  <r>
    <x v="2274"/>
    <x v="4"/>
    <s v="Classic Tee"/>
    <n v="2"/>
    <n v="4878.8100000000004"/>
    <n v="9757.6200000000008"/>
    <m/>
    <n v="9757.6200000000008"/>
    <x v="498"/>
    <s v="Bangalore"/>
    <s v="B2C"/>
    <n v="327.38"/>
  </r>
  <r>
    <x v="2275"/>
    <x v="5"/>
    <s v="Bodycon"/>
    <n v="5"/>
    <m/>
    <n v="0"/>
    <n v="1.03"/>
    <n v="0"/>
    <x v="111"/>
    <s v="Bangalore"/>
    <s v="B2C"/>
    <n v="2022.75"/>
  </r>
  <r>
    <x v="2276"/>
    <x v="1"/>
    <s v="Denim Jacket"/>
    <n v="2"/>
    <n v="2537.59"/>
    <n v="5075.18"/>
    <m/>
    <n v="5075.18"/>
    <x v="190"/>
    <s v="Pune"/>
    <s v="B2B"/>
    <n v="2708.81"/>
  </r>
  <r>
    <x v="2277"/>
    <x v="5"/>
    <s v="Bodycon"/>
    <n v="4"/>
    <m/>
    <n v="0"/>
    <m/>
    <n v="0"/>
    <x v="4"/>
    <s v="NaviMumbai"/>
    <s v="B2C"/>
    <n v="2293.04"/>
  </r>
  <r>
    <x v="2278"/>
    <x v="0"/>
    <s v="Slim Fit Jeans"/>
    <n v="2"/>
    <m/>
    <n v="0"/>
    <m/>
    <n v="0"/>
    <x v="305"/>
    <s v="Mumbai"/>
    <s v="B2C"/>
    <n v="1628.03"/>
  </r>
  <r>
    <x v="2279"/>
    <x v="1"/>
    <s v="Leather Jacket"/>
    <n v="2"/>
    <n v="2140.2199999999998"/>
    <n v="4280.4399999999996"/>
    <m/>
    <n v="4280.4399999999996"/>
    <x v="158"/>
    <s v="Ahmedabad"/>
    <s v="B2B"/>
    <n v="-415.92"/>
  </r>
  <r>
    <x v="2280"/>
    <x v="3"/>
    <s v="Watches"/>
    <n v="2"/>
    <n v="2912.6"/>
    <n v="5825.2"/>
    <m/>
    <n v="5825.2"/>
    <x v="292"/>
    <s v="Delhi"/>
    <s v="B2C"/>
    <n v="1847.45"/>
  </r>
  <r>
    <x v="2281"/>
    <x v="2"/>
    <s v="Loafers"/>
    <n v="2"/>
    <m/>
    <n v="0"/>
    <m/>
    <n v="0"/>
    <x v="184"/>
    <s v="Ahmedabad"/>
    <s v="B2C"/>
    <n v="1419.51"/>
  </r>
  <r>
    <x v="2282"/>
    <x v="2"/>
    <s v="Slip-ons"/>
    <n v="2"/>
    <m/>
    <n v="0"/>
    <m/>
    <n v="0"/>
    <x v="551"/>
    <s v="Pune"/>
    <s v="B2C"/>
    <n v="-251.71"/>
  </r>
  <r>
    <x v="2283"/>
    <x v="1"/>
    <s v="Bomber Jacket"/>
    <n v="5"/>
    <n v="1804.56"/>
    <n v="9022.7999999999993"/>
    <m/>
    <n v="9022.7999999999993"/>
    <x v="552"/>
    <s v="NaviMumbai"/>
    <s v="B2C"/>
    <n v="2534.37"/>
  </r>
  <r>
    <x v="2284"/>
    <x v="4"/>
    <s v="Oversized T-shirt"/>
    <n v="2"/>
    <n v="4480.24"/>
    <n v="8960.48"/>
    <m/>
    <n v="8960.48"/>
    <x v="445"/>
    <s v="Delhi"/>
    <s v="B2C"/>
    <n v="397.15"/>
  </r>
  <r>
    <x v="2285"/>
    <x v="2"/>
    <s v="Boots"/>
    <n v="3"/>
    <n v="4009.45"/>
    <n v="12028.349999999999"/>
    <m/>
    <n v="12028.349999999999"/>
    <x v="4"/>
    <s v="NaviMumbai"/>
    <s v="B2C"/>
    <n v="-495.81"/>
  </r>
  <r>
    <x v="2286"/>
    <x v="5"/>
    <s v="Casual Midi"/>
    <n v="2"/>
    <m/>
    <n v="0"/>
    <n v="0.51"/>
    <n v="0"/>
    <x v="4"/>
    <s v="Ahmedabad"/>
    <s v="B2C"/>
    <n v="-214.24"/>
  </r>
  <r>
    <x v="2287"/>
    <x v="5"/>
    <s v="Maxi Dress"/>
    <n v="6"/>
    <m/>
    <n v="0"/>
    <n v="0.61"/>
    <n v="0"/>
    <x v="102"/>
    <s v="Bangalore"/>
    <s v="B2C"/>
    <n v="686.84"/>
  </r>
  <r>
    <x v="2288"/>
    <x v="2"/>
    <s v="Boots"/>
    <n v="-2"/>
    <n v="3047.68"/>
    <n v="-6095.36"/>
    <m/>
    <n v="-6095.36"/>
    <x v="9"/>
    <s v="Bangalore"/>
    <s v="B2C"/>
    <n v="827.95"/>
  </r>
  <r>
    <x v="2289"/>
    <x v="0"/>
    <s v="Straight Cut"/>
    <n v="2"/>
    <m/>
    <n v="0"/>
    <n v="0.96"/>
    <n v="0"/>
    <x v="4"/>
    <s v="Bangalore"/>
    <s v="B2C"/>
    <n v="-361.79"/>
  </r>
  <r>
    <x v="2290"/>
    <x v="0"/>
    <s v="Boyfriend Jeans"/>
    <n v="1"/>
    <n v="4390.32"/>
    <n v="4390.32"/>
    <m/>
    <n v="4390.32"/>
    <x v="435"/>
    <s v="Bangalore"/>
    <s v="B2C"/>
    <n v="2785.75"/>
  </r>
  <r>
    <x v="2291"/>
    <x v="1"/>
    <s v="Puffer Coat"/>
    <n v="0"/>
    <m/>
    <n v="0"/>
    <m/>
    <n v="0"/>
    <x v="47"/>
    <s v="Delhi"/>
    <s v="B2C"/>
    <n v="1954.02"/>
  </r>
  <r>
    <x v="2292"/>
    <x v="2"/>
    <s v="Loafers"/>
    <n v="6"/>
    <n v="2217.9499999999998"/>
    <n v="13307.699999999999"/>
    <m/>
    <n v="13307.699999999999"/>
    <x v="3"/>
    <s v="NaviMumbai"/>
    <s v="B2C"/>
    <n v="146.52000000000001"/>
  </r>
  <r>
    <x v="2293"/>
    <x v="1"/>
    <s v="Denim Jacket"/>
    <n v="2"/>
    <n v="1364.73"/>
    <n v="2729.46"/>
    <n v="0.71"/>
    <n v="791.54340000000013"/>
    <x v="236"/>
    <s v="Mumbai"/>
    <s v="B2C"/>
    <n v="-909.85"/>
  </r>
  <r>
    <x v="2294"/>
    <x v="2"/>
    <s v="Loafers"/>
    <n v="5"/>
    <n v="1297.04"/>
    <n v="6485.2"/>
    <n v="0.3"/>
    <n v="4539.6399999999994"/>
    <x v="4"/>
    <s v="NaviMumbai"/>
    <s v="B2C"/>
    <n v="2887.23"/>
  </r>
  <r>
    <x v="2295"/>
    <x v="1"/>
    <s v="Leather Jacket"/>
    <n v="-2"/>
    <m/>
    <n v="0"/>
    <m/>
    <n v="0"/>
    <x v="553"/>
    <s v="Mumbai"/>
    <s v="B2C"/>
    <n v="617.99"/>
  </r>
  <r>
    <x v="2296"/>
    <x v="0"/>
    <s v="Boyfriend Jeans"/>
    <n v="2"/>
    <m/>
    <n v="0"/>
    <m/>
    <n v="0"/>
    <x v="324"/>
    <s v="NaviMumbai"/>
    <s v="B2B"/>
    <n v="-933.34"/>
  </r>
  <r>
    <x v="2297"/>
    <x v="1"/>
    <s v="Bomber Jacket"/>
    <n v="5"/>
    <n v="4289.91"/>
    <n v="21449.55"/>
    <n v="1.23"/>
    <n v="-4933.3964999999998"/>
    <x v="275"/>
    <s v="Pune"/>
    <s v="B2C"/>
    <n v="533.83000000000004"/>
  </r>
  <r>
    <x v="2298"/>
    <x v="1"/>
    <s v="Denim Jacket"/>
    <n v="2"/>
    <m/>
    <n v="0"/>
    <m/>
    <n v="0"/>
    <x v="3"/>
    <s v="Ahmedabad"/>
    <s v="B2C"/>
    <n v="1872.26"/>
  </r>
  <r>
    <x v="2299"/>
    <x v="5"/>
    <s v="Maxi Dress"/>
    <n v="1"/>
    <n v="2847.86"/>
    <n v="2847.86"/>
    <n v="0.7"/>
    <n v="854.35800000000017"/>
    <x v="554"/>
    <s v="Delhi"/>
    <s v="B2C"/>
    <n v="2190.67"/>
  </r>
  <r>
    <x v="2300"/>
    <x v="5"/>
    <s v="Wrap Dress"/>
    <n v="2"/>
    <m/>
    <n v="0"/>
    <n v="0.06"/>
    <n v="0"/>
    <x v="17"/>
    <s v="Pune"/>
    <s v="B2C"/>
    <n v="1067.6600000000001"/>
  </r>
  <r>
    <x v="2301"/>
    <x v="3"/>
    <s v="Watches"/>
    <n v="2"/>
    <m/>
    <n v="0"/>
    <m/>
    <n v="0"/>
    <x v="391"/>
    <s v="Delhi"/>
    <s v="B2C"/>
    <n v="-735.83"/>
  </r>
  <r>
    <x v="2302"/>
    <x v="2"/>
    <s v="Sneakers"/>
    <n v="6"/>
    <n v="3924.28"/>
    <n v="23545.68"/>
    <n v="0.15"/>
    <n v="20013.828000000001"/>
    <x v="348"/>
    <s v="Bangalore"/>
    <s v="B2C"/>
    <n v="-831.93"/>
  </r>
  <r>
    <x v="2303"/>
    <x v="3"/>
    <s v="Watches"/>
    <n v="2"/>
    <n v="2080.09"/>
    <n v="4160.18"/>
    <m/>
    <n v="4160.18"/>
    <x v="4"/>
    <s v="NaviMumbai"/>
    <s v="B2C"/>
    <n v="1818.51"/>
  </r>
  <r>
    <x v="2304"/>
    <x v="2"/>
    <s v="Loafers"/>
    <n v="2"/>
    <n v="2109.83"/>
    <n v="4219.66"/>
    <m/>
    <n v="4219.66"/>
    <x v="4"/>
    <s v="Pune"/>
    <s v="B2B"/>
    <n v="546.26"/>
  </r>
  <r>
    <x v="2305"/>
    <x v="4"/>
    <s v="Graphic Tee"/>
    <n v="2"/>
    <n v="3677.95"/>
    <n v="7355.9"/>
    <n v="0.42"/>
    <n v="4266.4220000000005"/>
    <x v="548"/>
    <s v="Mumbai"/>
    <s v="B2C"/>
    <n v="958.93"/>
  </r>
  <r>
    <x v="2306"/>
    <x v="1"/>
    <s v="Puffer Coat"/>
    <n v="2"/>
    <m/>
    <n v="0"/>
    <m/>
    <n v="0"/>
    <x v="367"/>
    <s v="Ahmedabad"/>
    <s v="B2B"/>
    <n v="1933.51"/>
  </r>
  <r>
    <x v="2307"/>
    <x v="5"/>
    <s v="Wrap Dress"/>
    <n v="0"/>
    <m/>
    <n v="0"/>
    <m/>
    <n v="0"/>
    <x v="217"/>
    <s v="Bangalore"/>
    <s v="B2C"/>
    <n v="461.25"/>
  </r>
  <r>
    <x v="2308"/>
    <x v="2"/>
    <s v="Sneakers"/>
    <n v="2"/>
    <n v="1266.23"/>
    <n v="2532.46"/>
    <n v="0.81"/>
    <n v="481.16739999999987"/>
    <x v="174"/>
    <s v="Ahmedabad"/>
    <s v="B2B"/>
    <n v="416.5"/>
  </r>
  <r>
    <x v="2309"/>
    <x v="1"/>
    <s v="Denim Jacket"/>
    <n v="2"/>
    <n v="3873.27"/>
    <n v="7746.54"/>
    <m/>
    <n v="7746.54"/>
    <x v="67"/>
    <s v="Mumbai"/>
    <s v="B2C"/>
    <n v="212.7"/>
  </r>
  <r>
    <x v="2310"/>
    <x v="1"/>
    <s v="Leather Jacket"/>
    <n v="2"/>
    <m/>
    <n v="0"/>
    <n v="0.98"/>
    <n v="0"/>
    <x v="159"/>
    <s v="NaviMumbai"/>
    <s v="B2B"/>
    <n v="1023.68"/>
  </r>
  <r>
    <x v="2311"/>
    <x v="1"/>
    <s v="Bomber Jacket"/>
    <n v="2"/>
    <n v="1866.28"/>
    <n v="3732.56"/>
    <m/>
    <n v="3732.56"/>
    <x v="321"/>
    <s v="Pune"/>
    <s v="B2C"/>
    <n v="1605.37"/>
  </r>
  <r>
    <x v="2312"/>
    <x v="2"/>
    <s v="Slip-ons"/>
    <n v="2"/>
    <m/>
    <n v="0"/>
    <m/>
    <n v="0"/>
    <x v="331"/>
    <s v="Mumbai"/>
    <s v="B2C"/>
    <n v="14.57"/>
  </r>
  <r>
    <x v="2313"/>
    <x v="0"/>
    <s v="Boyfriend Jeans"/>
    <n v="0"/>
    <m/>
    <n v="0"/>
    <n v="0.56999999999999995"/>
    <n v="0"/>
    <x v="213"/>
    <s v="Pune"/>
    <s v="B2C"/>
    <n v="211.03"/>
  </r>
  <r>
    <x v="2314"/>
    <x v="3"/>
    <s v="Belts"/>
    <n v="2"/>
    <n v="2559.35"/>
    <n v="5118.7"/>
    <m/>
    <n v="5118.7"/>
    <x v="310"/>
    <s v="Ahmedabad"/>
    <s v="B2C"/>
    <n v="1386.39"/>
  </r>
  <r>
    <x v="762"/>
    <x v="1"/>
    <s v="Leather Jacket"/>
    <n v="0"/>
    <m/>
    <n v="0"/>
    <m/>
    <n v="0"/>
    <x v="199"/>
    <s v="Mumbai"/>
    <s v="B2C"/>
    <n v="-766.44"/>
  </r>
  <r>
    <x v="2315"/>
    <x v="1"/>
    <s v="Leather Jacket"/>
    <n v="2"/>
    <m/>
    <n v="0"/>
    <n v="0.74"/>
    <n v="0"/>
    <x v="121"/>
    <s v="Mumbai"/>
    <s v="B2C"/>
    <n v="2840.37"/>
  </r>
  <r>
    <x v="2316"/>
    <x v="3"/>
    <s v="Belts"/>
    <n v="2"/>
    <n v="3111.18"/>
    <n v="6222.36"/>
    <n v="0.03"/>
    <n v="6035.6891999999998"/>
    <x v="4"/>
    <s v="Ahmedabad"/>
    <s v="B2C"/>
    <n v="1851.74"/>
  </r>
  <r>
    <x v="2317"/>
    <x v="2"/>
    <s v="Slip-ons"/>
    <n v="1"/>
    <n v="966.41"/>
    <n v="966.41"/>
    <m/>
    <n v="966.41"/>
    <x v="176"/>
    <s v="Bangalore"/>
    <s v="B2C"/>
    <n v="924.69"/>
  </r>
  <r>
    <x v="2318"/>
    <x v="5"/>
    <s v="Maxi Dress"/>
    <n v="2"/>
    <n v="4909.58"/>
    <n v="9819.16"/>
    <m/>
    <n v="9819.16"/>
    <x v="405"/>
    <s v="Pune"/>
    <s v="B2C"/>
    <n v="-500.19"/>
  </r>
  <r>
    <x v="2319"/>
    <x v="5"/>
    <s v="Wrap Dress"/>
    <n v="-2"/>
    <m/>
    <n v="0"/>
    <m/>
    <n v="0"/>
    <x v="446"/>
    <s v="Delhi"/>
    <s v="B2C"/>
    <n v="1541.97"/>
  </r>
  <r>
    <x v="2320"/>
    <x v="5"/>
    <s v="Maxi Dress"/>
    <n v="-2"/>
    <n v="1380.44"/>
    <n v="-2760.88"/>
    <m/>
    <n v="-2760.88"/>
    <x v="4"/>
    <s v="Mumbai"/>
    <s v="B2B"/>
    <n v="-329.81"/>
  </r>
  <r>
    <x v="2321"/>
    <x v="0"/>
    <s v="Slim Fit Jeans"/>
    <n v="5"/>
    <m/>
    <n v="0"/>
    <m/>
    <n v="0"/>
    <x v="460"/>
    <s v="NaviMumbai"/>
    <s v="B2B"/>
    <n v="2229.54"/>
  </r>
  <r>
    <x v="2322"/>
    <x v="3"/>
    <s v="Caps"/>
    <n v="2"/>
    <m/>
    <n v="0"/>
    <m/>
    <n v="0"/>
    <x v="4"/>
    <s v="Bangalore"/>
    <s v="B2C"/>
    <n v="1648.42"/>
  </r>
  <r>
    <x v="2323"/>
    <x v="3"/>
    <s v="Belts"/>
    <n v="2"/>
    <m/>
    <n v="0"/>
    <m/>
    <n v="0"/>
    <x v="344"/>
    <s v="NaviMumbai"/>
    <s v="B2C"/>
    <n v="1445.86"/>
  </r>
  <r>
    <x v="2324"/>
    <x v="1"/>
    <s v="Puffer Coat"/>
    <n v="2"/>
    <n v="3754.24"/>
    <n v="7508.48"/>
    <m/>
    <n v="7508.48"/>
    <x v="4"/>
    <s v="Delhi"/>
    <s v="B2B"/>
    <n v="461.46"/>
  </r>
  <r>
    <x v="2325"/>
    <x v="1"/>
    <s v="Leather Jacket"/>
    <n v="2"/>
    <m/>
    <n v="0"/>
    <m/>
    <n v="0"/>
    <x v="35"/>
    <s v="Ahmedabad"/>
    <s v="B2C"/>
    <n v="-552.42999999999995"/>
  </r>
  <r>
    <x v="2326"/>
    <x v="2"/>
    <s v="Loafers"/>
    <n v="2"/>
    <n v="2414.9299999999998"/>
    <n v="4829.8599999999997"/>
    <m/>
    <n v="4829.8599999999997"/>
    <x v="201"/>
    <s v="Bangalore"/>
    <s v="B2C"/>
    <n v="2493.6"/>
  </r>
  <r>
    <x v="1391"/>
    <x v="1"/>
    <s v="Leather Jacket"/>
    <n v="5"/>
    <n v="636.53"/>
    <n v="3182.6499999999996"/>
    <m/>
    <n v="3182.6499999999996"/>
    <x v="72"/>
    <s v="Mumbai"/>
    <s v="B2B"/>
    <n v="-513.44000000000005"/>
  </r>
  <r>
    <x v="2327"/>
    <x v="3"/>
    <s v="Watches"/>
    <n v="2"/>
    <n v="4206.91"/>
    <n v="8413.82"/>
    <m/>
    <n v="8413.82"/>
    <x v="555"/>
    <s v="Bangalore"/>
    <s v="B2C"/>
    <n v="818.99"/>
  </r>
  <r>
    <x v="2328"/>
    <x v="3"/>
    <s v="Sunglasses"/>
    <n v="4"/>
    <m/>
    <n v="0"/>
    <m/>
    <n v="0"/>
    <x v="4"/>
    <s v="Ahmedabad"/>
    <s v="B2C"/>
    <n v="-862.24"/>
  </r>
  <r>
    <x v="2329"/>
    <x v="0"/>
    <s v="Boyfriend Jeans"/>
    <n v="2"/>
    <m/>
    <n v="0"/>
    <m/>
    <n v="0"/>
    <x v="208"/>
    <s v="Bangalore"/>
    <s v="B2B"/>
    <n v="245.55"/>
  </r>
  <r>
    <x v="2330"/>
    <x v="1"/>
    <s v="Denim Jacket"/>
    <n v="2"/>
    <m/>
    <n v="0"/>
    <m/>
    <n v="0"/>
    <x v="544"/>
    <s v="Bangalore"/>
    <s v="B2B"/>
    <n v="1069.18"/>
  </r>
  <r>
    <x v="2331"/>
    <x v="0"/>
    <s v="Straight Cut"/>
    <n v="5"/>
    <m/>
    <n v="0"/>
    <m/>
    <n v="0"/>
    <x v="130"/>
    <s v="Delhi"/>
    <s v="B2C"/>
    <n v="-276.12"/>
  </r>
  <r>
    <x v="2332"/>
    <x v="0"/>
    <s v="Slim Fit Jeans"/>
    <n v="2"/>
    <n v="2291.31"/>
    <n v="4582.62"/>
    <m/>
    <n v="4582.62"/>
    <x v="181"/>
    <s v="NaviMumbai"/>
    <s v="B2B"/>
    <n v="-169.68"/>
  </r>
  <r>
    <x v="2333"/>
    <x v="2"/>
    <s v="Slip-ons"/>
    <n v="2"/>
    <n v="3507.48"/>
    <n v="7014.96"/>
    <m/>
    <n v="7014.96"/>
    <x v="73"/>
    <s v="Mumbai"/>
    <s v="B2C"/>
    <n v="2821.27"/>
  </r>
  <r>
    <x v="2334"/>
    <x v="5"/>
    <s v="Wrap Dress"/>
    <n v="2"/>
    <n v="2489.23"/>
    <n v="4978.46"/>
    <m/>
    <n v="4978.46"/>
    <x v="107"/>
    <s v="NaviMumbai"/>
    <s v="B2C"/>
    <n v="2977.05"/>
  </r>
  <r>
    <x v="2335"/>
    <x v="1"/>
    <s v="Denim Jacket"/>
    <n v="2"/>
    <n v="442.08"/>
    <n v="884.16"/>
    <m/>
    <n v="884.16"/>
    <x v="48"/>
    <s v="NaviMumbai"/>
    <s v="B2C"/>
    <n v="944.55"/>
  </r>
  <r>
    <x v="2336"/>
    <x v="0"/>
    <s v="Ripped Denim"/>
    <n v="2"/>
    <m/>
    <n v="0"/>
    <m/>
    <n v="0"/>
    <x v="249"/>
    <s v="Delhi"/>
    <s v="B2B"/>
    <n v="1936.25"/>
  </r>
  <r>
    <x v="2337"/>
    <x v="5"/>
    <s v="Wrap Dress"/>
    <n v="2"/>
    <n v="1064.3699999999999"/>
    <n v="2128.7399999999998"/>
    <m/>
    <n v="2128.7399999999998"/>
    <x v="205"/>
    <s v="Delhi"/>
    <s v="B2C"/>
    <n v="-671.09"/>
  </r>
  <r>
    <x v="2338"/>
    <x v="1"/>
    <s v="Leather Jacket"/>
    <n v="2"/>
    <n v="3675"/>
    <n v="7350"/>
    <m/>
    <n v="7350"/>
    <x v="4"/>
    <s v="Pune"/>
    <s v="B2C"/>
    <n v="2641.65"/>
  </r>
  <r>
    <x v="2339"/>
    <x v="3"/>
    <s v="Caps"/>
    <n v="-2"/>
    <m/>
    <n v="0"/>
    <m/>
    <n v="0"/>
    <x v="239"/>
    <s v="Pune"/>
    <s v="B2C"/>
    <n v="-861.83"/>
  </r>
  <r>
    <x v="2340"/>
    <x v="5"/>
    <s v="Bodycon"/>
    <n v="2"/>
    <n v="4166.34"/>
    <n v="8332.68"/>
    <m/>
    <n v="8332.68"/>
    <x v="551"/>
    <s v="NaviMumbai"/>
    <s v="B2B"/>
    <n v="317.31"/>
  </r>
  <r>
    <x v="2341"/>
    <x v="2"/>
    <s v="Slip-ons"/>
    <n v="-1"/>
    <m/>
    <n v="0"/>
    <n v="0.1"/>
    <n v="0"/>
    <x v="134"/>
    <s v="Ahmedabad"/>
    <s v="B2C"/>
    <n v="2205.09"/>
  </r>
  <r>
    <x v="2342"/>
    <x v="2"/>
    <s v="Boots"/>
    <n v="1"/>
    <m/>
    <n v="0"/>
    <m/>
    <n v="0"/>
    <x v="182"/>
    <s v="NaviMumbai"/>
    <s v="B2C"/>
    <n v="1711.89"/>
  </r>
  <r>
    <x v="2343"/>
    <x v="0"/>
    <s v="Boyfriend Jeans"/>
    <n v="2"/>
    <m/>
    <n v="0"/>
    <n v="0.64"/>
    <n v="0"/>
    <x v="359"/>
    <s v="Ahmedabad"/>
    <s v="B2B"/>
    <n v="1101.95"/>
  </r>
  <r>
    <x v="2344"/>
    <x v="5"/>
    <s v="Wrap Dress"/>
    <n v="1"/>
    <n v="2282.7600000000002"/>
    <n v="2282.7600000000002"/>
    <n v="0.57999999999999996"/>
    <n v="958.75920000000019"/>
    <x v="556"/>
    <s v="Bangalore"/>
    <s v="B2C"/>
    <n v="1133.68"/>
  </r>
  <r>
    <x v="2345"/>
    <x v="5"/>
    <s v="Bodycon"/>
    <n v="2"/>
    <n v="2394.84"/>
    <n v="4789.68"/>
    <m/>
    <n v="4789.68"/>
    <x v="507"/>
    <s v="Ahmedabad"/>
    <s v="B2B"/>
    <n v="1007.9"/>
  </r>
  <r>
    <x v="2346"/>
    <x v="4"/>
    <s v="Classic Tee"/>
    <n v="1"/>
    <m/>
    <n v="0"/>
    <n v="1.18"/>
    <n v="0"/>
    <x v="367"/>
    <s v="Mumbai"/>
    <s v="B2C"/>
    <n v="21.39"/>
  </r>
  <r>
    <x v="2347"/>
    <x v="0"/>
    <s v="Ripped Denim"/>
    <n v="2"/>
    <m/>
    <n v="0"/>
    <m/>
    <n v="0"/>
    <x v="390"/>
    <s v="Bangalore"/>
    <s v="B2C"/>
    <n v="-48.14"/>
  </r>
  <r>
    <x v="2348"/>
    <x v="5"/>
    <s v="Casual Midi"/>
    <n v="2"/>
    <n v="2842.91"/>
    <n v="5685.82"/>
    <m/>
    <n v="5685.82"/>
    <x v="228"/>
    <s v="Mumbai"/>
    <s v="B2C"/>
    <n v="-835.65"/>
  </r>
  <r>
    <x v="2349"/>
    <x v="3"/>
    <s v="Watches"/>
    <n v="-1"/>
    <m/>
    <n v="0"/>
    <n v="0.85"/>
    <n v="0"/>
    <x v="4"/>
    <s v="Ahmedabad"/>
    <s v="B2C"/>
    <n v="146.53"/>
  </r>
  <r>
    <x v="2350"/>
    <x v="2"/>
    <s v="Boots"/>
    <n v="1"/>
    <n v="1280.52"/>
    <n v="1280.52"/>
    <n v="0.94"/>
    <n v="76.831200000000067"/>
    <x v="4"/>
    <s v="Bangalore"/>
    <s v="B2B"/>
    <n v="1626.42"/>
  </r>
  <r>
    <x v="2351"/>
    <x v="1"/>
    <s v="Bomber Jacket"/>
    <n v="3"/>
    <n v="1730.64"/>
    <n v="5191.92"/>
    <n v="0.7"/>
    <n v="1557.5760000000002"/>
    <x v="4"/>
    <s v="Delhi"/>
    <s v="B2C"/>
    <n v="719.69"/>
  </r>
  <r>
    <x v="2352"/>
    <x v="1"/>
    <s v="Puffer Coat"/>
    <n v="0"/>
    <m/>
    <n v="0"/>
    <n v="0.38"/>
    <n v="0"/>
    <x v="309"/>
    <s v="NaviMumbai"/>
    <s v="B2B"/>
    <n v="1036.57"/>
  </r>
  <r>
    <x v="2353"/>
    <x v="3"/>
    <s v="Sunglasses"/>
    <n v="5"/>
    <m/>
    <n v="0"/>
    <n v="7.0000000000000007E-2"/>
    <n v="0"/>
    <x v="4"/>
    <s v="Mumbai"/>
    <s v="B2C"/>
    <n v="560.09"/>
  </r>
  <r>
    <x v="2354"/>
    <x v="0"/>
    <s v="Boyfriend Jeans"/>
    <n v="2"/>
    <n v="1509.34"/>
    <n v="3018.68"/>
    <m/>
    <n v="3018.68"/>
    <x v="152"/>
    <s v="Mumbai"/>
    <s v="B2C"/>
    <n v="1037.8499999999999"/>
  </r>
  <r>
    <x v="2355"/>
    <x v="2"/>
    <s v="Slip-ons"/>
    <n v="2"/>
    <m/>
    <n v="0"/>
    <m/>
    <n v="0"/>
    <x v="341"/>
    <s v="Pune"/>
    <s v="B2B"/>
    <n v="-23.94"/>
  </r>
  <r>
    <x v="2356"/>
    <x v="1"/>
    <s v="Leather Jacket"/>
    <n v="2"/>
    <n v="3760.09"/>
    <n v="7520.18"/>
    <m/>
    <n v="7520.18"/>
    <x v="192"/>
    <s v="NaviMumbai"/>
    <s v="B2C"/>
    <n v="-871.94"/>
  </r>
  <r>
    <x v="2357"/>
    <x v="0"/>
    <s v="Straight Cut"/>
    <n v="2"/>
    <m/>
    <n v="0"/>
    <m/>
    <n v="0"/>
    <x v="4"/>
    <s v="Ahmedabad"/>
    <s v="B2C"/>
    <n v="477.59"/>
  </r>
  <r>
    <x v="2358"/>
    <x v="5"/>
    <s v="Maxi Dress"/>
    <n v="2"/>
    <n v="2784.25"/>
    <n v="5568.5"/>
    <m/>
    <n v="5568.5"/>
    <x v="4"/>
    <s v="NaviMumbai"/>
    <s v="B2B"/>
    <n v="-348.84"/>
  </r>
  <r>
    <x v="2359"/>
    <x v="0"/>
    <s v="Ripped Denim"/>
    <n v="5"/>
    <n v="3111.73"/>
    <n v="15558.65"/>
    <m/>
    <n v="15558.65"/>
    <x v="245"/>
    <s v="Bangalore"/>
    <s v="B2C"/>
    <n v="800.89"/>
  </r>
  <r>
    <x v="2360"/>
    <x v="1"/>
    <s v="Puffer Coat"/>
    <n v="0"/>
    <n v="1249.6400000000001"/>
    <n v="0"/>
    <m/>
    <n v="0"/>
    <x v="302"/>
    <s v="Pune"/>
    <s v="B2C"/>
    <n v="-646.04"/>
  </r>
  <r>
    <x v="2361"/>
    <x v="1"/>
    <s v="Puffer Coat"/>
    <n v="2"/>
    <n v="1960.15"/>
    <n v="3920.3"/>
    <m/>
    <n v="3920.3"/>
    <x v="95"/>
    <s v="NaviMumbai"/>
    <s v="B2B"/>
    <n v="1816.17"/>
  </r>
  <r>
    <x v="2362"/>
    <x v="5"/>
    <s v="Maxi Dress"/>
    <n v="2"/>
    <m/>
    <n v="0"/>
    <n v="0.02"/>
    <n v="0"/>
    <x v="82"/>
    <s v="Mumbai"/>
    <s v="B2C"/>
    <n v="619.20000000000005"/>
  </r>
  <r>
    <x v="2363"/>
    <x v="4"/>
    <s v="Graphic Tee"/>
    <n v="2"/>
    <n v="2609.06"/>
    <n v="5218.12"/>
    <n v="0.65"/>
    <n v="1826.3419999999999"/>
    <x v="386"/>
    <s v="NaviMumbai"/>
    <s v="B2C"/>
    <n v="2036.75"/>
  </r>
  <r>
    <x v="2364"/>
    <x v="3"/>
    <s v="Caps"/>
    <n v="5"/>
    <m/>
    <n v="0"/>
    <n v="0.81"/>
    <n v="0"/>
    <x v="80"/>
    <s v="Pune"/>
    <s v="B2B"/>
    <n v="1283.58"/>
  </r>
  <r>
    <x v="2365"/>
    <x v="4"/>
    <s v="Graphic Tee"/>
    <n v="2"/>
    <n v="2310.4699999999998"/>
    <n v="4620.9399999999996"/>
    <m/>
    <n v="4620.9399999999996"/>
    <x v="4"/>
    <s v="Mumbai"/>
    <s v="B2C"/>
    <n v="393.88"/>
  </r>
  <r>
    <x v="2366"/>
    <x v="5"/>
    <s v="Maxi Dress"/>
    <n v="2"/>
    <m/>
    <n v="0"/>
    <m/>
    <n v="0"/>
    <x v="6"/>
    <s v="Mumbai"/>
    <s v="B2C"/>
    <n v="-513.37"/>
  </r>
  <r>
    <x v="2367"/>
    <x v="0"/>
    <s v="Ripped Denim"/>
    <n v="1"/>
    <m/>
    <n v="0"/>
    <n v="0.67"/>
    <n v="0"/>
    <x v="527"/>
    <s v="Ahmedabad"/>
    <s v="B2C"/>
    <n v="-540.69000000000005"/>
  </r>
  <r>
    <x v="2368"/>
    <x v="3"/>
    <s v="Watches"/>
    <n v="2"/>
    <n v="4003.66"/>
    <n v="8007.32"/>
    <m/>
    <n v="8007.32"/>
    <x v="95"/>
    <s v="NaviMumbai"/>
    <s v="B2B"/>
    <n v="1340.94"/>
  </r>
  <r>
    <x v="2369"/>
    <x v="1"/>
    <s v="Denim Jacket"/>
    <n v="-1"/>
    <n v="2123.17"/>
    <n v="-2123.17"/>
    <m/>
    <n v="-2123.17"/>
    <x v="4"/>
    <s v="Delhi"/>
    <s v="B2C"/>
    <n v="-717.75"/>
  </r>
  <r>
    <x v="2370"/>
    <x v="5"/>
    <s v="Wrap Dress"/>
    <n v="2"/>
    <n v="4732.42"/>
    <n v="9464.84"/>
    <m/>
    <n v="9464.84"/>
    <x v="103"/>
    <s v="Ahmedabad"/>
    <s v="B2C"/>
    <n v="916.47"/>
  </r>
  <r>
    <x v="2371"/>
    <x v="2"/>
    <s v="Boots"/>
    <n v="2"/>
    <m/>
    <n v="0"/>
    <n v="0.57999999999999996"/>
    <n v="0"/>
    <x v="174"/>
    <s v="NaviMumbai"/>
    <s v="B2B"/>
    <n v="1693.4"/>
  </r>
  <r>
    <x v="2372"/>
    <x v="0"/>
    <s v="Ripped Denim"/>
    <n v="2"/>
    <m/>
    <n v="0"/>
    <m/>
    <n v="0"/>
    <x v="159"/>
    <s v="Ahmedabad"/>
    <s v="B2C"/>
    <n v="2625.33"/>
  </r>
  <r>
    <x v="2373"/>
    <x v="5"/>
    <s v="Maxi Dress"/>
    <n v="2"/>
    <m/>
    <n v="0"/>
    <m/>
    <n v="0"/>
    <x v="4"/>
    <s v="Bangalore"/>
    <s v="B2C"/>
    <n v="2402.84"/>
  </r>
  <r>
    <x v="2374"/>
    <x v="2"/>
    <s v="Boots"/>
    <n v="1"/>
    <m/>
    <n v="0"/>
    <m/>
    <n v="0"/>
    <x v="214"/>
    <s v="Ahmedabad"/>
    <s v="B2B"/>
    <n v="2783.42"/>
  </r>
  <r>
    <x v="2375"/>
    <x v="4"/>
    <s v="Oversized T-shirt"/>
    <n v="4"/>
    <n v="3185.58"/>
    <n v="12742.32"/>
    <n v="1.1499999999999999"/>
    <n v="-1911.3479999999988"/>
    <x v="557"/>
    <s v="Delhi"/>
    <s v="B2C"/>
    <n v="-767.38"/>
  </r>
  <r>
    <x v="2376"/>
    <x v="1"/>
    <s v="Puffer Coat"/>
    <n v="-1"/>
    <m/>
    <n v="0"/>
    <m/>
    <n v="0"/>
    <x v="298"/>
    <s v="Bangalore"/>
    <s v="B2B"/>
    <n v="2344.15"/>
  </r>
  <r>
    <x v="2377"/>
    <x v="0"/>
    <s v="Straight Cut"/>
    <n v="2"/>
    <m/>
    <n v="0"/>
    <m/>
    <n v="0"/>
    <x v="350"/>
    <s v="Delhi"/>
    <s v="B2C"/>
    <n v="-938.64"/>
  </r>
  <r>
    <x v="2378"/>
    <x v="0"/>
    <s v="Slim Fit Jeans"/>
    <n v="6"/>
    <m/>
    <n v="0"/>
    <n v="0.56000000000000005"/>
    <n v="0"/>
    <x v="4"/>
    <s v="Ahmedabad"/>
    <s v="B2C"/>
    <n v="-796.3"/>
  </r>
  <r>
    <x v="37"/>
    <x v="4"/>
    <s v="Crop Top"/>
    <n v="2"/>
    <m/>
    <n v="0"/>
    <m/>
    <n v="0"/>
    <x v="4"/>
    <s v="Ahmedabad"/>
    <s v="B2B"/>
    <n v="804.16"/>
  </r>
  <r>
    <x v="2379"/>
    <x v="1"/>
    <s v="Leather Jacket"/>
    <n v="3"/>
    <m/>
    <n v="0"/>
    <m/>
    <n v="0"/>
    <x v="1"/>
    <s v="Mumbai"/>
    <s v="B2C"/>
    <n v="2315.23"/>
  </r>
  <r>
    <x v="1170"/>
    <x v="2"/>
    <s v="Loafers"/>
    <n v="2"/>
    <n v="2933.45"/>
    <n v="5866.9"/>
    <m/>
    <n v="5866.9"/>
    <x v="58"/>
    <s v="Bangalore"/>
    <s v="B2C"/>
    <n v="2339.14"/>
  </r>
  <r>
    <x v="2380"/>
    <x v="3"/>
    <s v="Caps"/>
    <n v="6"/>
    <m/>
    <n v="0"/>
    <m/>
    <n v="0"/>
    <x v="298"/>
    <s v="Pune"/>
    <s v="B2C"/>
    <n v="20.64"/>
  </r>
  <r>
    <x v="2381"/>
    <x v="2"/>
    <s v="Boots"/>
    <n v="-2"/>
    <m/>
    <n v="0"/>
    <m/>
    <n v="0"/>
    <x v="247"/>
    <s v="Ahmedabad"/>
    <s v="B2C"/>
    <n v="960.12"/>
  </r>
  <r>
    <x v="2382"/>
    <x v="3"/>
    <s v="Watches"/>
    <n v="5"/>
    <n v="4754.22"/>
    <n v="23771.100000000002"/>
    <n v="0.82"/>
    <n v="4278.7980000000016"/>
    <x v="481"/>
    <s v="NaviMumbai"/>
    <s v="B2B"/>
    <n v="2415.19"/>
  </r>
  <r>
    <x v="2383"/>
    <x v="1"/>
    <s v="Denim Jacket"/>
    <n v="-2"/>
    <n v="2942.33"/>
    <n v="-5884.66"/>
    <n v="0.16"/>
    <n v="-4943.1143999999995"/>
    <x v="558"/>
    <s v="Pune"/>
    <s v="B2C"/>
    <n v="977.57"/>
  </r>
  <r>
    <x v="2384"/>
    <x v="1"/>
    <s v="Denim Jacket"/>
    <n v="2"/>
    <n v="3441.89"/>
    <n v="6883.78"/>
    <m/>
    <n v="6883.78"/>
    <x v="171"/>
    <s v="Ahmedabad"/>
    <s v="B2C"/>
    <n v="-872.49"/>
  </r>
  <r>
    <x v="2385"/>
    <x v="3"/>
    <s v="Belts"/>
    <n v="2"/>
    <m/>
    <n v="0"/>
    <n v="0.51"/>
    <n v="0"/>
    <x v="119"/>
    <s v="Delhi"/>
    <s v="B2B"/>
    <n v="-63"/>
  </r>
  <r>
    <x v="2386"/>
    <x v="1"/>
    <s v="Puffer Coat"/>
    <n v="3"/>
    <m/>
    <n v="0"/>
    <m/>
    <n v="0"/>
    <x v="300"/>
    <s v="Mumbai"/>
    <s v="B2C"/>
    <n v="670.29"/>
  </r>
  <r>
    <x v="2387"/>
    <x v="5"/>
    <s v="Wrap Dress"/>
    <n v="2"/>
    <m/>
    <n v="0"/>
    <m/>
    <n v="0"/>
    <x v="241"/>
    <s v="Delhi"/>
    <s v="B2C"/>
    <n v="859.23"/>
  </r>
  <r>
    <x v="2388"/>
    <x v="3"/>
    <s v="Watches"/>
    <n v="2"/>
    <n v="2244.0700000000002"/>
    <n v="4488.1400000000003"/>
    <m/>
    <n v="4488.1400000000003"/>
    <x v="4"/>
    <s v="Bangalore"/>
    <s v="B2C"/>
    <n v="195.31"/>
  </r>
  <r>
    <x v="2389"/>
    <x v="5"/>
    <s v="Maxi Dress"/>
    <n v="0"/>
    <m/>
    <n v="0"/>
    <n v="0.25"/>
    <n v="0"/>
    <x v="374"/>
    <s v="Delhi"/>
    <s v="B2C"/>
    <n v="669.94"/>
  </r>
  <r>
    <x v="2390"/>
    <x v="5"/>
    <s v="Bodycon"/>
    <n v="-2"/>
    <m/>
    <n v="0"/>
    <m/>
    <n v="0"/>
    <x v="82"/>
    <s v="Bangalore"/>
    <s v="B2C"/>
    <n v="980.18"/>
  </r>
  <r>
    <x v="2391"/>
    <x v="4"/>
    <s v="Crop Top"/>
    <n v="2"/>
    <n v="4971.5600000000004"/>
    <n v="9943.1200000000008"/>
    <n v="0.87"/>
    <n v="1292.6056000000001"/>
    <x v="217"/>
    <s v="Bangalore"/>
    <s v="B2C"/>
    <n v="1202.3399999999999"/>
  </r>
  <r>
    <x v="2392"/>
    <x v="2"/>
    <s v="Loafers"/>
    <n v="-1"/>
    <n v="636.91999999999996"/>
    <n v="-636.91999999999996"/>
    <n v="0.51"/>
    <n v="-312.0908"/>
    <x v="455"/>
    <s v="Pune"/>
    <s v="B2B"/>
    <n v="2399.61"/>
  </r>
  <r>
    <x v="2393"/>
    <x v="1"/>
    <s v="Leather Jacket"/>
    <n v="2"/>
    <m/>
    <n v="0"/>
    <m/>
    <n v="0"/>
    <x v="559"/>
    <s v="Delhi"/>
    <s v="B2C"/>
    <n v="-453.03"/>
  </r>
  <r>
    <x v="2394"/>
    <x v="5"/>
    <s v="Maxi Dress"/>
    <n v="2"/>
    <m/>
    <n v="0"/>
    <n v="0.91"/>
    <n v="0"/>
    <x v="348"/>
    <s v="Bangalore"/>
    <s v="B2B"/>
    <n v="791.96"/>
  </r>
  <r>
    <x v="2395"/>
    <x v="4"/>
    <s v="Crop Top"/>
    <n v="2"/>
    <n v="987.68"/>
    <n v="1975.36"/>
    <n v="1.25"/>
    <n v="-493.84"/>
    <x v="141"/>
    <s v="Bangalore"/>
    <s v="B2C"/>
    <n v="2597.1999999999998"/>
  </r>
  <r>
    <x v="2396"/>
    <x v="3"/>
    <s v="Belts"/>
    <n v="3"/>
    <n v="3891.07"/>
    <n v="11673.210000000001"/>
    <n v="0.2"/>
    <n v="9338.5680000000011"/>
    <x v="17"/>
    <s v="Ahmedabad"/>
    <s v="B2C"/>
    <n v="-861.28"/>
  </r>
  <r>
    <x v="2397"/>
    <x v="2"/>
    <s v="Slip-ons"/>
    <n v="-2"/>
    <n v="400.21"/>
    <n v="-800.42"/>
    <m/>
    <n v="-800.42"/>
    <x v="280"/>
    <s v="Bangalore"/>
    <s v="B2C"/>
    <n v="914.27"/>
  </r>
  <r>
    <x v="2398"/>
    <x v="4"/>
    <s v="Oversized T-shirt"/>
    <n v="2"/>
    <n v="1536.14"/>
    <n v="3072.28"/>
    <n v="0.87"/>
    <n v="399.39640000000003"/>
    <x v="300"/>
    <s v="Ahmedabad"/>
    <s v="B2C"/>
    <n v="-382.45"/>
  </r>
  <r>
    <x v="2399"/>
    <x v="5"/>
    <s v="Maxi Dress"/>
    <n v="5"/>
    <m/>
    <n v="0"/>
    <n v="1.21"/>
    <n v="0"/>
    <x v="256"/>
    <s v="Delhi"/>
    <s v="B2B"/>
    <n v="2953.52"/>
  </r>
  <r>
    <x v="2400"/>
    <x v="4"/>
    <s v="Oversized T-shirt"/>
    <n v="0"/>
    <m/>
    <n v="0"/>
    <n v="1.1100000000000001"/>
    <n v="0"/>
    <x v="178"/>
    <s v="Ahmedabad"/>
    <s v="B2C"/>
    <n v="1331.63"/>
  </r>
  <r>
    <x v="2401"/>
    <x v="4"/>
    <s v="Oversized T-shirt"/>
    <n v="2"/>
    <m/>
    <n v="0"/>
    <n v="0.37"/>
    <n v="0"/>
    <x v="340"/>
    <s v="Delhi"/>
    <s v="B2C"/>
    <n v="2632.33"/>
  </r>
  <r>
    <x v="2402"/>
    <x v="5"/>
    <s v="Casual Midi"/>
    <n v="2"/>
    <n v="2924.37"/>
    <n v="5848.74"/>
    <m/>
    <n v="5848.74"/>
    <x v="214"/>
    <s v="Pune"/>
    <s v="B2C"/>
    <n v="461.83"/>
  </r>
  <r>
    <x v="2403"/>
    <x v="3"/>
    <s v="Caps"/>
    <n v="4"/>
    <n v="973.52"/>
    <n v="3894.08"/>
    <m/>
    <n v="3894.08"/>
    <x v="327"/>
    <s v="NaviMumbai"/>
    <s v="B2C"/>
    <n v="2406.66"/>
  </r>
  <r>
    <x v="2404"/>
    <x v="4"/>
    <s v="Crop Top"/>
    <n v="3"/>
    <n v="4758.24"/>
    <n v="14274.72"/>
    <n v="0.49"/>
    <n v="7280.1071999999995"/>
    <x v="435"/>
    <s v="Mumbai"/>
    <s v="B2C"/>
    <n v="2863.66"/>
  </r>
  <r>
    <x v="2405"/>
    <x v="1"/>
    <s v="Puffer Coat"/>
    <n v="4"/>
    <n v="4762.62"/>
    <n v="19050.48"/>
    <m/>
    <n v="19050.48"/>
    <x v="321"/>
    <s v="NaviMumbai"/>
    <s v="B2B"/>
    <n v="1483.83"/>
  </r>
  <r>
    <x v="2406"/>
    <x v="0"/>
    <s v="Slim Fit Jeans"/>
    <n v="3"/>
    <m/>
    <n v="0"/>
    <m/>
    <n v="0"/>
    <x v="42"/>
    <s v="Ahmedabad"/>
    <s v="B2C"/>
    <n v="734.88"/>
  </r>
  <r>
    <x v="2407"/>
    <x v="5"/>
    <s v="Casual Midi"/>
    <n v="4"/>
    <n v="803.79"/>
    <n v="3215.16"/>
    <m/>
    <n v="3215.16"/>
    <x v="427"/>
    <s v="Pune"/>
    <s v="B2C"/>
    <n v="2948.6"/>
  </r>
  <r>
    <x v="2408"/>
    <x v="4"/>
    <s v="Classic Tee"/>
    <n v="2"/>
    <m/>
    <n v="0"/>
    <n v="0.89"/>
    <n v="0"/>
    <x v="359"/>
    <s v="Mumbai"/>
    <s v="B2C"/>
    <n v="1339.05"/>
  </r>
  <r>
    <x v="2409"/>
    <x v="4"/>
    <s v="Graphic Tee"/>
    <n v="-2"/>
    <n v="2339.36"/>
    <n v="-4678.72"/>
    <n v="0.35"/>
    <n v="-3041.1680000000001"/>
    <x v="246"/>
    <s v="Bangalore"/>
    <s v="B2B"/>
    <n v="-5.05"/>
  </r>
  <r>
    <x v="2410"/>
    <x v="2"/>
    <s v="Boots"/>
    <n v="2"/>
    <n v="2562.4699999999998"/>
    <n v="5124.9399999999996"/>
    <m/>
    <n v="5124.9399999999996"/>
    <x v="144"/>
    <s v="NaviMumbai"/>
    <s v="B2B"/>
    <n v="-883.82"/>
  </r>
  <r>
    <x v="2411"/>
    <x v="3"/>
    <s v="Watches"/>
    <n v="2"/>
    <n v="4213.8500000000004"/>
    <n v="8427.7000000000007"/>
    <m/>
    <n v="8427.7000000000007"/>
    <x v="270"/>
    <s v="Delhi"/>
    <s v="B2C"/>
    <n v="-209.3"/>
  </r>
  <r>
    <x v="2412"/>
    <x v="3"/>
    <s v="Watches"/>
    <n v="6"/>
    <n v="1987.62"/>
    <n v="11925.72"/>
    <m/>
    <n v="11925.72"/>
    <x v="475"/>
    <s v="NaviMumbai"/>
    <s v="B2B"/>
    <n v="1184.77"/>
  </r>
  <r>
    <x v="2413"/>
    <x v="5"/>
    <s v="Casual Midi"/>
    <n v="2"/>
    <m/>
    <n v="0"/>
    <m/>
    <n v="0"/>
    <x v="4"/>
    <s v="Bangalore"/>
    <s v="B2C"/>
    <n v="382.53"/>
  </r>
  <r>
    <x v="2414"/>
    <x v="4"/>
    <s v="Oversized T-shirt"/>
    <n v="2"/>
    <m/>
    <n v="0"/>
    <m/>
    <n v="0"/>
    <x v="4"/>
    <s v="Delhi"/>
    <s v="B2C"/>
    <n v="-695.67"/>
  </r>
  <r>
    <x v="2415"/>
    <x v="3"/>
    <s v="Caps"/>
    <n v="2"/>
    <n v="983.84"/>
    <n v="1967.68"/>
    <n v="0.9"/>
    <n v="196.76799999999997"/>
    <x v="356"/>
    <s v="Delhi"/>
    <s v="B2C"/>
    <n v="254.71"/>
  </r>
  <r>
    <x v="2416"/>
    <x v="2"/>
    <s v="Slip-ons"/>
    <n v="6"/>
    <m/>
    <n v="0"/>
    <n v="0.56000000000000005"/>
    <n v="0"/>
    <x v="517"/>
    <s v="NaviMumbai"/>
    <s v="B2C"/>
    <n v="-270.22000000000003"/>
  </r>
  <r>
    <x v="2417"/>
    <x v="4"/>
    <s v="Oversized T-shirt"/>
    <n v="2"/>
    <m/>
    <n v="0"/>
    <m/>
    <n v="0"/>
    <x v="4"/>
    <s v="Pune"/>
    <s v="B2B"/>
    <n v="1284.57"/>
  </r>
  <r>
    <x v="2418"/>
    <x v="0"/>
    <s v="Boyfriend Jeans"/>
    <n v="3"/>
    <m/>
    <n v="0"/>
    <m/>
    <n v="0"/>
    <x v="4"/>
    <s v="Bangalore"/>
    <s v="B2C"/>
    <n v="-266.63"/>
  </r>
  <r>
    <x v="2419"/>
    <x v="5"/>
    <s v="Maxi Dress"/>
    <n v="2"/>
    <m/>
    <n v="0"/>
    <m/>
    <n v="0"/>
    <x v="207"/>
    <s v="Ahmedabad"/>
    <s v="B2B"/>
    <n v="2059.2399999999998"/>
  </r>
  <r>
    <x v="2420"/>
    <x v="3"/>
    <s v="Sunglasses"/>
    <n v="2"/>
    <n v="3607.23"/>
    <n v="7214.46"/>
    <m/>
    <n v="7214.46"/>
    <x v="553"/>
    <s v="NaviMumbai"/>
    <s v="B2C"/>
    <n v="2531.75"/>
  </r>
  <r>
    <x v="2421"/>
    <x v="3"/>
    <s v="Sunglasses"/>
    <n v="6"/>
    <n v="1139.77"/>
    <n v="6838.62"/>
    <m/>
    <n v="6838.62"/>
    <x v="4"/>
    <s v="Pune"/>
    <s v="B2C"/>
    <n v="992.89"/>
  </r>
  <r>
    <x v="2422"/>
    <x v="0"/>
    <s v="Ripped Denim"/>
    <n v="5"/>
    <m/>
    <n v="0"/>
    <m/>
    <n v="0"/>
    <x v="4"/>
    <s v="Delhi"/>
    <s v="B2C"/>
    <n v="2091.3000000000002"/>
  </r>
  <r>
    <x v="2423"/>
    <x v="0"/>
    <s v="Boyfriend Jeans"/>
    <n v="-1"/>
    <m/>
    <n v="0"/>
    <n v="0.7"/>
    <n v="0"/>
    <x v="494"/>
    <s v="NaviMumbai"/>
    <s v="B2B"/>
    <n v="-288.95999999999998"/>
  </r>
  <r>
    <x v="2424"/>
    <x v="0"/>
    <s v="Ripped Denim"/>
    <n v="2"/>
    <n v="4059.53"/>
    <n v="8119.06"/>
    <m/>
    <n v="8119.06"/>
    <x v="319"/>
    <s v="Ahmedabad"/>
    <s v="B2B"/>
    <n v="-74.569999999999993"/>
  </r>
  <r>
    <x v="2425"/>
    <x v="4"/>
    <s v="Graphic Tee"/>
    <n v="2"/>
    <m/>
    <n v="0"/>
    <m/>
    <n v="0"/>
    <x v="51"/>
    <s v="Bangalore"/>
    <s v="B2B"/>
    <n v="1246.6199999999999"/>
  </r>
  <r>
    <x v="2426"/>
    <x v="5"/>
    <s v="Maxi Dress"/>
    <n v="2"/>
    <m/>
    <n v="0"/>
    <m/>
    <n v="0"/>
    <x v="4"/>
    <s v="Delhi"/>
    <s v="B2C"/>
    <n v="287.33"/>
  </r>
  <r>
    <x v="2427"/>
    <x v="4"/>
    <s v="Classic Tee"/>
    <n v="2"/>
    <n v="2932.58"/>
    <n v="5865.16"/>
    <n v="1.26"/>
    <n v="-1524.9416000000001"/>
    <x v="62"/>
    <s v="Bangalore"/>
    <s v="B2B"/>
    <n v="333.94"/>
  </r>
  <r>
    <x v="2428"/>
    <x v="3"/>
    <s v="Belts"/>
    <n v="2"/>
    <m/>
    <n v="0"/>
    <m/>
    <n v="0"/>
    <x v="560"/>
    <s v="Delhi"/>
    <s v="B2C"/>
    <n v="1387.75"/>
  </r>
  <r>
    <x v="2429"/>
    <x v="1"/>
    <s v="Denim Jacket"/>
    <n v="6"/>
    <m/>
    <n v="0"/>
    <m/>
    <n v="0"/>
    <x v="311"/>
    <s v="Mumbai"/>
    <s v="B2B"/>
    <n v="-673.81"/>
  </r>
  <r>
    <x v="2430"/>
    <x v="5"/>
    <s v="Casual Midi"/>
    <n v="2"/>
    <m/>
    <n v="0"/>
    <n v="0.5"/>
    <n v="0"/>
    <x v="4"/>
    <s v="Mumbai"/>
    <s v="B2C"/>
    <n v="-898.19"/>
  </r>
  <r>
    <x v="2431"/>
    <x v="3"/>
    <s v="Belts"/>
    <n v="1"/>
    <m/>
    <n v="0"/>
    <n v="0.15"/>
    <n v="0"/>
    <x v="322"/>
    <s v="Mumbai"/>
    <s v="B2B"/>
    <n v="287.25"/>
  </r>
  <r>
    <x v="2432"/>
    <x v="2"/>
    <s v="Slip-ons"/>
    <n v="2"/>
    <n v="3494.86"/>
    <n v="6989.72"/>
    <m/>
    <n v="6989.72"/>
    <x v="4"/>
    <s v="Mumbai"/>
    <s v="B2C"/>
    <n v="-76.849999999999994"/>
  </r>
  <r>
    <x v="2433"/>
    <x v="1"/>
    <s v="Bomber Jacket"/>
    <n v="2"/>
    <n v="2185.83"/>
    <n v="4371.66"/>
    <n v="0.13"/>
    <n v="3803.3442"/>
    <x v="4"/>
    <s v="Mumbai"/>
    <s v="B2B"/>
    <n v="714.12"/>
  </r>
  <r>
    <x v="2434"/>
    <x v="5"/>
    <s v="Maxi Dress"/>
    <n v="2"/>
    <n v="4804.91"/>
    <n v="9609.82"/>
    <m/>
    <n v="9609.82"/>
    <x v="247"/>
    <s v="Delhi"/>
    <s v="B2C"/>
    <n v="407.85"/>
  </r>
  <r>
    <x v="2435"/>
    <x v="5"/>
    <s v="Wrap Dress"/>
    <n v="2"/>
    <m/>
    <n v="0"/>
    <n v="0.86"/>
    <n v="0"/>
    <x v="4"/>
    <s v="Mumbai"/>
    <s v="B2C"/>
    <n v="292.83"/>
  </r>
  <r>
    <x v="2436"/>
    <x v="1"/>
    <s v="Denim Jacket"/>
    <n v="2"/>
    <m/>
    <n v="0"/>
    <m/>
    <n v="0"/>
    <x v="561"/>
    <s v="Pune"/>
    <s v="B2B"/>
    <n v="2602.44"/>
  </r>
  <r>
    <x v="2437"/>
    <x v="1"/>
    <s v="Leather Jacket"/>
    <n v="2"/>
    <n v="2858.94"/>
    <n v="5717.88"/>
    <n v="1.19"/>
    <n v="-1086.3971999999997"/>
    <x v="420"/>
    <s v="Mumbai"/>
    <s v="B2C"/>
    <n v="-262.73"/>
  </r>
  <r>
    <x v="2438"/>
    <x v="2"/>
    <s v="Sneakers"/>
    <n v="2"/>
    <m/>
    <n v="0"/>
    <n v="0.28000000000000003"/>
    <n v="0"/>
    <x v="4"/>
    <s v="Pune"/>
    <s v="B2C"/>
    <n v="1553.3"/>
  </r>
  <r>
    <x v="2439"/>
    <x v="0"/>
    <s v="Boyfriend Jeans"/>
    <n v="2"/>
    <m/>
    <n v="0"/>
    <m/>
    <n v="0"/>
    <x v="120"/>
    <s v="Bangalore"/>
    <s v="B2C"/>
    <n v="-38.119999999999997"/>
  </r>
  <r>
    <x v="2440"/>
    <x v="3"/>
    <s v="Watches"/>
    <n v="-2"/>
    <n v="1169.8900000000001"/>
    <n v="-2339.7800000000002"/>
    <m/>
    <n v="-2339.7800000000002"/>
    <x v="4"/>
    <s v="Pune"/>
    <s v="B2C"/>
    <n v="161.94999999999999"/>
  </r>
  <r>
    <x v="2441"/>
    <x v="4"/>
    <s v="Graphic Tee"/>
    <n v="3"/>
    <m/>
    <n v="0"/>
    <m/>
    <n v="0"/>
    <x v="4"/>
    <s v="NaviMumbai"/>
    <s v="B2B"/>
    <n v="1528.52"/>
  </r>
  <r>
    <x v="2442"/>
    <x v="4"/>
    <s v="Graphic Tee"/>
    <n v="2"/>
    <m/>
    <n v="0"/>
    <m/>
    <n v="0"/>
    <x v="4"/>
    <s v="Pune"/>
    <s v="B2C"/>
    <n v="237.05"/>
  </r>
  <r>
    <x v="2443"/>
    <x v="3"/>
    <s v="Watches"/>
    <n v="2"/>
    <n v="2951.53"/>
    <n v="5903.06"/>
    <m/>
    <n v="5903.06"/>
    <x v="31"/>
    <s v="Pune"/>
    <s v="B2C"/>
    <n v="-492.53"/>
  </r>
  <r>
    <x v="2444"/>
    <x v="4"/>
    <s v="Classic Tee"/>
    <n v="-2"/>
    <m/>
    <n v="0"/>
    <m/>
    <n v="0"/>
    <x v="4"/>
    <s v="NaviMumbai"/>
    <s v="B2C"/>
    <n v="-439.26"/>
  </r>
  <r>
    <x v="2445"/>
    <x v="4"/>
    <s v="Crop Top"/>
    <n v="5"/>
    <n v="1683.74"/>
    <n v="8418.7000000000007"/>
    <n v="0.57999999999999996"/>
    <n v="3535.8540000000007"/>
    <x v="395"/>
    <s v="Bangalore"/>
    <s v="B2C"/>
    <n v="419.44"/>
  </r>
  <r>
    <x v="2446"/>
    <x v="3"/>
    <s v="Watches"/>
    <n v="2"/>
    <n v="3029.54"/>
    <n v="6059.08"/>
    <m/>
    <n v="6059.08"/>
    <x v="99"/>
    <s v="Mumbai"/>
    <s v="B2C"/>
    <n v="2537.46"/>
  </r>
  <r>
    <x v="2447"/>
    <x v="1"/>
    <s v="Bomber Jacket"/>
    <n v="2"/>
    <n v="599.07000000000005"/>
    <n v="1198.1400000000001"/>
    <n v="0.15"/>
    <n v="1018.4190000000001"/>
    <x v="4"/>
    <s v="Delhi"/>
    <s v="B2B"/>
    <n v="1962.34"/>
  </r>
  <r>
    <x v="2448"/>
    <x v="5"/>
    <s v="Bodycon"/>
    <n v="2"/>
    <n v="2784.76"/>
    <n v="5569.52"/>
    <n v="0.86"/>
    <n v="779.73280000000011"/>
    <x v="162"/>
    <s v="NaviMumbai"/>
    <s v="B2C"/>
    <n v="1373.37"/>
  </r>
  <r>
    <x v="2449"/>
    <x v="0"/>
    <s v="Boyfriend Jeans"/>
    <n v="2"/>
    <n v="4126.3900000000003"/>
    <n v="8252.7800000000007"/>
    <m/>
    <n v="8252.7800000000007"/>
    <x v="106"/>
    <s v="Mumbai"/>
    <s v="B2B"/>
    <n v="638.9"/>
  </r>
  <r>
    <x v="2450"/>
    <x v="0"/>
    <s v="Ripped Denim"/>
    <n v="2"/>
    <n v="3084.73"/>
    <n v="6169.46"/>
    <n v="0.86"/>
    <n v="863.72440000000006"/>
    <x v="4"/>
    <s v="Mumbai"/>
    <s v="B2C"/>
    <n v="2534.3200000000002"/>
  </r>
  <r>
    <x v="2451"/>
    <x v="5"/>
    <s v="Casual Midi"/>
    <n v="5"/>
    <n v="2935.56"/>
    <n v="14677.8"/>
    <m/>
    <n v="14677.8"/>
    <x v="208"/>
    <s v="Delhi"/>
    <s v="B2C"/>
    <n v="-410.86"/>
  </r>
  <r>
    <x v="2452"/>
    <x v="0"/>
    <s v="Slim Fit Jeans"/>
    <n v="0"/>
    <m/>
    <n v="0"/>
    <m/>
    <n v="0"/>
    <x v="4"/>
    <s v="Ahmedabad"/>
    <s v="B2C"/>
    <n v="-219.82"/>
  </r>
  <r>
    <x v="2453"/>
    <x v="4"/>
    <s v="Oversized T-shirt"/>
    <n v="2"/>
    <n v="848.79"/>
    <n v="1697.58"/>
    <m/>
    <n v="1697.58"/>
    <x v="4"/>
    <s v="Mumbai"/>
    <s v="B2C"/>
    <n v="2259"/>
  </r>
  <r>
    <x v="2454"/>
    <x v="2"/>
    <s v="Loafers"/>
    <n v="4"/>
    <m/>
    <n v="0"/>
    <m/>
    <n v="0"/>
    <x v="315"/>
    <s v="NaviMumbai"/>
    <s v="B2B"/>
    <n v="2232.98"/>
  </r>
  <r>
    <x v="2455"/>
    <x v="1"/>
    <s v="Bomber Jacket"/>
    <n v="2"/>
    <n v="3389.24"/>
    <n v="6778.48"/>
    <n v="1.06"/>
    <n v="-406.70880000000034"/>
    <x v="4"/>
    <s v="Ahmedabad"/>
    <s v="B2C"/>
    <n v="1955.31"/>
  </r>
  <r>
    <x v="2456"/>
    <x v="0"/>
    <s v="Straight Cut"/>
    <n v="5"/>
    <n v="3844.19"/>
    <n v="19220.95"/>
    <m/>
    <n v="19220.95"/>
    <x v="448"/>
    <s v="NaviMumbai"/>
    <s v="B2C"/>
    <n v="2967"/>
  </r>
  <r>
    <x v="2457"/>
    <x v="4"/>
    <s v="Graphic Tee"/>
    <n v="6"/>
    <n v="1239.75"/>
    <n v="7438.5"/>
    <m/>
    <n v="7438.5"/>
    <x v="4"/>
    <s v="Mumbai"/>
    <s v="B2C"/>
    <n v="715.1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n v="1000"/>
    <x v="0"/>
    <x v="0"/>
    <x v="0"/>
    <n v="4"/>
    <n v="842"/>
    <n v="3368"/>
    <x v="0"/>
    <n v="1347.2"/>
    <x v="0"/>
    <x v="0"/>
    <x v="0"/>
    <n v="2137.4499999999998"/>
  </r>
  <r>
    <n v="1001"/>
    <x v="1"/>
    <x v="0"/>
    <x v="0"/>
    <n v="1"/>
    <m/>
    <n v="0"/>
    <x v="1"/>
    <n v="0"/>
    <x v="1"/>
    <x v="1"/>
    <x v="0"/>
    <n v="1588.15"/>
  </r>
  <r>
    <n v="1002"/>
    <x v="2"/>
    <x v="1"/>
    <x v="1"/>
    <n v="1"/>
    <n v="637.82000000000005"/>
    <n v="637.82000000000005"/>
    <x v="1"/>
    <n v="637.82000000000005"/>
    <x v="2"/>
    <x v="2"/>
    <x v="1"/>
    <n v="-158.03"/>
  </r>
  <r>
    <n v="1003"/>
    <x v="3"/>
    <x v="2"/>
    <x v="2"/>
    <n v="2"/>
    <n v="2962.27"/>
    <n v="5924.54"/>
    <x v="1"/>
    <n v="5924.54"/>
    <x v="3"/>
    <x v="3"/>
    <x v="1"/>
    <n v="2296.5"/>
  </r>
  <r>
    <n v="1004"/>
    <x v="4"/>
    <x v="3"/>
    <x v="3"/>
    <n v="1"/>
    <n v="2881.07"/>
    <n v="2881.07"/>
    <x v="2"/>
    <n v="2103.1811000000002"/>
    <x v="4"/>
    <x v="4"/>
    <x v="0"/>
    <n v="63.66"/>
  </r>
  <r>
    <n v="1005"/>
    <x v="5"/>
    <x v="4"/>
    <x v="4"/>
    <n v="2"/>
    <m/>
    <n v="0"/>
    <x v="1"/>
    <n v="0"/>
    <x v="5"/>
    <x v="2"/>
    <x v="1"/>
    <n v="1477.73"/>
  </r>
  <r>
    <n v="1006"/>
    <x v="6"/>
    <x v="0"/>
    <x v="5"/>
    <n v="1"/>
    <n v="2060.85"/>
    <n v="2060.85"/>
    <x v="1"/>
    <n v="2060.85"/>
    <x v="6"/>
    <x v="1"/>
    <x v="1"/>
    <n v="198.36"/>
  </r>
  <r>
    <n v="1007"/>
    <x v="7"/>
    <x v="5"/>
    <x v="6"/>
    <n v="2"/>
    <n v="3669.56"/>
    <n v="7339.12"/>
    <x v="1"/>
    <n v="7339.12"/>
    <x v="4"/>
    <x v="3"/>
    <x v="0"/>
    <n v="2490.0100000000002"/>
  </r>
  <r>
    <n v="1008"/>
    <x v="8"/>
    <x v="3"/>
    <x v="7"/>
    <n v="2"/>
    <m/>
    <n v="0"/>
    <x v="1"/>
    <n v="0"/>
    <x v="4"/>
    <x v="1"/>
    <x v="0"/>
    <n v="-886.8"/>
  </r>
  <r>
    <n v="1009"/>
    <x v="9"/>
    <x v="4"/>
    <x v="8"/>
    <n v="5"/>
    <m/>
    <n v="0"/>
    <x v="1"/>
    <n v="0"/>
    <x v="7"/>
    <x v="3"/>
    <x v="1"/>
    <n v="-972.73"/>
  </r>
  <r>
    <n v="1010"/>
    <x v="10"/>
    <x v="4"/>
    <x v="4"/>
    <n v="0"/>
    <n v="4007.02"/>
    <n v="0"/>
    <x v="1"/>
    <n v="0"/>
    <x v="4"/>
    <x v="5"/>
    <x v="1"/>
    <n v="-950.38"/>
  </r>
  <r>
    <n v="1011"/>
    <x v="11"/>
    <x v="3"/>
    <x v="3"/>
    <n v="0"/>
    <m/>
    <n v="0"/>
    <x v="1"/>
    <n v="0"/>
    <x v="8"/>
    <x v="0"/>
    <x v="0"/>
    <n v="1370.67"/>
  </r>
  <r>
    <n v="1012"/>
    <x v="12"/>
    <x v="0"/>
    <x v="9"/>
    <n v="4"/>
    <m/>
    <n v="0"/>
    <x v="3"/>
    <n v="0"/>
    <x v="9"/>
    <x v="1"/>
    <x v="0"/>
    <n v="843.61"/>
  </r>
  <r>
    <n v="1013"/>
    <x v="13"/>
    <x v="4"/>
    <x v="4"/>
    <n v="2"/>
    <m/>
    <n v="0"/>
    <x v="4"/>
    <n v="0"/>
    <x v="4"/>
    <x v="5"/>
    <x v="0"/>
    <n v="1279.58"/>
  </r>
  <r>
    <n v="1014"/>
    <x v="14"/>
    <x v="2"/>
    <x v="2"/>
    <n v="4"/>
    <m/>
    <n v="0"/>
    <x v="1"/>
    <n v="0"/>
    <x v="10"/>
    <x v="4"/>
    <x v="0"/>
    <n v="-889.25"/>
  </r>
  <r>
    <n v="1015"/>
    <x v="15"/>
    <x v="2"/>
    <x v="10"/>
    <n v="6"/>
    <m/>
    <n v="0"/>
    <x v="1"/>
    <n v="0"/>
    <x v="4"/>
    <x v="1"/>
    <x v="0"/>
    <n v="793.8"/>
  </r>
  <r>
    <n v="1016"/>
    <x v="16"/>
    <x v="4"/>
    <x v="4"/>
    <n v="2"/>
    <m/>
    <n v="0"/>
    <x v="1"/>
    <n v="0"/>
    <x v="11"/>
    <x v="4"/>
    <x v="1"/>
    <n v="1881.89"/>
  </r>
  <r>
    <n v="1017"/>
    <x v="17"/>
    <x v="4"/>
    <x v="8"/>
    <n v="3"/>
    <n v="468.53"/>
    <n v="1405.59"/>
    <x v="1"/>
    <n v="1405.59"/>
    <x v="4"/>
    <x v="2"/>
    <x v="1"/>
    <n v="-195.65"/>
  </r>
  <r>
    <n v="1018"/>
    <x v="18"/>
    <x v="5"/>
    <x v="11"/>
    <n v="4"/>
    <m/>
    <n v="0"/>
    <x v="1"/>
    <n v="0"/>
    <x v="12"/>
    <x v="3"/>
    <x v="0"/>
    <n v="2102.56"/>
  </r>
  <r>
    <n v="1019"/>
    <x v="19"/>
    <x v="5"/>
    <x v="6"/>
    <n v="2"/>
    <n v="4064.4"/>
    <n v="8128.8"/>
    <x v="5"/>
    <n v="2438.6400000000003"/>
    <x v="13"/>
    <x v="1"/>
    <x v="0"/>
    <n v="877.21"/>
  </r>
  <r>
    <n v="1020"/>
    <x v="20"/>
    <x v="0"/>
    <x v="5"/>
    <n v="1"/>
    <m/>
    <n v="0"/>
    <x v="1"/>
    <n v="0"/>
    <x v="14"/>
    <x v="5"/>
    <x v="1"/>
    <n v="669.75"/>
  </r>
  <r>
    <n v="1021"/>
    <x v="21"/>
    <x v="5"/>
    <x v="12"/>
    <n v="2"/>
    <m/>
    <n v="0"/>
    <x v="1"/>
    <n v="0"/>
    <x v="15"/>
    <x v="3"/>
    <x v="1"/>
    <n v="-705.72"/>
  </r>
  <r>
    <n v="1031"/>
    <x v="22"/>
    <x v="5"/>
    <x v="12"/>
    <n v="2"/>
    <n v="1872.05"/>
    <n v="3744.1"/>
    <x v="6"/>
    <n v="3182.4849999999997"/>
    <x v="8"/>
    <x v="5"/>
    <x v="0"/>
    <n v="-863.9"/>
  </r>
  <r>
    <n v="1023"/>
    <x v="23"/>
    <x v="2"/>
    <x v="13"/>
    <n v="2"/>
    <m/>
    <n v="0"/>
    <x v="1"/>
    <n v="0"/>
    <x v="4"/>
    <x v="2"/>
    <x v="0"/>
    <n v="-875.51"/>
  </r>
  <r>
    <n v="1024"/>
    <x v="24"/>
    <x v="1"/>
    <x v="1"/>
    <n v="-2"/>
    <m/>
    <n v="0"/>
    <x v="7"/>
    <n v="0"/>
    <x v="16"/>
    <x v="0"/>
    <x v="1"/>
    <n v="491.1"/>
  </r>
  <r>
    <n v="1025"/>
    <x v="25"/>
    <x v="0"/>
    <x v="9"/>
    <n v="4"/>
    <n v="4595.08"/>
    <n v="18380.32"/>
    <x v="1"/>
    <n v="18380.32"/>
    <x v="17"/>
    <x v="3"/>
    <x v="0"/>
    <n v="330.82"/>
  </r>
  <r>
    <n v="1026"/>
    <x v="26"/>
    <x v="3"/>
    <x v="7"/>
    <n v="2"/>
    <m/>
    <n v="0"/>
    <x v="1"/>
    <n v="0"/>
    <x v="18"/>
    <x v="1"/>
    <x v="1"/>
    <n v="-194.77"/>
  </r>
  <r>
    <n v="1027"/>
    <x v="27"/>
    <x v="3"/>
    <x v="3"/>
    <n v="1"/>
    <m/>
    <n v="0"/>
    <x v="1"/>
    <n v="0"/>
    <x v="4"/>
    <x v="4"/>
    <x v="1"/>
    <n v="1085.3599999999999"/>
  </r>
  <r>
    <n v="1028"/>
    <x v="28"/>
    <x v="4"/>
    <x v="14"/>
    <n v="-2"/>
    <m/>
    <n v="0"/>
    <x v="1"/>
    <n v="0"/>
    <x v="4"/>
    <x v="4"/>
    <x v="1"/>
    <n v="2060.0300000000002"/>
  </r>
  <r>
    <n v="1029"/>
    <x v="29"/>
    <x v="4"/>
    <x v="14"/>
    <n v="4"/>
    <m/>
    <n v="0"/>
    <x v="1"/>
    <n v="0"/>
    <x v="4"/>
    <x v="2"/>
    <x v="0"/>
    <n v="1737.92"/>
  </r>
  <r>
    <n v="1030"/>
    <x v="30"/>
    <x v="5"/>
    <x v="11"/>
    <n v="3"/>
    <n v="1069.77"/>
    <n v="3209.31"/>
    <x v="1"/>
    <n v="3209.31"/>
    <x v="19"/>
    <x v="4"/>
    <x v="0"/>
    <n v="1155.3800000000001"/>
  </r>
  <r>
    <n v="1031"/>
    <x v="31"/>
    <x v="5"/>
    <x v="12"/>
    <n v="4"/>
    <m/>
    <n v="0"/>
    <x v="1"/>
    <n v="0"/>
    <x v="20"/>
    <x v="3"/>
    <x v="1"/>
    <n v="-960.24"/>
  </r>
  <r>
    <n v="1032"/>
    <x v="32"/>
    <x v="0"/>
    <x v="5"/>
    <n v="2"/>
    <n v="2182.0100000000002"/>
    <n v="4364.0200000000004"/>
    <x v="1"/>
    <n v="4364.0200000000004"/>
    <x v="21"/>
    <x v="0"/>
    <x v="0"/>
    <n v="1377.61"/>
  </r>
  <r>
    <n v="1033"/>
    <x v="33"/>
    <x v="0"/>
    <x v="9"/>
    <n v="2"/>
    <m/>
    <n v="0"/>
    <x v="1"/>
    <n v="0"/>
    <x v="22"/>
    <x v="4"/>
    <x v="1"/>
    <n v="903.69"/>
  </r>
  <r>
    <n v="1034"/>
    <x v="34"/>
    <x v="1"/>
    <x v="1"/>
    <n v="0"/>
    <n v="4449.3599999999997"/>
    <n v="0"/>
    <x v="8"/>
    <n v="0"/>
    <x v="23"/>
    <x v="0"/>
    <x v="1"/>
    <n v="-282.68"/>
  </r>
  <r>
    <n v="1035"/>
    <x v="35"/>
    <x v="1"/>
    <x v="15"/>
    <n v="-1"/>
    <m/>
    <n v="0"/>
    <x v="8"/>
    <n v="0"/>
    <x v="4"/>
    <x v="1"/>
    <x v="0"/>
    <n v="-199.18"/>
  </r>
  <r>
    <n v="1036"/>
    <x v="36"/>
    <x v="4"/>
    <x v="16"/>
    <n v="-2"/>
    <n v="2721.83"/>
    <n v="-5443.66"/>
    <x v="1"/>
    <n v="-5443.66"/>
    <x v="24"/>
    <x v="1"/>
    <x v="1"/>
    <n v="1213.95"/>
  </r>
  <r>
    <n v="1037"/>
    <x v="37"/>
    <x v="3"/>
    <x v="7"/>
    <n v="2"/>
    <m/>
    <n v="0"/>
    <x v="9"/>
    <n v="0"/>
    <x v="4"/>
    <x v="1"/>
    <x v="1"/>
    <n v="907.77"/>
  </r>
  <r>
    <n v="1038"/>
    <x v="38"/>
    <x v="4"/>
    <x v="4"/>
    <n v="3"/>
    <n v="1692.38"/>
    <n v="5077.1400000000003"/>
    <x v="1"/>
    <n v="5077.1400000000003"/>
    <x v="25"/>
    <x v="3"/>
    <x v="0"/>
    <n v="1704.49"/>
  </r>
  <r>
    <n v="1039"/>
    <x v="39"/>
    <x v="2"/>
    <x v="17"/>
    <n v="2"/>
    <n v="1372.16"/>
    <n v="2744.32"/>
    <x v="10"/>
    <n v="1207.5008"/>
    <x v="26"/>
    <x v="4"/>
    <x v="0"/>
    <n v="1626.51"/>
  </r>
  <r>
    <n v="1040"/>
    <x v="40"/>
    <x v="1"/>
    <x v="18"/>
    <n v="2"/>
    <m/>
    <n v="0"/>
    <x v="1"/>
    <n v="0"/>
    <x v="27"/>
    <x v="1"/>
    <x v="0"/>
    <n v="693.6"/>
  </r>
  <r>
    <n v="1041"/>
    <x v="41"/>
    <x v="1"/>
    <x v="1"/>
    <n v="2"/>
    <m/>
    <n v="0"/>
    <x v="1"/>
    <n v="0"/>
    <x v="28"/>
    <x v="1"/>
    <x v="0"/>
    <n v="-983.06"/>
  </r>
  <r>
    <n v="1042"/>
    <x v="42"/>
    <x v="5"/>
    <x v="19"/>
    <n v="2"/>
    <m/>
    <n v="0"/>
    <x v="1"/>
    <n v="0"/>
    <x v="29"/>
    <x v="5"/>
    <x v="0"/>
    <n v="283.39"/>
  </r>
  <r>
    <n v="1043"/>
    <x v="43"/>
    <x v="4"/>
    <x v="16"/>
    <n v="2"/>
    <n v="4575.93"/>
    <n v="9151.86"/>
    <x v="10"/>
    <n v="4026.8183999999997"/>
    <x v="30"/>
    <x v="1"/>
    <x v="0"/>
    <n v="442.14"/>
  </r>
  <r>
    <n v="1044"/>
    <x v="44"/>
    <x v="4"/>
    <x v="14"/>
    <n v="2"/>
    <m/>
    <n v="0"/>
    <x v="1"/>
    <n v="0"/>
    <x v="31"/>
    <x v="3"/>
    <x v="1"/>
    <n v="-80.23"/>
  </r>
  <r>
    <n v="1045"/>
    <x v="45"/>
    <x v="3"/>
    <x v="7"/>
    <n v="2"/>
    <n v="3477.16"/>
    <n v="6954.32"/>
    <x v="1"/>
    <n v="6954.32"/>
    <x v="32"/>
    <x v="4"/>
    <x v="1"/>
    <n v="1323.75"/>
  </r>
  <r>
    <n v="1046"/>
    <x v="46"/>
    <x v="0"/>
    <x v="0"/>
    <n v="-1"/>
    <n v="2441.92"/>
    <n v="-2441.92"/>
    <x v="11"/>
    <n v="-195.35359999999991"/>
    <x v="4"/>
    <x v="0"/>
    <x v="0"/>
    <n v="1004.91"/>
  </r>
  <r>
    <n v="1047"/>
    <x v="47"/>
    <x v="0"/>
    <x v="9"/>
    <n v="3"/>
    <m/>
    <n v="0"/>
    <x v="1"/>
    <n v="0"/>
    <x v="33"/>
    <x v="4"/>
    <x v="0"/>
    <n v="-395.76"/>
  </r>
  <r>
    <n v="1048"/>
    <x v="48"/>
    <x v="0"/>
    <x v="9"/>
    <n v="5"/>
    <m/>
    <n v="0"/>
    <x v="12"/>
    <n v="0"/>
    <x v="34"/>
    <x v="0"/>
    <x v="0"/>
    <n v="2409.2600000000002"/>
  </r>
  <r>
    <n v="1049"/>
    <x v="49"/>
    <x v="4"/>
    <x v="16"/>
    <n v="2"/>
    <m/>
    <n v="0"/>
    <x v="1"/>
    <n v="0"/>
    <x v="4"/>
    <x v="2"/>
    <x v="0"/>
    <n v="19.87"/>
  </r>
  <r>
    <n v="1050"/>
    <x v="50"/>
    <x v="0"/>
    <x v="0"/>
    <n v="-1"/>
    <n v="1083.1600000000001"/>
    <n v="-1083.1600000000001"/>
    <x v="1"/>
    <n v="-1083.1600000000001"/>
    <x v="35"/>
    <x v="5"/>
    <x v="0"/>
    <n v="2904.29"/>
  </r>
  <r>
    <n v="1051"/>
    <x v="51"/>
    <x v="0"/>
    <x v="5"/>
    <n v="2"/>
    <m/>
    <n v="0"/>
    <x v="13"/>
    <n v="0"/>
    <x v="36"/>
    <x v="0"/>
    <x v="0"/>
    <n v="2857.9"/>
  </r>
  <r>
    <n v="1052"/>
    <x v="52"/>
    <x v="0"/>
    <x v="20"/>
    <n v="2"/>
    <n v="3252.49"/>
    <n v="6504.98"/>
    <x v="10"/>
    <n v="2862.1911999999993"/>
    <x v="37"/>
    <x v="3"/>
    <x v="0"/>
    <n v="-11.15"/>
  </r>
  <r>
    <n v="1053"/>
    <x v="53"/>
    <x v="5"/>
    <x v="11"/>
    <n v="2"/>
    <n v="714.23"/>
    <n v="1428.46"/>
    <x v="14"/>
    <n v="-414.25340000000006"/>
    <x v="38"/>
    <x v="0"/>
    <x v="0"/>
    <n v="1057.24"/>
  </r>
  <r>
    <n v="1054"/>
    <x v="54"/>
    <x v="4"/>
    <x v="14"/>
    <n v="2"/>
    <m/>
    <n v="0"/>
    <x v="1"/>
    <n v="0"/>
    <x v="39"/>
    <x v="5"/>
    <x v="0"/>
    <n v="1002.96"/>
  </r>
  <r>
    <n v="1055"/>
    <x v="55"/>
    <x v="0"/>
    <x v="5"/>
    <n v="0"/>
    <m/>
    <n v="0"/>
    <x v="1"/>
    <n v="0"/>
    <x v="40"/>
    <x v="5"/>
    <x v="1"/>
    <n v="1374.9"/>
  </r>
  <r>
    <n v="1056"/>
    <x v="56"/>
    <x v="3"/>
    <x v="7"/>
    <n v="6"/>
    <m/>
    <n v="0"/>
    <x v="1"/>
    <n v="0"/>
    <x v="41"/>
    <x v="2"/>
    <x v="0"/>
    <n v="-343.36"/>
  </r>
  <r>
    <n v="1057"/>
    <x v="57"/>
    <x v="1"/>
    <x v="1"/>
    <n v="4"/>
    <m/>
    <n v="0"/>
    <x v="15"/>
    <n v="0"/>
    <x v="42"/>
    <x v="5"/>
    <x v="0"/>
    <n v="1725.76"/>
  </r>
  <r>
    <n v="1058"/>
    <x v="58"/>
    <x v="4"/>
    <x v="8"/>
    <n v="2"/>
    <n v="3982.53"/>
    <n v="7965.06"/>
    <x v="16"/>
    <n v="-637.20480000000055"/>
    <x v="43"/>
    <x v="5"/>
    <x v="0"/>
    <n v="1912.49"/>
  </r>
  <r>
    <n v="1059"/>
    <x v="59"/>
    <x v="0"/>
    <x v="5"/>
    <n v="0"/>
    <n v="2927.57"/>
    <n v="0"/>
    <x v="17"/>
    <n v="0"/>
    <x v="4"/>
    <x v="0"/>
    <x v="0"/>
    <n v="2218.42"/>
  </r>
  <r>
    <n v="1060"/>
    <x v="60"/>
    <x v="0"/>
    <x v="20"/>
    <n v="2"/>
    <n v="2813.51"/>
    <n v="5627.02"/>
    <x v="1"/>
    <n v="5627.02"/>
    <x v="44"/>
    <x v="5"/>
    <x v="0"/>
    <n v="94.96"/>
  </r>
  <r>
    <n v="1061"/>
    <x v="61"/>
    <x v="3"/>
    <x v="3"/>
    <n v="2"/>
    <n v="2291.15"/>
    <n v="4582.3"/>
    <x v="18"/>
    <n v="3070.1409999999996"/>
    <x v="45"/>
    <x v="2"/>
    <x v="1"/>
    <n v="2536.3000000000002"/>
  </r>
  <r>
    <n v="1062"/>
    <x v="62"/>
    <x v="0"/>
    <x v="20"/>
    <n v="-1"/>
    <m/>
    <n v="0"/>
    <x v="1"/>
    <n v="0"/>
    <x v="4"/>
    <x v="5"/>
    <x v="0"/>
    <n v="328.72"/>
  </r>
  <r>
    <n v="1063"/>
    <x v="63"/>
    <x v="4"/>
    <x v="16"/>
    <n v="1"/>
    <m/>
    <n v="0"/>
    <x v="1"/>
    <n v="0"/>
    <x v="46"/>
    <x v="3"/>
    <x v="0"/>
    <n v="2147.75"/>
  </r>
  <r>
    <n v="1064"/>
    <x v="64"/>
    <x v="1"/>
    <x v="18"/>
    <n v="2"/>
    <m/>
    <n v="0"/>
    <x v="19"/>
    <n v="0"/>
    <x v="4"/>
    <x v="3"/>
    <x v="0"/>
    <n v="-901.74"/>
  </r>
  <r>
    <n v="1065"/>
    <x v="65"/>
    <x v="0"/>
    <x v="5"/>
    <n v="5"/>
    <m/>
    <n v="0"/>
    <x v="1"/>
    <n v="0"/>
    <x v="47"/>
    <x v="3"/>
    <x v="0"/>
    <n v="2316.9699999999998"/>
  </r>
  <r>
    <n v="1066"/>
    <x v="66"/>
    <x v="2"/>
    <x v="13"/>
    <n v="-2"/>
    <n v="3479.44"/>
    <n v="-6958.88"/>
    <x v="1"/>
    <n v="-6958.88"/>
    <x v="48"/>
    <x v="0"/>
    <x v="0"/>
    <n v="-252.78"/>
  </r>
  <r>
    <n v="1067"/>
    <x v="67"/>
    <x v="5"/>
    <x v="6"/>
    <n v="2"/>
    <n v="3945.25"/>
    <n v="7890.5"/>
    <x v="1"/>
    <n v="7890.5"/>
    <x v="49"/>
    <x v="3"/>
    <x v="1"/>
    <n v="305.55"/>
  </r>
  <r>
    <n v="1068"/>
    <x v="68"/>
    <x v="5"/>
    <x v="12"/>
    <n v="4"/>
    <n v="2765.26"/>
    <n v="11061.04"/>
    <x v="1"/>
    <n v="11061.04"/>
    <x v="4"/>
    <x v="1"/>
    <x v="0"/>
    <n v="1719.9"/>
  </r>
  <r>
    <n v="1069"/>
    <x v="69"/>
    <x v="3"/>
    <x v="21"/>
    <n v="2"/>
    <n v="2102.02"/>
    <n v="4204.04"/>
    <x v="20"/>
    <n v="-546.52519999999959"/>
    <x v="50"/>
    <x v="0"/>
    <x v="1"/>
    <n v="-992.61"/>
  </r>
  <r>
    <n v="1070"/>
    <x v="70"/>
    <x v="1"/>
    <x v="22"/>
    <n v="5"/>
    <m/>
    <n v="0"/>
    <x v="1"/>
    <n v="0"/>
    <x v="51"/>
    <x v="4"/>
    <x v="1"/>
    <n v="1383.48"/>
  </r>
  <r>
    <n v="1071"/>
    <x v="71"/>
    <x v="3"/>
    <x v="7"/>
    <n v="2"/>
    <n v="1000.76"/>
    <n v="2001.52"/>
    <x v="1"/>
    <n v="2001.52"/>
    <x v="4"/>
    <x v="0"/>
    <x v="1"/>
    <n v="2131.4299999999998"/>
  </r>
  <r>
    <n v="1072"/>
    <x v="72"/>
    <x v="5"/>
    <x v="11"/>
    <n v="2"/>
    <m/>
    <n v="0"/>
    <x v="1"/>
    <n v="0"/>
    <x v="4"/>
    <x v="3"/>
    <x v="0"/>
    <n v="2878.09"/>
  </r>
  <r>
    <n v="1073"/>
    <x v="73"/>
    <x v="0"/>
    <x v="9"/>
    <n v="-2"/>
    <m/>
    <n v="0"/>
    <x v="21"/>
    <n v="0"/>
    <x v="4"/>
    <x v="5"/>
    <x v="0"/>
    <n v="368.69"/>
  </r>
  <r>
    <n v="1074"/>
    <x v="74"/>
    <x v="5"/>
    <x v="6"/>
    <n v="-2"/>
    <m/>
    <n v="0"/>
    <x v="22"/>
    <n v="0"/>
    <x v="21"/>
    <x v="4"/>
    <x v="0"/>
    <n v="192.91"/>
  </r>
  <r>
    <n v="1075"/>
    <x v="75"/>
    <x v="4"/>
    <x v="4"/>
    <n v="2"/>
    <n v="795.85"/>
    <n v="1591.7"/>
    <x v="1"/>
    <n v="1591.7"/>
    <x v="4"/>
    <x v="5"/>
    <x v="1"/>
    <n v="2418.8000000000002"/>
  </r>
  <r>
    <n v="1076"/>
    <x v="76"/>
    <x v="4"/>
    <x v="8"/>
    <n v="2"/>
    <m/>
    <n v="0"/>
    <x v="1"/>
    <n v="0"/>
    <x v="52"/>
    <x v="3"/>
    <x v="0"/>
    <n v="1408.61"/>
  </r>
  <r>
    <n v="1077"/>
    <x v="77"/>
    <x v="4"/>
    <x v="8"/>
    <n v="2"/>
    <m/>
    <n v="0"/>
    <x v="1"/>
    <n v="0"/>
    <x v="53"/>
    <x v="4"/>
    <x v="1"/>
    <n v="902.52"/>
  </r>
  <r>
    <n v="1078"/>
    <x v="78"/>
    <x v="1"/>
    <x v="22"/>
    <n v="2"/>
    <n v="4059.56"/>
    <n v="8119.12"/>
    <x v="1"/>
    <n v="8119.12"/>
    <x v="54"/>
    <x v="5"/>
    <x v="0"/>
    <n v="-819.94"/>
  </r>
  <r>
    <n v="1079"/>
    <x v="79"/>
    <x v="4"/>
    <x v="14"/>
    <n v="2"/>
    <m/>
    <n v="0"/>
    <x v="1"/>
    <n v="0"/>
    <x v="4"/>
    <x v="4"/>
    <x v="1"/>
    <n v="-22.55"/>
  </r>
  <r>
    <n v="1080"/>
    <x v="80"/>
    <x v="4"/>
    <x v="4"/>
    <n v="2"/>
    <n v="3872.22"/>
    <n v="7744.44"/>
    <x v="23"/>
    <n v="-1161.6659999999993"/>
    <x v="4"/>
    <x v="2"/>
    <x v="0"/>
    <n v="-302.97000000000003"/>
  </r>
  <r>
    <n v="1081"/>
    <x v="81"/>
    <x v="0"/>
    <x v="5"/>
    <n v="6"/>
    <n v="4798.0600000000004"/>
    <n v="28788.36"/>
    <x v="24"/>
    <n v="5469.7883999999985"/>
    <x v="4"/>
    <x v="4"/>
    <x v="1"/>
    <n v="-361.78"/>
  </r>
  <r>
    <n v="1082"/>
    <x v="82"/>
    <x v="5"/>
    <x v="19"/>
    <n v="0"/>
    <m/>
    <n v="0"/>
    <x v="1"/>
    <n v="0"/>
    <x v="4"/>
    <x v="3"/>
    <x v="1"/>
    <n v="712.91"/>
  </r>
  <r>
    <n v="1083"/>
    <x v="83"/>
    <x v="1"/>
    <x v="15"/>
    <n v="1"/>
    <m/>
    <n v="0"/>
    <x v="25"/>
    <n v="0"/>
    <x v="4"/>
    <x v="5"/>
    <x v="1"/>
    <n v="-612.62"/>
  </r>
  <r>
    <n v="1084"/>
    <x v="84"/>
    <x v="2"/>
    <x v="2"/>
    <n v="2"/>
    <m/>
    <n v="0"/>
    <x v="26"/>
    <n v="0"/>
    <x v="55"/>
    <x v="5"/>
    <x v="1"/>
    <n v="2458.0700000000002"/>
  </r>
  <r>
    <n v="1085"/>
    <x v="85"/>
    <x v="2"/>
    <x v="13"/>
    <n v="2"/>
    <m/>
    <n v="0"/>
    <x v="27"/>
    <n v="0"/>
    <x v="56"/>
    <x v="5"/>
    <x v="1"/>
    <n v="264.73"/>
  </r>
  <r>
    <n v="1086"/>
    <x v="86"/>
    <x v="3"/>
    <x v="7"/>
    <n v="2"/>
    <n v="948.33"/>
    <n v="1896.66"/>
    <x v="28"/>
    <n v="1024.1964"/>
    <x v="57"/>
    <x v="3"/>
    <x v="0"/>
    <n v="-865.22"/>
  </r>
  <r>
    <n v="1087"/>
    <x v="87"/>
    <x v="0"/>
    <x v="20"/>
    <n v="2"/>
    <n v="1976.75"/>
    <n v="3953.5"/>
    <x v="24"/>
    <n v="751.16499999999974"/>
    <x v="35"/>
    <x v="2"/>
    <x v="0"/>
    <n v="2790.95"/>
  </r>
  <r>
    <n v="1088"/>
    <x v="88"/>
    <x v="3"/>
    <x v="23"/>
    <n v="2"/>
    <n v="3891.14"/>
    <n v="7782.28"/>
    <x v="1"/>
    <n v="7782.28"/>
    <x v="58"/>
    <x v="5"/>
    <x v="0"/>
    <n v="1374.27"/>
  </r>
  <r>
    <n v="1089"/>
    <x v="89"/>
    <x v="2"/>
    <x v="13"/>
    <n v="2"/>
    <n v="1412.17"/>
    <n v="2824.34"/>
    <x v="29"/>
    <n v="338.92079999999999"/>
    <x v="59"/>
    <x v="2"/>
    <x v="0"/>
    <n v="-355.26"/>
  </r>
  <r>
    <n v="1090"/>
    <x v="90"/>
    <x v="2"/>
    <x v="13"/>
    <n v="5"/>
    <n v="2477.8200000000002"/>
    <n v="12389.1"/>
    <x v="1"/>
    <n v="12389.1"/>
    <x v="60"/>
    <x v="1"/>
    <x v="0"/>
    <n v="-888.86"/>
  </r>
  <r>
    <n v="1091"/>
    <x v="91"/>
    <x v="3"/>
    <x v="3"/>
    <n v="1"/>
    <m/>
    <n v="0"/>
    <x v="1"/>
    <n v="0"/>
    <x v="61"/>
    <x v="0"/>
    <x v="0"/>
    <n v="156.43"/>
  </r>
  <r>
    <n v="1092"/>
    <x v="92"/>
    <x v="5"/>
    <x v="19"/>
    <n v="2"/>
    <m/>
    <n v="0"/>
    <x v="1"/>
    <n v="0"/>
    <x v="4"/>
    <x v="5"/>
    <x v="0"/>
    <n v="1122.6600000000001"/>
  </r>
  <r>
    <n v="1093"/>
    <x v="93"/>
    <x v="5"/>
    <x v="19"/>
    <n v="-2"/>
    <m/>
    <n v="0"/>
    <x v="1"/>
    <n v="0"/>
    <x v="62"/>
    <x v="3"/>
    <x v="1"/>
    <n v="2966.76"/>
  </r>
  <r>
    <n v="1094"/>
    <x v="94"/>
    <x v="1"/>
    <x v="18"/>
    <n v="-1"/>
    <n v="4741.41"/>
    <n v="-4741.41"/>
    <x v="1"/>
    <n v="-4741.41"/>
    <x v="4"/>
    <x v="2"/>
    <x v="0"/>
    <n v="1901.7"/>
  </r>
  <r>
    <n v="1035"/>
    <x v="95"/>
    <x v="3"/>
    <x v="3"/>
    <n v="2"/>
    <m/>
    <n v="0"/>
    <x v="1"/>
    <n v="0"/>
    <x v="63"/>
    <x v="2"/>
    <x v="0"/>
    <n v="1539.59"/>
  </r>
  <r>
    <n v="1033"/>
    <x v="96"/>
    <x v="3"/>
    <x v="3"/>
    <n v="2"/>
    <n v="421.92"/>
    <n v="843.84"/>
    <x v="1"/>
    <n v="843.84"/>
    <x v="4"/>
    <x v="4"/>
    <x v="0"/>
    <n v="2969.19"/>
  </r>
  <r>
    <n v="1097"/>
    <x v="97"/>
    <x v="3"/>
    <x v="7"/>
    <n v="0"/>
    <m/>
    <n v="0"/>
    <x v="1"/>
    <n v="0"/>
    <x v="64"/>
    <x v="2"/>
    <x v="0"/>
    <n v="1141.1500000000001"/>
  </r>
  <r>
    <n v="1098"/>
    <x v="98"/>
    <x v="3"/>
    <x v="23"/>
    <n v="0"/>
    <n v="4752.04"/>
    <n v="0"/>
    <x v="1"/>
    <n v="0"/>
    <x v="65"/>
    <x v="1"/>
    <x v="0"/>
    <n v="129.37"/>
  </r>
  <r>
    <n v="1099"/>
    <x v="99"/>
    <x v="2"/>
    <x v="2"/>
    <n v="2"/>
    <m/>
    <n v="0"/>
    <x v="1"/>
    <n v="0"/>
    <x v="66"/>
    <x v="5"/>
    <x v="1"/>
    <n v="300.02"/>
  </r>
  <r>
    <n v="1100"/>
    <x v="100"/>
    <x v="2"/>
    <x v="17"/>
    <n v="2"/>
    <n v="2011.73"/>
    <n v="4023.46"/>
    <x v="1"/>
    <n v="4023.46"/>
    <x v="67"/>
    <x v="4"/>
    <x v="0"/>
    <n v="2493.5"/>
  </r>
  <r>
    <n v="1101"/>
    <x v="101"/>
    <x v="0"/>
    <x v="5"/>
    <n v="2"/>
    <m/>
    <n v="0"/>
    <x v="30"/>
    <n v="0"/>
    <x v="68"/>
    <x v="5"/>
    <x v="0"/>
    <n v="2962.73"/>
  </r>
  <r>
    <n v="1102"/>
    <x v="102"/>
    <x v="0"/>
    <x v="5"/>
    <n v="5"/>
    <m/>
    <n v="0"/>
    <x v="1"/>
    <n v="0"/>
    <x v="69"/>
    <x v="4"/>
    <x v="0"/>
    <n v="2776.7"/>
  </r>
  <r>
    <n v="1103"/>
    <x v="103"/>
    <x v="5"/>
    <x v="19"/>
    <n v="5"/>
    <n v="1521.46"/>
    <n v="7607.3"/>
    <x v="1"/>
    <n v="7607.3"/>
    <x v="70"/>
    <x v="3"/>
    <x v="1"/>
    <n v="1713.47"/>
  </r>
  <r>
    <n v="1104"/>
    <x v="104"/>
    <x v="5"/>
    <x v="11"/>
    <n v="3"/>
    <n v="2752.71"/>
    <n v="8258.130000000001"/>
    <x v="1"/>
    <n v="8258.130000000001"/>
    <x v="71"/>
    <x v="1"/>
    <x v="1"/>
    <n v="1660.01"/>
  </r>
  <r>
    <n v="1105"/>
    <x v="105"/>
    <x v="5"/>
    <x v="11"/>
    <n v="-2"/>
    <m/>
    <n v="0"/>
    <x v="1"/>
    <n v="0"/>
    <x v="4"/>
    <x v="1"/>
    <x v="1"/>
    <n v="616.04"/>
  </r>
  <r>
    <n v="1106"/>
    <x v="106"/>
    <x v="0"/>
    <x v="5"/>
    <n v="3"/>
    <m/>
    <n v="0"/>
    <x v="1"/>
    <n v="0"/>
    <x v="72"/>
    <x v="5"/>
    <x v="0"/>
    <n v="53.28"/>
  </r>
  <r>
    <n v="1107"/>
    <x v="107"/>
    <x v="0"/>
    <x v="9"/>
    <n v="2"/>
    <n v="4948"/>
    <n v="9896"/>
    <x v="1"/>
    <n v="9896"/>
    <x v="4"/>
    <x v="0"/>
    <x v="0"/>
    <n v="1064.8599999999999"/>
  </r>
  <r>
    <n v="1036"/>
    <x v="108"/>
    <x v="0"/>
    <x v="9"/>
    <n v="1"/>
    <n v="4601.4399999999996"/>
    <n v="4601.4399999999996"/>
    <x v="1"/>
    <n v="4601.4399999999996"/>
    <x v="73"/>
    <x v="2"/>
    <x v="0"/>
    <n v="2145.66"/>
  </r>
  <r>
    <n v="1109"/>
    <x v="109"/>
    <x v="0"/>
    <x v="20"/>
    <n v="2"/>
    <m/>
    <n v="0"/>
    <x v="1"/>
    <n v="0"/>
    <x v="74"/>
    <x v="4"/>
    <x v="0"/>
    <n v="2133.58"/>
  </r>
  <r>
    <n v="1110"/>
    <x v="110"/>
    <x v="0"/>
    <x v="0"/>
    <n v="4"/>
    <m/>
    <n v="0"/>
    <x v="1"/>
    <n v="0"/>
    <x v="75"/>
    <x v="2"/>
    <x v="0"/>
    <n v="2155.6799999999998"/>
  </r>
  <r>
    <n v="1111"/>
    <x v="111"/>
    <x v="4"/>
    <x v="14"/>
    <n v="2"/>
    <m/>
    <n v="0"/>
    <x v="1"/>
    <n v="0"/>
    <x v="4"/>
    <x v="1"/>
    <x v="0"/>
    <n v="748.93"/>
  </r>
  <r>
    <n v="1112"/>
    <x v="112"/>
    <x v="5"/>
    <x v="6"/>
    <n v="2"/>
    <n v="1027.56"/>
    <n v="2055.12"/>
    <x v="1"/>
    <n v="2055.12"/>
    <x v="4"/>
    <x v="2"/>
    <x v="0"/>
    <n v="1160.17"/>
  </r>
  <r>
    <n v="1113"/>
    <x v="113"/>
    <x v="1"/>
    <x v="1"/>
    <n v="2"/>
    <n v="3864.5"/>
    <n v="7729"/>
    <x v="1"/>
    <n v="7729"/>
    <x v="4"/>
    <x v="1"/>
    <x v="0"/>
    <n v="-763.23"/>
  </r>
  <r>
    <n v="1114"/>
    <x v="114"/>
    <x v="5"/>
    <x v="19"/>
    <n v="6"/>
    <n v="568.61"/>
    <n v="3411.66"/>
    <x v="31"/>
    <n v="2729.328"/>
    <x v="76"/>
    <x v="0"/>
    <x v="0"/>
    <n v="-689.16"/>
  </r>
  <r>
    <n v="1115"/>
    <x v="115"/>
    <x v="3"/>
    <x v="3"/>
    <n v="2"/>
    <m/>
    <n v="0"/>
    <x v="1"/>
    <n v="0"/>
    <x v="3"/>
    <x v="1"/>
    <x v="0"/>
    <n v="-624.26"/>
  </r>
  <r>
    <n v="1116"/>
    <x v="116"/>
    <x v="1"/>
    <x v="15"/>
    <n v="1"/>
    <m/>
    <n v="0"/>
    <x v="1"/>
    <n v="0"/>
    <x v="77"/>
    <x v="0"/>
    <x v="0"/>
    <n v="1733.04"/>
  </r>
  <r>
    <n v="1117"/>
    <x v="117"/>
    <x v="1"/>
    <x v="1"/>
    <n v="2"/>
    <n v="3567.55"/>
    <n v="7135.1"/>
    <x v="1"/>
    <n v="7135.1"/>
    <x v="4"/>
    <x v="3"/>
    <x v="0"/>
    <n v="-455.6"/>
  </r>
  <r>
    <n v="1118"/>
    <x v="118"/>
    <x v="3"/>
    <x v="3"/>
    <n v="2"/>
    <m/>
    <n v="0"/>
    <x v="1"/>
    <n v="0"/>
    <x v="78"/>
    <x v="3"/>
    <x v="0"/>
    <n v="1039.53"/>
  </r>
  <r>
    <n v="1119"/>
    <x v="119"/>
    <x v="0"/>
    <x v="20"/>
    <n v="2"/>
    <m/>
    <n v="0"/>
    <x v="1"/>
    <n v="0"/>
    <x v="79"/>
    <x v="2"/>
    <x v="0"/>
    <n v="142.69"/>
  </r>
  <r>
    <n v="1120"/>
    <x v="120"/>
    <x v="1"/>
    <x v="1"/>
    <n v="2"/>
    <n v="4709"/>
    <n v="9418"/>
    <x v="1"/>
    <n v="9418"/>
    <x v="80"/>
    <x v="1"/>
    <x v="0"/>
    <n v="828.98"/>
  </r>
  <r>
    <n v="1121"/>
    <x v="121"/>
    <x v="2"/>
    <x v="17"/>
    <n v="2"/>
    <n v="4109.6000000000004"/>
    <n v="8219.2000000000007"/>
    <x v="32"/>
    <n v="4767.1360000000013"/>
    <x v="4"/>
    <x v="5"/>
    <x v="0"/>
    <n v="1422.36"/>
  </r>
  <r>
    <n v="1122"/>
    <x v="122"/>
    <x v="1"/>
    <x v="15"/>
    <n v="0"/>
    <n v="4745.03"/>
    <n v="0"/>
    <x v="33"/>
    <n v="0"/>
    <x v="4"/>
    <x v="2"/>
    <x v="0"/>
    <n v="2658.02"/>
  </r>
  <r>
    <n v="1123"/>
    <x v="123"/>
    <x v="3"/>
    <x v="23"/>
    <n v="5"/>
    <n v="3978.76"/>
    <n v="19893.800000000003"/>
    <x v="1"/>
    <n v="19893.800000000003"/>
    <x v="81"/>
    <x v="1"/>
    <x v="0"/>
    <n v="1494.78"/>
  </r>
  <r>
    <n v="1002"/>
    <x v="124"/>
    <x v="1"/>
    <x v="1"/>
    <n v="1"/>
    <m/>
    <n v="0"/>
    <x v="1"/>
    <n v="0"/>
    <x v="82"/>
    <x v="1"/>
    <x v="1"/>
    <n v="2513.75"/>
  </r>
  <r>
    <n v="1125"/>
    <x v="125"/>
    <x v="2"/>
    <x v="17"/>
    <n v="-2"/>
    <m/>
    <n v="0"/>
    <x v="1"/>
    <n v="0"/>
    <x v="4"/>
    <x v="0"/>
    <x v="0"/>
    <n v="-754.58"/>
  </r>
  <r>
    <n v="1126"/>
    <x v="126"/>
    <x v="0"/>
    <x v="5"/>
    <n v="2"/>
    <m/>
    <n v="0"/>
    <x v="34"/>
    <n v="0"/>
    <x v="4"/>
    <x v="5"/>
    <x v="0"/>
    <n v="1820.2"/>
  </r>
  <r>
    <n v="1127"/>
    <x v="127"/>
    <x v="5"/>
    <x v="19"/>
    <n v="3"/>
    <n v="4843.4399999999996"/>
    <n v="14530.32"/>
    <x v="35"/>
    <n v="13513.1976"/>
    <x v="83"/>
    <x v="1"/>
    <x v="1"/>
    <n v="2881.91"/>
  </r>
  <r>
    <n v="1128"/>
    <x v="128"/>
    <x v="4"/>
    <x v="8"/>
    <n v="2"/>
    <m/>
    <n v="0"/>
    <x v="36"/>
    <n v="0"/>
    <x v="4"/>
    <x v="4"/>
    <x v="0"/>
    <n v="-68.489999999999995"/>
  </r>
  <r>
    <n v="1129"/>
    <x v="129"/>
    <x v="0"/>
    <x v="5"/>
    <n v="-2"/>
    <n v="2412.36"/>
    <n v="-4824.72"/>
    <x v="37"/>
    <n v="-3715.0344000000005"/>
    <x v="84"/>
    <x v="2"/>
    <x v="0"/>
    <n v="-668.36"/>
  </r>
  <r>
    <n v="1130"/>
    <x v="5"/>
    <x v="3"/>
    <x v="7"/>
    <n v="2"/>
    <m/>
    <n v="0"/>
    <x v="1"/>
    <n v="0"/>
    <x v="4"/>
    <x v="0"/>
    <x v="1"/>
    <n v="2782.45"/>
  </r>
  <r>
    <n v="1131"/>
    <x v="130"/>
    <x v="4"/>
    <x v="14"/>
    <n v="5"/>
    <m/>
    <n v="0"/>
    <x v="38"/>
    <n v="0"/>
    <x v="64"/>
    <x v="0"/>
    <x v="0"/>
    <n v="-941.56"/>
  </r>
  <r>
    <n v="1132"/>
    <x v="131"/>
    <x v="1"/>
    <x v="15"/>
    <n v="2"/>
    <m/>
    <n v="0"/>
    <x v="39"/>
    <n v="0"/>
    <x v="4"/>
    <x v="0"/>
    <x v="1"/>
    <n v="2043.57"/>
  </r>
  <r>
    <n v="1133"/>
    <x v="132"/>
    <x v="5"/>
    <x v="6"/>
    <n v="2"/>
    <m/>
    <n v="0"/>
    <x v="0"/>
    <n v="0"/>
    <x v="4"/>
    <x v="1"/>
    <x v="0"/>
    <n v="806.19"/>
  </r>
  <r>
    <n v="1134"/>
    <x v="133"/>
    <x v="5"/>
    <x v="12"/>
    <n v="3"/>
    <m/>
    <n v="0"/>
    <x v="1"/>
    <n v="0"/>
    <x v="79"/>
    <x v="0"/>
    <x v="0"/>
    <n v="1101.19"/>
  </r>
  <r>
    <n v="1135"/>
    <x v="134"/>
    <x v="2"/>
    <x v="10"/>
    <n v="4"/>
    <n v="1556.96"/>
    <n v="6227.84"/>
    <x v="40"/>
    <n v="996.45440000000019"/>
    <x v="85"/>
    <x v="2"/>
    <x v="1"/>
    <n v="1432.84"/>
  </r>
  <r>
    <n v="1136"/>
    <x v="135"/>
    <x v="0"/>
    <x v="9"/>
    <n v="2"/>
    <n v="3658.42"/>
    <n v="7316.84"/>
    <x v="41"/>
    <n v="3877.9252000000001"/>
    <x v="86"/>
    <x v="2"/>
    <x v="0"/>
    <n v="1897.33"/>
  </r>
  <r>
    <n v="1137"/>
    <x v="136"/>
    <x v="2"/>
    <x v="10"/>
    <n v="2"/>
    <n v="4206.0600000000004"/>
    <n v="8412.1200000000008"/>
    <x v="1"/>
    <n v="8412.1200000000008"/>
    <x v="87"/>
    <x v="0"/>
    <x v="1"/>
    <n v="1161.76"/>
  </r>
  <r>
    <n v="1138"/>
    <x v="137"/>
    <x v="5"/>
    <x v="19"/>
    <n v="2"/>
    <m/>
    <n v="0"/>
    <x v="42"/>
    <n v="0"/>
    <x v="4"/>
    <x v="4"/>
    <x v="0"/>
    <n v="-658.58"/>
  </r>
  <r>
    <n v="1139"/>
    <x v="138"/>
    <x v="4"/>
    <x v="16"/>
    <n v="2"/>
    <m/>
    <n v="0"/>
    <x v="3"/>
    <n v="0"/>
    <x v="88"/>
    <x v="3"/>
    <x v="0"/>
    <n v="-832.45"/>
  </r>
  <r>
    <n v="1140"/>
    <x v="139"/>
    <x v="3"/>
    <x v="3"/>
    <n v="4"/>
    <m/>
    <n v="0"/>
    <x v="1"/>
    <n v="0"/>
    <x v="89"/>
    <x v="4"/>
    <x v="1"/>
    <n v="-127.91"/>
  </r>
  <r>
    <n v="1141"/>
    <x v="140"/>
    <x v="4"/>
    <x v="16"/>
    <n v="2"/>
    <m/>
    <n v="0"/>
    <x v="23"/>
    <n v="0"/>
    <x v="90"/>
    <x v="0"/>
    <x v="0"/>
    <n v="429.67"/>
  </r>
  <r>
    <n v="1142"/>
    <x v="141"/>
    <x v="5"/>
    <x v="19"/>
    <n v="6"/>
    <n v="3004.58"/>
    <n v="18027.48"/>
    <x v="1"/>
    <n v="18027.48"/>
    <x v="66"/>
    <x v="4"/>
    <x v="0"/>
    <n v="-509.67"/>
  </r>
  <r>
    <n v="1143"/>
    <x v="142"/>
    <x v="1"/>
    <x v="18"/>
    <n v="2"/>
    <m/>
    <n v="0"/>
    <x v="1"/>
    <n v="0"/>
    <x v="80"/>
    <x v="3"/>
    <x v="0"/>
    <n v="816.49"/>
  </r>
  <r>
    <n v="1144"/>
    <x v="143"/>
    <x v="0"/>
    <x v="0"/>
    <n v="2"/>
    <m/>
    <n v="0"/>
    <x v="17"/>
    <n v="0"/>
    <x v="4"/>
    <x v="2"/>
    <x v="0"/>
    <n v="2966.21"/>
  </r>
  <r>
    <n v="1145"/>
    <x v="144"/>
    <x v="4"/>
    <x v="16"/>
    <n v="-2"/>
    <n v="3607.9"/>
    <n v="-7215.8"/>
    <x v="8"/>
    <n v="-432.94800000000038"/>
    <x v="91"/>
    <x v="4"/>
    <x v="1"/>
    <n v="-171.58"/>
  </r>
  <r>
    <n v="1146"/>
    <x v="145"/>
    <x v="3"/>
    <x v="3"/>
    <n v="2"/>
    <m/>
    <n v="0"/>
    <x v="43"/>
    <n v="0"/>
    <x v="92"/>
    <x v="5"/>
    <x v="0"/>
    <n v="-431.7"/>
  </r>
  <r>
    <n v="1147"/>
    <x v="146"/>
    <x v="5"/>
    <x v="6"/>
    <n v="2"/>
    <n v="2875.46"/>
    <n v="5750.92"/>
    <x v="1"/>
    <n v="5750.92"/>
    <x v="93"/>
    <x v="0"/>
    <x v="1"/>
    <n v="-794.99"/>
  </r>
  <r>
    <n v="1148"/>
    <x v="147"/>
    <x v="3"/>
    <x v="3"/>
    <n v="2"/>
    <n v="2471.48"/>
    <n v="4942.96"/>
    <x v="44"/>
    <n v="-543.72560000000044"/>
    <x v="94"/>
    <x v="2"/>
    <x v="0"/>
    <n v="2247.9"/>
  </r>
  <r>
    <n v="1149"/>
    <x v="148"/>
    <x v="5"/>
    <x v="19"/>
    <n v="2"/>
    <m/>
    <n v="0"/>
    <x v="1"/>
    <n v="0"/>
    <x v="95"/>
    <x v="4"/>
    <x v="1"/>
    <n v="562.69000000000005"/>
  </r>
  <r>
    <n v="1150"/>
    <x v="149"/>
    <x v="3"/>
    <x v="7"/>
    <n v="2"/>
    <n v="1554.9"/>
    <n v="3109.8"/>
    <x v="1"/>
    <n v="3109.8"/>
    <x v="96"/>
    <x v="1"/>
    <x v="0"/>
    <n v="457.65"/>
  </r>
  <r>
    <n v="1151"/>
    <x v="150"/>
    <x v="0"/>
    <x v="9"/>
    <n v="4"/>
    <n v="2266.44"/>
    <n v="9065.76"/>
    <x v="18"/>
    <n v="6074.0591999999997"/>
    <x v="97"/>
    <x v="5"/>
    <x v="0"/>
    <n v="-655.45"/>
  </r>
  <r>
    <n v="1152"/>
    <x v="151"/>
    <x v="2"/>
    <x v="13"/>
    <n v="1"/>
    <m/>
    <n v="0"/>
    <x v="45"/>
    <n v="0"/>
    <x v="98"/>
    <x v="5"/>
    <x v="0"/>
    <n v="454.45"/>
  </r>
  <r>
    <n v="1153"/>
    <x v="152"/>
    <x v="3"/>
    <x v="3"/>
    <n v="1"/>
    <n v="478.59"/>
    <n v="478.59"/>
    <x v="1"/>
    <n v="478.59"/>
    <x v="99"/>
    <x v="0"/>
    <x v="1"/>
    <n v="-681.2"/>
  </r>
  <r>
    <n v="1154"/>
    <x v="153"/>
    <x v="3"/>
    <x v="21"/>
    <n v="2"/>
    <m/>
    <n v="0"/>
    <x v="1"/>
    <n v="0"/>
    <x v="100"/>
    <x v="3"/>
    <x v="0"/>
    <n v="52.85"/>
  </r>
  <r>
    <n v="1155"/>
    <x v="154"/>
    <x v="2"/>
    <x v="13"/>
    <n v="2"/>
    <m/>
    <n v="0"/>
    <x v="46"/>
    <n v="0"/>
    <x v="101"/>
    <x v="2"/>
    <x v="0"/>
    <n v="2493.12"/>
  </r>
  <r>
    <n v="1156"/>
    <x v="155"/>
    <x v="5"/>
    <x v="12"/>
    <n v="3"/>
    <m/>
    <n v="0"/>
    <x v="47"/>
    <n v="0"/>
    <x v="4"/>
    <x v="0"/>
    <x v="0"/>
    <n v="1699.17"/>
  </r>
  <r>
    <n v="1157"/>
    <x v="156"/>
    <x v="0"/>
    <x v="20"/>
    <n v="6"/>
    <n v="645.03"/>
    <n v="3870.18"/>
    <x v="1"/>
    <n v="3870.18"/>
    <x v="102"/>
    <x v="1"/>
    <x v="0"/>
    <n v="2724.92"/>
  </r>
  <r>
    <n v="1158"/>
    <x v="157"/>
    <x v="5"/>
    <x v="12"/>
    <n v="2"/>
    <n v="4516.08"/>
    <n v="9032.16"/>
    <x v="1"/>
    <n v="9032.16"/>
    <x v="103"/>
    <x v="0"/>
    <x v="1"/>
    <n v="2164.9499999999998"/>
  </r>
  <r>
    <n v="1159"/>
    <x v="158"/>
    <x v="2"/>
    <x v="10"/>
    <n v="2"/>
    <n v="3335.18"/>
    <n v="6670.36"/>
    <x v="48"/>
    <n v="6070.0276000000003"/>
    <x v="4"/>
    <x v="1"/>
    <x v="0"/>
    <n v="235.11"/>
  </r>
  <r>
    <n v="1160"/>
    <x v="159"/>
    <x v="5"/>
    <x v="6"/>
    <n v="0"/>
    <m/>
    <n v="0"/>
    <x v="49"/>
    <n v="0"/>
    <x v="104"/>
    <x v="4"/>
    <x v="0"/>
    <n v="-711.19"/>
  </r>
  <r>
    <n v="1161"/>
    <x v="160"/>
    <x v="4"/>
    <x v="14"/>
    <n v="2"/>
    <n v="1801.91"/>
    <n v="3603.82"/>
    <x v="1"/>
    <n v="3603.82"/>
    <x v="105"/>
    <x v="2"/>
    <x v="0"/>
    <n v="502.86"/>
  </r>
  <r>
    <n v="1162"/>
    <x v="161"/>
    <x v="2"/>
    <x v="17"/>
    <n v="4"/>
    <m/>
    <n v="0"/>
    <x v="50"/>
    <n v="0"/>
    <x v="106"/>
    <x v="2"/>
    <x v="0"/>
    <n v="2566.0500000000002"/>
  </r>
  <r>
    <n v="1163"/>
    <x v="162"/>
    <x v="3"/>
    <x v="7"/>
    <n v="2"/>
    <n v="1033.58"/>
    <n v="2067.16"/>
    <x v="51"/>
    <n v="661.49119999999982"/>
    <x v="107"/>
    <x v="3"/>
    <x v="0"/>
    <n v="-441.46"/>
  </r>
  <r>
    <n v="1164"/>
    <x v="163"/>
    <x v="3"/>
    <x v="7"/>
    <n v="5"/>
    <m/>
    <n v="0"/>
    <x v="1"/>
    <n v="0"/>
    <x v="4"/>
    <x v="4"/>
    <x v="1"/>
    <n v="598.79"/>
  </r>
  <r>
    <n v="1165"/>
    <x v="164"/>
    <x v="4"/>
    <x v="14"/>
    <n v="2"/>
    <m/>
    <n v="0"/>
    <x v="52"/>
    <n v="0"/>
    <x v="108"/>
    <x v="3"/>
    <x v="1"/>
    <n v="-102.32"/>
  </r>
  <r>
    <n v="1166"/>
    <x v="165"/>
    <x v="1"/>
    <x v="15"/>
    <n v="2"/>
    <m/>
    <n v="0"/>
    <x v="53"/>
    <n v="0"/>
    <x v="109"/>
    <x v="1"/>
    <x v="0"/>
    <n v="285.44"/>
  </r>
  <r>
    <n v="1167"/>
    <x v="166"/>
    <x v="4"/>
    <x v="8"/>
    <n v="0"/>
    <n v="4595.8999999999996"/>
    <n v="0"/>
    <x v="48"/>
    <n v="0"/>
    <x v="79"/>
    <x v="3"/>
    <x v="0"/>
    <n v="-653.79999999999995"/>
  </r>
  <r>
    <n v="1168"/>
    <x v="167"/>
    <x v="3"/>
    <x v="7"/>
    <n v="0"/>
    <n v="3655.71"/>
    <n v="0"/>
    <x v="54"/>
    <n v="0"/>
    <x v="22"/>
    <x v="4"/>
    <x v="0"/>
    <n v="2024.15"/>
  </r>
  <r>
    <n v="1169"/>
    <x v="168"/>
    <x v="4"/>
    <x v="14"/>
    <n v="-1"/>
    <n v="2948.26"/>
    <n v="-2948.26"/>
    <x v="55"/>
    <n v="-294.82599999999996"/>
    <x v="4"/>
    <x v="5"/>
    <x v="0"/>
    <n v="1285.1500000000001"/>
  </r>
  <r>
    <n v="1170"/>
    <x v="169"/>
    <x v="0"/>
    <x v="9"/>
    <n v="0"/>
    <m/>
    <n v="0"/>
    <x v="56"/>
    <n v="0"/>
    <x v="4"/>
    <x v="0"/>
    <x v="0"/>
    <n v="-528.70000000000005"/>
  </r>
  <r>
    <n v="1171"/>
    <x v="170"/>
    <x v="0"/>
    <x v="9"/>
    <n v="1"/>
    <m/>
    <n v="0"/>
    <x v="1"/>
    <n v="0"/>
    <x v="110"/>
    <x v="5"/>
    <x v="1"/>
    <n v="2475.83"/>
  </r>
  <r>
    <n v="1172"/>
    <x v="171"/>
    <x v="1"/>
    <x v="1"/>
    <n v="-2"/>
    <n v="2719.32"/>
    <n v="-5438.64"/>
    <x v="1"/>
    <n v="-5438.64"/>
    <x v="74"/>
    <x v="4"/>
    <x v="0"/>
    <n v="655.1"/>
  </r>
  <r>
    <n v="1173"/>
    <x v="172"/>
    <x v="0"/>
    <x v="5"/>
    <n v="2"/>
    <n v="4063.39"/>
    <n v="8126.78"/>
    <x v="1"/>
    <n v="8126.78"/>
    <x v="4"/>
    <x v="3"/>
    <x v="0"/>
    <n v="2034.39"/>
  </r>
  <r>
    <n v="1174"/>
    <x v="173"/>
    <x v="1"/>
    <x v="22"/>
    <n v="6"/>
    <n v="4984.6499999999996"/>
    <n v="29907.899999999998"/>
    <x v="32"/>
    <n v="17346.582000000002"/>
    <x v="42"/>
    <x v="3"/>
    <x v="0"/>
    <n v="2931.32"/>
  </r>
  <r>
    <n v="1175"/>
    <x v="174"/>
    <x v="5"/>
    <x v="6"/>
    <n v="3"/>
    <m/>
    <n v="0"/>
    <x v="1"/>
    <n v="0"/>
    <x v="111"/>
    <x v="1"/>
    <x v="0"/>
    <n v="728.61"/>
  </r>
  <r>
    <n v="1176"/>
    <x v="175"/>
    <x v="0"/>
    <x v="5"/>
    <n v="6"/>
    <m/>
    <n v="0"/>
    <x v="57"/>
    <n v="0"/>
    <x v="4"/>
    <x v="2"/>
    <x v="1"/>
    <n v="-879.15"/>
  </r>
  <r>
    <n v="1177"/>
    <x v="176"/>
    <x v="0"/>
    <x v="9"/>
    <n v="2"/>
    <n v="2426.13"/>
    <n v="4852.26"/>
    <x v="1"/>
    <n v="4852.26"/>
    <x v="112"/>
    <x v="1"/>
    <x v="0"/>
    <n v="353.91"/>
  </r>
  <r>
    <n v="1178"/>
    <x v="177"/>
    <x v="4"/>
    <x v="4"/>
    <n v="4"/>
    <n v="1204.5899999999999"/>
    <n v="4818.3599999999997"/>
    <x v="1"/>
    <n v="4818.3599999999997"/>
    <x v="4"/>
    <x v="4"/>
    <x v="0"/>
    <n v="2161.64"/>
  </r>
  <r>
    <n v="1179"/>
    <x v="178"/>
    <x v="1"/>
    <x v="15"/>
    <n v="0"/>
    <m/>
    <n v="0"/>
    <x v="1"/>
    <n v="0"/>
    <x v="113"/>
    <x v="2"/>
    <x v="0"/>
    <n v="510.53"/>
  </r>
  <r>
    <n v="1180"/>
    <x v="179"/>
    <x v="5"/>
    <x v="19"/>
    <n v="6"/>
    <n v="2495.96"/>
    <n v="14975.76"/>
    <x v="1"/>
    <n v="14975.76"/>
    <x v="4"/>
    <x v="4"/>
    <x v="0"/>
    <n v="835.4"/>
  </r>
  <r>
    <n v="1181"/>
    <x v="180"/>
    <x v="1"/>
    <x v="15"/>
    <n v="2"/>
    <m/>
    <n v="0"/>
    <x v="1"/>
    <n v="0"/>
    <x v="57"/>
    <x v="2"/>
    <x v="1"/>
    <n v="2564.06"/>
  </r>
  <r>
    <n v="1182"/>
    <x v="181"/>
    <x v="0"/>
    <x v="0"/>
    <n v="-1"/>
    <m/>
    <n v="0"/>
    <x v="1"/>
    <n v="0"/>
    <x v="114"/>
    <x v="5"/>
    <x v="0"/>
    <n v="-747.25"/>
  </r>
  <r>
    <n v="1183"/>
    <x v="182"/>
    <x v="3"/>
    <x v="21"/>
    <n v="6"/>
    <n v="2372.3000000000002"/>
    <n v="14233.800000000001"/>
    <x v="1"/>
    <n v="14233.800000000001"/>
    <x v="115"/>
    <x v="0"/>
    <x v="0"/>
    <n v="1888.87"/>
  </r>
  <r>
    <n v="1184"/>
    <x v="183"/>
    <x v="0"/>
    <x v="20"/>
    <n v="0"/>
    <n v="2697.1"/>
    <n v="0"/>
    <x v="1"/>
    <n v="0"/>
    <x v="116"/>
    <x v="0"/>
    <x v="1"/>
    <n v="1518.99"/>
  </r>
  <r>
    <n v="1185"/>
    <x v="184"/>
    <x v="3"/>
    <x v="3"/>
    <n v="2"/>
    <m/>
    <n v="0"/>
    <x v="1"/>
    <n v="0"/>
    <x v="79"/>
    <x v="0"/>
    <x v="0"/>
    <n v="-445.19"/>
  </r>
  <r>
    <n v="1186"/>
    <x v="185"/>
    <x v="0"/>
    <x v="5"/>
    <n v="6"/>
    <m/>
    <n v="0"/>
    <x v="58"/>
    <n v="0"/>
    <x v="33"/>
    <x v="3"/>
    <x v="1"/>
    <n v="-40.479999999999997"/>
  </r>
  <r>
    <n v="1187"/>
    <x v="186"/>
    <x v="3"/>
    <x v="3"/>
    <n v="3"/>
    <n v="3810.89"/>
    <n v="11432.67"/>
    <x v="1"/>
    <n v="11432.67"/>
    <x v="4"/>
    <x v="2"/>
    <x v="0"/>
    <n v="1153.72"/>
  </r>
  <r>
    <n v="1188"/>
    <x v="187"/>
    <x v="3"/>
    <x v="3"/>
    <n v="6"/>
    <n v="4910.28"/>
    <n v="29461.68"/>
    <x v="59"/>
    <n v="25926.278399999999"/>
    <x v="117"/>
    <x v="3"/>
    <x v="0"/>
    <n v="2089.25"/>
  </r>
  <r>
    <n v="1189"/>
    <x v="188"/>
    <x v="4"/>
    <x v="8"/>
    <n v="2"/>
    <n v="4808.1000000000004"/>
    <n v="9616.2000000000007"/>
    <x v="1"/>
    <n v="9616.2000000000007"/>
    <x v="118"/>
    <x v="1"/>
    <x v="0"/>
    <n v="392.87"/>
  </r>
  <r>
    <n v="1190"/>
    <x v="189"/>
    <x v="1"/>
    <x v="1"/>
    <n v="2"/>
    <m/>
    <n v="0"/>
    <x v="60"/>
    <n v="0"/>
    <x v="8"/>
    <x v="5"/>
    <x v="1"/>
    <n v="75.040000000000006"/>
  </r>
  <r>
    <n v="1191"/>
    <x v="190"/>
    <x v="3"/>
    <x v="3"/>
    <n v="2"/>
    <n v="2469.87"/>
    <n v="4939.74"/>
    <x v="10"/>
    <n v="2173.4855999999995"/>
    <x v="4"/>
    <x v="2"/>
    <x v="0"/>
    <n v="2860.2"/>
  </r>
  <r>
    <n v="1010"/>
    <x v="191"/>
    <x v="4"/>
    <x v="4"/>
    <n v="0"/>
    <m/>
    <n v="0"/>
    <x v="1"/>
    <n v="0"/>
    <x v="4"/>
    <x v="4"/>
    <x v="0"/>
    <n v="2709.47"/>
  </r>
  <r>
    <n v="1193"/>
    <x v="192"/>
    <x v="5"/>
    <x v="6"/>
    <n v="2"/>
    <n v="3031.06"/>
    <n v="6062.12"/>
    <x v="1"/>
    <n v="6062.12"/>
    <x v="119"/>
    <x v="5"/>
    <x v="1"/>
    <n v="-682.74"/>
  </r>
  <r>
    <n v="1032"/>
    <x v="193"/>
    <x v="3"/>
    <x v="7"/>
    <n v="2"/>
    <m/>
    <n v="0"/>
    <x v="1"/>
    <n v="0"/>
    <x v="120"/>
    <x v="1"/>
    <x v="0"/>
    <n v="1941.65"/>
  </r>
  <r>
    <n v="1195"/>
    <x v="194"/>
    <x v="5"/>
    <x v="12"/>
    <n v="2"/>
    <m/>
    <n v="0"/>
    <x v="61"/>
    <n v="0"/>
    <x v="4"/>
    <x v="2"/>
    <x v="0"/>
    <n v="1059.17"/>
  </r>
  <r>
    <n v="1196"/>
    <x v="195"/>
    <x v="0"/>
    <x v="0"/>
    <n v="2"/>
    <n v="3959.06"/>
    <n v="7918.12"/>
    <x v="62"/>
    <n v="4988.4156000000003"/>
    <x v="79"/>
    <x v="4"/>
    <x v="1"/>
    <n v="1539.5"/>
  </r>
  <r>
    <n v="1197"/>
    <x v="196"/>
    <x v="1"/>
    <x v="18"/>
    <n v="1"/>
    <m/>
    <n v="0"/>
    <x v="1"/>
    <n v="0"/>
    <x v="4"/>
    <x v="4"/>
    <x v="1"/>
    <n v="650.97"/>
  </r>
  <r>
    <n v="1198"/>
    <x v="197"/>
    <x v="3"/>
    <x v="7"/>
    <n v="3"/>
    <n v="3594.97"/>
    <n v="10784.91"/>
    <x v="1"/>
    <n v="10784.91"/>
    <x v="121"/>
    <x v="0"/>
    <x v="0"/>
    <n v="2422.27"/>
  </r>
  <r>
    <n v="1199"/>
    <x v="198"/>
    <x v="2"/>
    <x v="17"/>
    <n v="2"/>
    <n v="2317.1"/>
    <n v="4634.2"/>
    <x v="1"/>
    <n v="4634.2"/>
    <x v="122"/>
    <x v="3"/>
    <x v="0"/>
    <n v="2637.77"/>
  </r>
  <r>
    <n v="1200"/>
    <x v="199"/>
    <x v="2"/>
    <x v="10"/>
    <n v="4"/>
    <m/>
    <n v="0"/>
    <x v="1"/>
    <n v="0"/>
    <x v="4"/>
    <x v="4"/>
    <x v="0"/>
    <n v="2782.21"/>
  </r>
  <r>
    <n v="1201"/>
    <x v="200"/>
    <x v="1"/>
    <x v="15"/>
    <n v="2"/>
    <n v="3507.85"/>
    <n v="7015.7"/>
    <x v="1"/>
    <n v="7015.7"/>
    <x v="123"/>
    <x v="5"/>
    <x v="1"/>
    <n v="1023.04"/>
  </r>
  <r>
    <n v="1202"/>
    <x v="201"/>
    <x v="3"/>
    <x v="7"/>
    <n v="2"/>
    <m/>
    <n v="0"/>
    <x v="1"/>
    <n v="0"/>
    <x v="124"/>
    <x v="3"/>
    <x v="0"/>
    <n v="-207.53"/>
  </r>
  <r>
    <n v="1203"/>
    <x v="202"/>
    <x v="4"/>
    <x v="4"/>
    <n v="5"/>
    <m/>
    <n v="0"/>
    <x v="1"/>
    <n v="0"/>
    <x v="125"/>
    <x v="4"/>
    <x v="0"/>
    <n v="657.59"/>
  </r>
  <r>
    <n v="1204"/>
    <x v="203"/>
    <x v="2"/>
    <x v="13"/>
    <n v="2"/>
    <n v="4213.3999999999996"/>
    <n v="8426.7999999999993"/>
    <x v="1"/>
    <n v="8426.7999999999993"/>
    <x v="126"/>
    <x v="5"/>
    <x v="1"/>
    <n v="1867.53"/>
  </r>
  <r>
    <n v="1205"/>
    <x v="204"/>
    <x v="0"/>
    <x v="0"/>
    <n v="2"/>
    <n v="696.49"/>
    <n v="1392.98"/>
    <x v="1"/>
    <n v="1392.98"/>
    <x v="70"/>
    <x v="0"/>
    <x v="0"/>
    <n v="-24.51"/>
  </r>
  <r>
    <n v="1206"/>
    <x v="205"/>
    <x v="4"/>
    <x v="14"/>
    <n v="0"/>
    <m/>
    <n v="0"/>
    <x v="1"/>
    <n v="0"/>
    <x v="127"/>
    <x v="4"/>
    <x v="0"/>
    <n v="2472.2399999999998"/>
  </r>
  <r>
    <n v="1207"/>
    <x v="206"/>
    <x v="0"/>
    <x v="9"/>
    <n v="2"/>
    <n v="563.14"/>
    <n v="1126.28"/>
    <x v="18"/>
    <n v="754.60759999999993"/>
    <x v="128"/>
    <x v="1"/>
    <x v="1"/>
    <n v="945.7"/>
  </r>
  <r>
    <n v="1208"/>
    <x v="207"/>
    <x v="1"/>
    <x v="18"/>
    <n v="1"/>
    <m/>
    <n v="0"/>
    <x v="1"/>
    <n v="0"/>
    <x v="123"/>
    <x v="2"/>
    <x v="0"/>
    <n v="648.73"/>
  </r>
  <r>
    <n v="1209"/>
    <x v="208"/>
    <x v="3"/>
    <x v="21"/>
    <n v="2"/>
    <n v="4029.87"/>
    <n v="8059.74"/>
    <x v="1"/>
    <n v="8059.74"/>
    <x v="107"/>
    <x v="1"/>
    <x v="0"/>
    <n v="1447.79"/>
  </r>
  <r>
    <n v="1210"/>
    <x v="209"/>
    <x v="3"/>
    <x v="21"/>
    <n v="4"/>
    <m/>
    <n v="0"/>
    <x v="63"/>
    <n v="0"/>
    <x v="129"/>
    <x v="0"/>
    <x v="0"/>
    <n v="2179.54"/>
  </r>
  <r>
    <n v="1211"/>
    <x v="210"/>
    <x v="0"/>
    <x v="20"/>
    <n v="2"/>
    <n v="1560.37"/>
    <n v="3120.74"/>
    <x v="1"/>
    <n v="3120.74"/>
    <x v="130"/>
    <x v="1"/>
    <x v="0"/>
    <n v="2783.91"/>
  </r>
  <r>
    <n v="1212"/>
    <x v="211"/>
    <x v="2"/>
    <x v="13"/>
    <n v="-1"/>
    <n v="4098.12"/>
    <n v="-4098.12"/>
    <x v="1"/>
    <n v="-4098.12"/>
    <x v="96"/>
    <x v="4"/>
    <x v="0"/>
    <n v="-656.35"/>
  </r>
  <r>
    <n v="1213"/>
    <x v="212"/>
    <x v="4"/>
    <x v="14"/>
    <n v="2"/>
    <m/>
    <n v="0"/>
    <x v="1"/>
    <n v="0"/>
    <x v="131"/>
    <x v="1"/>
    <x v="0"/>
    <n v="1093.98"/>
  </r>
  <r>
    <n v="1214"/>
    <x v="213"/>
    <x v="1"/>
    <x v="22"/>
    <n v="4"/>
    <n v="1273.5999999999999"/>
    <n v="5094.3999999999996"/>
    <x v="1"/>
    <n v="5094.3999999999996"/>
    <x v="3"/>
    <x v="4"/>
    <x v="0"/>
    <n v="1851.89"/>
  </r>
  <r>
    <n v="1215"/>
    <x v="214"/>
    <x v="4"/>
    <x v="14"/>
    <n v="6"/>
    <n v="3802.27"/>
    <n v="22813.62"/>
    <x v="1"/>
    <n v="22813.62"/>
    <x v="4"/>
    <x v="1"/>
    <x v="0"/>
    <n v="-266.99"/>
  </r>
  <r>
    <n v="1216"/>
    <x v="215"/>
    <x v="4"/>
    <x v="14"/>
    <n v="6"/>
    <m/>
    <n v="0"/>
    <x v="64"/>
    <n v="0"/>
    <x v="132"/>
    <x v="0"/>
    <x v="1"/>
    <n v="2986.8"/>
  </r>
  <r>
    <n v="1217"/>
    <x v="216"/>
    <x v="1"/>
    <x v="18"/>
    <n v="3"/>
    <n v="2850.38"/>
    <n v="8551.14"/>
    <x v="1"/>
    <n v="8551.14"/>
    <x v="4"/>
    <x v="0"/>
    <x v="0"/>
    <n v="17.309999999999999"/>
  </r>
  <r>
    <n v="1218"/>
    <x v="217"/>
    <x v="5"/>
    <x v="12"/>
    <n v="3"/>
    <n v="1544.45"/>
    <n v="4633.3500000000004"/>
    <x v="18"/>
    <n v="3104.3444999999997"/>
    <x v="127"/>
    <x v="4"/>
    <x v="1"/>
    <n v="707.56"/>
  </r>
  <r>
    <n v="1219"/>
    <x v="218"/>
    <x v="0"/>
    <x v="9"/>
    <n v="2"/>
    <m/>
    <n v="0"/>
    <x v="1"/>
    <n v="0"/>
    <x v="133"/>
    <x v="3"/>
    <x v="0"/>
    <n v="2206"/>
  </r>
  <r>
    <n v="1220"/>
    <x v="219"/>
    <x v="4"/>
    <x v="8"/>
    <n v="2"/>
    <m/>
    <n v="0"/>
    <x v="1"/>
    <n v="0"/>
    <x v="132"/>
    <x v="3"/>
    <x v="0"/>
    <n v="1598.22"/>
  </r>
  <r>
    <n v="1221"/>
    <x v="220"/>
    <x v="3"/>
    <x v="3"/>
    <n v="3"/>
    <m/>
    <n v="0"/>
    <x v="1"/>
    <n v="0"/>
    <x v="134"/>
    <x v="2"/>
    <x v="1"/>
    <n v="898.67"/>
  </r>
  <r>
    <n v="1222"/>
    <x v="221"/>
    <x v="4"/>
    <x v="14"/>
    <n v="2"/>
    <n v="683.85"/>
    <n v="1367.7"/>
    <x v="1"/>
    <n v="1367.7"/>
    <x v="135"/>
    <x v="5"/>
    <x v="0"/>
    <n v="1489.45"/>
  </r>
  <r>
    <n v="1223"/>
    <x v="222"/>
    <x v="4"/>
    <x v="4"/>
    <n v="2"/>
    <m/>
    <n v="0"/>
    <x v="1"/>
    <n v="0"/>
    <x v="4"/>
    <x v="4"/>
    <x v="1"/>
    <n v="-531.04999999999995"/>
  </r>
  <r>
    <n v="1224"/>
    <x v="223"/>
    <x v="5"/>
    <x v="12"/>
    <n v="2"/>
    <m/>
    <n v="0"/>
    <x v="1"/>
    <n v="0"/>
    <x v="136"/>
    <x v="1"/>
    <x v="0"/>
    <n v="2219.56"/>
  </r>
  <r>
    <n v="1225"/>
    <x v="224"/>
    <x v="2"/>
    <x v="2"/>
    <n v="-1"/>
    <n v="1406.32"/>
    <n v="-1406.32"/>
    <x v="65"/>
    <n v="70.316000000000059"/>
    <x v="23"/>
    <x v="3"/>
    <x v="0"/>
    <n v="1937.71"/>
  </r>
  <r>
    <n v="1226"/>
    <x v="225"/>
    <x v="5"/>
    <x v="19"/>
    <n v="1"/>
    <m/>
    <n v="0"/>
    <x v="23"/>
    <n v="0"/>
    <x v="11"/>
    <x v="1"/>
    <x v="1"/>
    <n v="2806.56"/>
  </r>
  <r>
    <n v="1227"/>
    <x v="226"/>
    <x v="3"/>
    <x v="7"/>
    <n v="2"/>
    <m/>
    <n v="0"/>
    <x v="66"/>
    <n v="0"/>
    <x v="137"/>
    <x v="4"/>
    <x v="0"/>
    <n v="2096.6799999999998"/>
  </r>
  <r>
    <n v="1048"/>
    <x v="227"/>
    <x v="3"/>
    <x v="23"/>
    <n v="2"/>
    <n v="2298.27"/>
    <n v="4596.54"/>
    <x v="34"/>
    <n v="1884.5814"/>
    <x v="138"/>
    <x v="5"/>
    <x v="1"/>
    <n v="2994.93"/>
  </r>
  <r>
    <n v="1229"/>
    <x v="228"/>
    <x v="5"/>
    <x v="19"/>
    <n v="2"/>
    <m/>
    <n v="0"/>
    <x v="1"/>
    <n v="0"/>
    <x v="4"/>
    <x v="0"/>
    <x v="0"/>
    <n v="925.22"/>
  </r>
  <r>
    <n v="1230"/>
    <x v="229"/>
    <x v="3"/>
    <x v="21"/>
    <n v="3"/>
    <m/>
    <n v="0"/>
    <x v="61"/>
    <n v="0"/>
    <x v="4"/>
    <x v="4"/>
    <x v="0"/>
    <n v="2725.11"/>
  </r>
  <r>
    <n v="1231"/>
    <x v="230"/>
    <x v="2"/>
    <x v="13"/>
    <n v="1"/>
    <n v="1744.73"/>
    <n v="1744.73"/>
    <x v="1"/>
    <n v="1744.73"/>
    <x v="4"/>
    <x v="5"/>
    <x v="1"/>
    <n v="1393.69"/>
  </r>
  <r>
    <n v="1232"/>
    <x v="231"/>
    <x v="2"/>
    <x v="10"/>
    <n v="2"/>
    <n v="2526.77"/>
    <n v="5053.54"/>
    <x v="1"/>
    <n v="5053.54"/>
    <x v="139"/>
    <x v="2"/>
    <x v="0"/>
    <n v="1494.67"/>
  </r>
  <r>
    <n v="1233"/>
    <x v="232"/>
    <x v="1"/>
    <x v="1"/>
    <n v="-1"/>
    <m/>
    <n v="0"/>
    <x v="35"/>
    <n v="0"/>
    <x v="140"/>
    <x v="3"/>
    <x v="0"/>
    <n v="2237.2399999999998"/>
  </r>
  <r>
    <n v="1234"/>
    <x v="233"/>
    <x v="0"/>
    <x v="9"/>
    <n v="2"/>
    <n v="1069.8800000000001"/>
    <n v="2139.7600000000002"/>
    <x v="67"/>
    <n v="2032.7720000000002"/>
    <x v="141"/>
    <x v="5"/>
    <x v="1"/>
    <n v="110.58"/>
  </r>
  <r>
    <n v="1235"/>
    <x v="234"/>
    <x v="1"/>
    <x v="15"/>
    <n v="2"/>
    <m/>
    <n v="0"/>
    <x v="1"/>
    <n v="0"/>
    <x v="4"/>
    <x v="4"/>
    <x v="1"/>
    <n v="-403.94"/>
  </r>
  <r>
    <n v="1036"/>
    <x v="235"/>
    <x v="4"/>
    <x v="8"/>
    <n v="2"/>
    <n v="4802.42"/>
    <n v="9604.84"/>
    <x v="68"/>
    <n v="-1728.8711999999994"/>
    <x v="142"/>
    <x v="4"/>
    <x v="0"/>
    <n v="605.03"/>
  </r>
  <r>
    <n v="1237"/>
    <x v="236"/>
    <x v="4"/>
    <x v="14"/>
    <n v="2"/>
    <m/>
    <n v="0"/>
    <x v="69"/>
    <n v="0"/>
    <x v="143"/>
    <x v="5"/>
    <x v="0"/>
    <n v="-465.98"/>
  </r>
  <r>
    <n v="1238"/>
    <x v="237"/>
    <x v="2"/>
    <x v="13"/>
    <n v="2"/>
    <m/>
    <n v="0"/>
    <x v="1"/>
    <n v="0"/>
    <x v="4"/>
    <x v="5"/>
    <x v="0"/>
    <n v="2742.61"/>
  </r>
  <r>
    <n v="1239"/>
    <x v="238"/>
    <x v="4"/>
    <x v="16"/>
    <n v="4"/>
    <n v="644.58000000000004"/>
    <n v="2578.3200000000002"/>
    <x v="1"/>
    <n v="2578.3200000000002"/>
    <x v="144"/>
    <x v="0"/>
    <x v="1"/>
    <n v="1097.8800000000001"/>
  </r>
  <r>
    <n v="1240"/>
    <x v="239"/>
    <x v="5"/>
    <x v="6"/>
    <n v="2"/>
    <n v="4634.13"/>
    <n v="9268.26"/>
    <x v="1"/>
    <n v="9268.26"/>
    <x v="145"/>
    <x v="3"/>
    <x v="0"/>
    <n v="2625.44"/>
  </r>
  <r>
    <n v="1241"/>
    <x v="240"/>
    <x v="0"/>
    <x v="0"/>
    <n v="6"/>
    <n v="3111.95"/>
    <n v="18671.699999999997"/>
    <x v="1"/>
    <n v="18671.699999999997"/>
    <x v="146"/>
    <x v="3"/>
    <x v="0"/>
    <n v="2814.82"/>
  </r>
  <r>
    <n v="1242"/>
    <x v="241"/>
    <x v="0"/>
    <x v="20"/>
    <n v="-1"/>
    <m/>
    <n v="0"/>
    <x v="1"/>
    <n v="0"/>
    <x v="76"/>
    <x v="5"/>
    <x v="1"/>
    <n v="1576.74"/>
  </r>
  <r>
    <n v="1243"/>
    <x v="242"/>
    <x v="3"/>
    <x v="23"/>
    <n v="3"/>
    <m/>
    <n v="0"/>
    <x v="70"/>
    <n v="0"/>
    <x v="147"/>
    <x v="1"/>
    <x v="0"/>
    <n v="779.51"/>
  </r>
  <r>
    <n v="1244"/>
    <x v="243"/>
    <x v="5"/>
    <x v="11"/>
    <n v="6"/>
    <m/>
    <n v="0"/>
    <x v="1"/>
    <n v="0"/>
    <x v="148"/>
    <x v="1"/>
    <x v="0"/>
    <n v="2574.7600000000002"/>
  </r>
  <r>
    <n v="1245"/>
    <x v="244"/>
    <x v="4"/>
    <x v="14"/>
    <n v="2"/>
    <n v="1822.9"/>
    <n v="3645.8"/>
    <x v="1"/>
    <n v="3645.8"/>
    <x v="149"/>
    <x v="0"/>
    <x v="0"/>
    <n v="1076.3399999999999"/>
  </r>
  <r>
    <n v="1246"/>
    <x v="245"/>
    <x v="5"/>
    <x v="11"/>
    <n v="0"/>
    <m/>
    <n v="0"/>
    <x v="71"/>
    <n v="0"/>
    <x v="4"/>
    <x v="4"/>
    <x v="0"/>
    <n v="733.8"/>
  </r>
  <r>
    <n v="1247"/>
    <x v="246"/>
    <x v="4"/>
    <x v="4"/>
    <n v="-1"/>
    <m/>
    <n v="0"/>
    <x v="1"/>
    <n v="0"/>
    <x v="4"/>
    <x v="4"/>
    <x v="1"/>
    <n v="1605.97"/>
  </r>
  <r>
    <n v="1248"/>
    <x v="247"/>
    <x v="3"/>
    <x v="21"/>
    <n v="2"/>
    <m/>
    <n v="0"/>
    <x v="72"/>
    <n v="0"/>
    <x v="150"/>
    <x v="2"/>
    <x v="1"/>
    <n v="397.41"/>
  </r>
  <r>
    <n v="1249"/>
    <x v="248"/>
    <x v="3"/>
    <x v="23"/>
    <n v="2"/>
    <m/>
    <n v="0"/>
    <x v="37"/>
    <n v="0"/>
    <x v="151"/>
    <x v="5"/>
    <x v="0"/>
    <n v="809.89"/>
  </r>
  <r>
    <n v="1250"/>
    <x v="249"/>
    <x v="2"/>
    <x v="13"/>
    <n v="2"/>
    <m/>
    <n v="0"/>
    <x v="1"/>
    <n v="0"/>
    <x v="4"/>
    <x v="0"/>
    <x v="1"/>
    <n v="1653.07"/>
  </r>
  <r>
    <n v="1251"/>
    <x v="250"/>
    <x v="5"/>
    <x v="6"/>
    <n v="2"/>
    <n v="4841.3999999999996"/>
    <n v="9682.7999999999993"/>
    <x v="0"/>
    <n v="3873.12"/>
    <x v="152"/>
    <x v="5"/>
    <x v="0"/>
    <n v="578.37"/>
  </r>
  <r>
    <n v="1252"/>
    <x v="251"/>
    <x v="4"/>
    <x v="14"/>
    <n v="6"/>
    <n v="1638.51"/>
    <n v="9831.06"/>
    <x v="29"/>
    <n v="1179.7271999999998"/>
    <x v="153"/>
    <x v="2"/>
    <x v="0"/>
    <n v="1484.7"/>
  </r>
  <r>
    <n v="1253"/>
    <x v="252"/>
    <x v="5"/>
    <x v="12"/>
    <n v="2"/>
    <m/>
    <n v="0"/>
    <x v="1"/>
    <n v="0"/>
    <x v="152"/>
    <x v="3"/>
    <x v="1"/>
    <n v="2512.63"/>
  </r>
  <r>
    <n v="1254"/>
    <x v="253"/>
    <x v="2"/>
    <x v="13"/>
    <n v="6"/>
    <m/>
    <n v="0"/>
    <x v="1"/>
    <n v="0"/>
    <x v="154"/>
    <x v="2"/>
    <x v="1"/>
    <n v="2418.9899999999998"/>
  </r>
  <r>
    <n v="1255"/>
    <x v="254"/>
    <x v="4"/>
    <x v="14"/>
    <n v="4"/>
    <n v="1849.68"/>
    <n v="7398.72"/>
    <x v="1"/>
    <n v="7398.72"/>
    <x v="93"/>
    <x v="4"/>
    <x v="0"/>
    <n v="-706.09"/>
  </r>
  <r>
    <n v="1256"/>
    <x v="255"/>
    <x v="1"/>
    <x v="15"/>
    <n v="2"/>
    <n v="1801.38"/>
    <n v="3602.76"/>
    <x v="1"/>
    <n v="3602.76"/>
    <x v="155"/>
    <x v="3"/>
    <x v="0"/>
    <n v="2071.1"/>
  </r>
  <r>
    <n v="1257"/>
    <x v="256"/>
    <x v="0"/>
    <x v="9"/>
    <n v="2"/>
    <n v="1228.78"/>
    <n v="2457.56"/>
    <x v="1"/>
    <n v="2457.56"/>
    <x v="4"/>
    <x v="1"/>
    <x v="0"/>
    <n v="-83.19"/>
  </r>
  <r>
    <n v="1258"/>
    <x v="257"/>
    <x v="5"/>
    <x v="19"/>
    <n v="-2"/>
    <n v="4313.38"/>
    <n v="-8626.76"/>
    <x v="1"/>
    <n v="-8626.76"/>
    <x v="156"/>
    <x v="0"/>
    <x v="0"/>
    <n v="2636.96"/>
  </r>
  <r>
    <n v="1259"/>
    <x v="258"/>
    <x v="2"/>
    <x v="17"/>
    <n v="-2"/>
    <n v="3396.92"/>
    <n v="-6793.84"/>
    <x v="1"/>
    <n v="-6793.84"/>
    <x v="80"/>
    <x v="1"/>
    <x v="0"/>
    <n v="-830.5"/>
  </r>
  <r>
    <n v="1260"/>
    <x v="259"/>
    <x v="5"/>
    <x v="11"/>
    <n v="2"/>
    <m/>
    <n v="0"/>
    <x v="1"/>
    <n v="0"/>
    <x v="157"/>
    <x v="0"/>
    <x v="1"/>
    <n v="-817.8"/>
  </r>
  <r>
    <n v="1012"/>
    <x v="260"/>
    <x v="0"/>
    <x v="5"/>
    <n v="2"/>
    <n v="4129.37"/>
    <n v="8258.74"/>
    <x v="1"/>
    <n v="8258.74"/>
    <x v="7"/>
    <x v="0"/>
    <x v="1"/>
    <n v="2328.1"/>
  </r>
  <r>
    <n v="1262"/>
    <x v="261"/>
    <x v="3"/>
    <x v="21"/>
    <n v="2"/>
    <m/>
    <n v="0"/>
    <x v="73"/>
    <n v="0"/>
    <x v="158"/>
    <x v="3"/>
    <x v="1"/>
    <n v="786.25"/>
  </r>
  <r>
    <n v="1263"/>
    <x v="262"/>
    <x v="2"/>
    <x v="13"/>
    <n v="2"/>
    <n v="2542.7199999999998"/>
    <n v="5085.4399999999996"/>
    <x v="1"/>
    <n v="5085.4399999999996"/>
    <x v="4"/>
    <x v="0"/>
    <x v="0"/>
    <n v="-136.41"/>
  </r>
  <r>
    <n v="1264"/>
    <x v="263"/>
    <x v="4"/>
    <x v="16"/>
    <n v="2"/>
    <n v="3382.08"/>
    <n v="6764.16"/>
    <x v="1"/>
    <n v="6764.16"/>
    <x v="159"/>
    <x v="0"/>
    <x v="0"/>
    <n v="1647.48"/>
  </r>
  <r>
    <n v="1265"/>
    <x v="264"/>
    <x v="4"/>
    <x v="16"/>
    <n v="0"/>
    <n v="721.41"/>
    <n v="0"/>
    <x v="63"/>
    <n v="0"/>
    <x v="160"/>
    <x v="4"/>
    <x v="0"/>
    <n v="1718.95"/>
  </r>
  <r>
    <n v="1266"/>
    <x v="265"/>
    <x v="2"/>
    <x v="13"/>
    <n v="2"/>
    <m/>
    <n v="0"/>
    <x v="74"/>
    <n v="0"/>
    <x v="161"/>
    <x v="0"/>
    <x v="0"/>
    <n v="1024.8599999999999"/>
  </r>
  <r>
    <n v="1267"/>
    <x v="266"/>
    <x v="1"/>
    <x v="15"/>
    <n v="3"/>
    <n v="3255.23"/>
    <n v="9765.69"/>
    <x v="1"/>
    <n v="9765.69"/>
    <x v="162"/>
    <x v="0"/>
    <x v="1"/>
    <n v="650.79999999999995"/>
  </r>
  <r>
    <n v="1268"/>
    <x v="267"/>
    <x v="1"/>
    <x v="18"/>
    <n v="1"/>
    <m/>
    <n v="0"/>
    <x v="75"/>
    <n v="0"/>
    <x v="4"/>
    <x v="5"/>
    <x v="0"/>
    <n v="2668.22"/>
  </r>
  <r>
    <n v="1269"/>
    <x v="268"/>
    <x v="4"/>
    <x v="16"/>
    <n v="2"/>
    <m/>
    <n v="0"/>
    <x v="1"/>
    <n v="0"/>
    <x v="4"/>
    <x v="2"/>
    <x v="0"/>
    <n v="483.01"/>
  </r>
  <r>
    <n v="1270"/>
    <x v="269"/>
    <x v="4"/>
    <x v="16"/>
    <n v="0"/>
    <n v="4446.82"/>
    <n v="0"/>
    <x v="1"/>
    <n v="0"/>
    <x v="163"/>
    <x v="4"/>
    <x v="1"/>
    <n v="-293.05"/>
  </r>
  <r>
    <n v="1271"/>
    <x v="270"/>
    <x v="4"/>
    <x v="8"/>
    <n v="2"/>
    <m/>
    <n v="0"/>
    <x v="1"/>
    <n v="0"/>
    <x v="164"/>
    <x v="3"/>
    <x v="1"/>
    <n v="1295.93"/>
  </r>
  <r>
    <n v="1272"/>
    <x v="271"/>
    <x v="3"/>
    <x v="3"/>
    <n v="2"/>
    <n v="1429.94"/>
    <n v="2859.88"/>
    <x v="1"/>
    <n v="2859.88"/>
    <x v="165"/>
    <x v="4"/>
    <x v="1"/>
    <n v="484.51"/>
  </r>
  <r>
    <n v="1273"/>
    <x v="272"/>
    <x v="4"/>
    <x v="8"/>
    <n v="2"/>
    <m/>
    <n v="0"/>
    <x v="1"/>
    <n v="0"/>
    <x v="2"/>
    <x v="4"/>
    <x v="0"/>
    <n v="-431.92"/>
  </r>
  <r>
    <n v="1274"/>
    <x v="273"/>
    <x v="5"/>
    <x v="12"/>
    <n v="2"/>
    <m/>
    <n v="0"/>
    <x v="34"/>
    <n v="0"/>
    <x v="4"/>
    <x v="1"/>
    <x v="1"/>
    <n v="62.98"/>
  </r>
  <r>
    <n v="1275"/>
    <x v="274"/>
    <x v="5"/>
    <x v="6"/>
    <n v="3"/>
    <n v="4132"/>
    <n v="12396"/>
    <x v="1"/>
    <n v="12396"/>
    <x v="166"/>
    <x v="3"/>
    <x v="1"/>
    <n v="2732.47"/>
  </r>
  <r>
    <n v="1276"/>
    <x v="275"/>
    <x v="2"/>
    <x v="17"/>
    <n v="2"/>
    <n v="3243.45"/>
    <n v="6486.9"/>
    <x v="76"/>
    <n v="2529.8910000000001"/>
    <x v="4"/>
    <x v="2"/>
    <x v="0"/>
    <n v="-869.12"/>
  </r>
  <r>
    <n v="1277"/>
    <x v="276"/>
    <x v="3"/>
    <x v="7"/>
    <n v="2"/>
    <n v="4720.5200000000004"/>
    <n v="9441.0400000000009"/>
    <x v="13"/>
    <n v="4059.6472000000008"/>
    <x v="167"/>
    <x v="0"/>
    <x v="0"/>
    <n v="1255.6600000000001"/>
  </r>
  <r>
    <n v="1278"/>
    <x v="277"/>
    <x v="3"/>
    <x v="7"/>
    <n v="2"/>
    <n v="3550.91"/>
    <n v="7101.82"/>
    <x v="1"/>
    <n v="7101.82"/>
    <x v="168"/>
    <x v="0"/>
    <x v="0"/>
    <n v="466.53"/>
  </r>
  <r>
    <n v="1279"/>
    <x v="278"/>
    <x v="2"/>
    <x v="17"/>
    <n v="2"/>
    <n v="2600.33"/>
    <n v="5200.66"/>
    <x v="1"/>
    <n v="5200.66"/>
    <x v="169"/>
    <x v="1"/>
    <x v="0"/>
    <n v="1430.67"/>
  </r>
  <r>
    <n v="1280"/>
    <x v="279"/>
    <x v="4"/>
    <x v="4"/>
    <n v="3"/>
    <m/>
    <n v="0"/>
    <x v="1"/>
    <n v="0"/>
    <x v="170"/>
    <x v="1"/>
    <x v="1"/>
    <n v="263.41000000000003"/>
  </r>
  <r>
    <n v="1003"/>
    <x v="280"/>
    <x v="1"/>
    <x v="1"/>
    <n v="-2"/>
    <n v="548.19000000000005"/>
    <n v="-1096.3800000000001"/>
    <x v="1"/>
    <n v="-1096.3800000000001"/>
    <x v="171"/>
    <x v="2"/>
    <x v="0"/>
    <n v="259.02999999999997"/>
  </r>
  <r>
    <n v="1282"/>
    <x v="281"/>
    <x v="2"/>
    <x v="2"/>
    <n v="-1"/>
    <m/>
    <n v="0"/>
    <x v="50"/>
    <n v="0"/>
    <x v="172"/>
    <x v="2"/>
    <x v="1"/>
    <n v="-909.75"/>
  </r>
  <r>
    <n v="1283"/>
    <x v="282"/>
    <x v="2"/>
    <x v="13"/>
    <n v="2"/>
    <m/>
    <n v="0"/>
    <x v="52"/>
    <n v="0"/>
    <x v="4"/>
    <x v="4"/>
    <x v="1"/>
    <n v="379.24"/>
  </r>
  <r>
    <n v="1284"/>
    <x v="283"/>
    <x v="1"/>
    <x v="1"/>
    <n v="2"/>
    <n v="1500.19"/>
    <n v="3000.38"/>
    <x v="1"/>
    <n v="3000.38"/>
    <x v="173"/>
    <x v="4"/>
    <x v="0"/>
    <n v="-348.48"/>
  </r>
  <r>
    <n v="1285"/>
    <x v="284"/>
    <x v="3"/>
    <x v="3"/>
    <n v="5"/>
    <m/>
    <n v="0"/>
    <x v="1"/>
    <n v="0"/>
    <x v="4"/>
    <x v="0"/>
    <x v="0"/>
    <n v="2024.84"/>
  </r>
  <r>
    <n v="1286"/>
    <x v="285"/>
    <x v="4"/>
    <x v="16"/>
    <n v="2"/>
    <n v="2972.45"/>
    <n v="5944.9"/>
    <x v="1"/>
    <n v="5944.9"/>
    <x v="174"/>
    <x v="2"/>
    <x v="0"/>
    <n v="2562.54"/>
  </r>
  <r>
    <n v="1287"/>
    <x v="286"/>
    <x v="0"/>
    <x v="0"/>
    <n v="2"/>
    <m/>
    <n v="0"/>
    <x v="1"/>
    <n v="0"/>
    <x v="175"/>
    <x v="3"/>
    <x v="1"/>
    <n v="802.66"/>
  </r>
  <r>
    <n v="1288"/>
    <x v="287"/>
    <x v="2"/>
    <x v="13"/>
    <n v="4"/>
    <m/>
    <n v="0"/>
    <x v="1"/>
    <n v="0"/>
    <x v="4"/>
    <x v="0"/>
    <x v="1"/>
    <n v="-492.73"/>
  </r>
  <r>
    <n v="1289"/>
    <x v="288"/>
    <x v="1"/>
    <x v="18"/>
    <n v="2"/>
    <n v="3590.85"/>
    <n v="7181.7"/>
    <x v="1"/>
    <n v="7181.7"/>
    <x v="4"/>
    <x v="2"/>
    <x v="0"/>
    <n v="2052.5700000000002"/>
  </r>
  <r>
    <n v="1290"/>
    <x v="289"/>
    <x v="0"/>
    <x v="0"/>
    <n v="2"/>
    <n v="1412.12"/>
    <n v="2824.24"/>
    <x v="61"/>
    <n v="-564.84799999999984"/>
    <x v="4"/>
    <x v="0"/>
    <x v="1"/>
    <n v="430.92"/>
  </r>
  <r>
    <n v="1291"/>
    <x v="290"/>
    <x v="1"/>
    <x v="1"/>
    <n v="2"/>
    <m/>
    <n v="0"/>
    <x v="1"/>
    <n v="0"/>
    <x v="4"/>
    <x v="4"/>
    <x v="0"/>
    <n v="1073.44"/>
  </r>
  <r>
    <n v="1292"/>
    <x v="291"/>
    <x v="5"/>
    <x v="11"/>
    <n v="3"/>
    <m/>
    <n v="0"/>
    <x v="28"/>
    <n v="0"/>
    <x v="4"/>
    <x v="2"/>
    <x v="0"/>
    <n v="1165.8599999999999"/>
  </r>
  <r>
    <n v="1293"/>
    <x v="292"/>
    <x v="1"/>
    <x v="18"/>
    <n v="2"/>
    <m/>
    <n v="0"/>
    <x v="1"/>
    <n v="0"/>
    <x v="4"/>
    <x v="4"/>
    <x v="1"/>
    <n v="2073.16"/>
  </r>
  <r>
    <n v="1294"/>
    <x v="293"/>
    <x v="3"/>
    <x v="21"/>
    <n v="2"/>
    <m/>
    <n v="0"/>
    <x v="10"/>
    <n v="0"/>
    <x v="4"/>
    <x v="0"/>
    <x v="1"/>
    <n v="898.24"/>
  </r>
  <r>
    <n v="1295"/>
    <x v="294"/>
    <x v="1"/>
    <x v="22"/>
    <n v="-1"/>
    <m/>
    <n v="0"/>
    <x v="1"/>
    <n v="0"/>
    <x v="176"/>
    <x v="3"/>
    <x v="0"/>
    <n v="2967.72"/>
  </r>
  <r>
    <n v="1296"/>
    <x v="295"/>
    <x v="0"/>
    <x v="0"/>
    <n v="-2"/>
    <n v="2795.79"/>
    <n v="-5591.58"/>
    <x v="1"/>
    <n v="-5591.58"/>
    <x v="177"/>
    <x v="3"/>
    <x v="1"/>
    <n v="1438.47"/>
  </r>
  <r>
    <n v="1297"/>
    <x v="296"/>
    <x v="1"/>
    <x v="1"/>
    <n v="2"/>
    <n v="4524.2"/>
    <n v="9048.4"/>
    <x v="1"/>
    <n v="9048.4"/>
    <x v="178"/>
    <x v="0"/>
    <x v="0"/>
    <n v="1637.33"/>
  </r>
  <r>
    <n v="1298"/>
    <x v="297"/>
    <x v="4"/>
    <x v="16"/>
    <n v="2"/>
    <m/>
    <n v="0"/>
    <x v="1"/>
    <n v="0"/>
    <x v="82"/>
    <x v="1"/>
    <x v="0"/>
    <n v="2490.23"/>
  </r>
  <r>
    <n v="1299"/>
    <x v="298"/>
    <x v="1"/>
    <x v="18"/>
    <n v="1"/>
    <n v="1026.58"/>
    <n v="1026.58"/>
    <x v="1"/>
    <n v="1026.58"/>
    <x v="11"/>
    <x v="4"/>
    <x v="0"/>
    <n v="1178.3699999999999"/>
  </r>
  <r>
    <n v="1300"/>
    <x v="299"/>
    <x v="0"/>
    <x v="0"/>
    <n v="2"/>
    <n v="4611.8999999999996"/>
    <n v="9223.7999999999993"/>
    <x v="1"/>
    <n v="9223.7999999999993"/>
    <x v="140"/>
    <x v="0"/>
    <x v="1"/>
    <n v="703.48"/>
  </r>
  <r>
    <n v="1047"/>
    <x v="300"/>
    <x v="0"/>
    <x v="9"/>
    <n v="5"/>
    <m/>
    <n v="0"/>
    <x v="23"/>
    <n v="0"/>
    <x v="179"/>
    <x v="4"/>
    <x v="0"/>
    <n v="1368.68"/>
  </r>
  <r>
    <n v="1302"/>
    <x v="301"/>
    <x v="0"/>
    <x v="20"/>
    <n v="5"/>
    <m/>
    <n v="0"/>
    <x v="48"/>
    <n v="0"/>
    <x v="154"/>
    <x v="1"/>
    <x v="0"/>
    <n v="339.17"/>
  </r>
  <r>
    <n v="1303"/>
    <x v="302"/>
    <x v="0"/>
    <x v="9"/>
    <n v="3"/>
    <n v="1192.1600000000001"/>
    <n v="3576.4800000000005"/>
    <x v="1"/>
    <n v="3576.4800000000005"/>
    <x v="4"/>
    <x v="5"/>
    <x v="1"/>
    <n v="505.33"/>
  </r>
  <r>
    <n v="1047"/>
    <x v="303"/>
    <x v="5"/>
    <x v="11"/>
    <n v="2"/>
    <n v="3218.39"/>
    <n v="6436.78"/>
    <x v="1"/>
    <n v="6436.78"/>
    <x v="180"/>
    <x v="2"/>
    <x v="1"/>
    <n v="-442.98"/>
  </r>
  <r>
    <n v="1305"/>
    <x v="304"/>
    <x v="1"/>
    <x v="15"/>
    <n v="3"/>
    <m/>
    <n v="0"/>
    <x v="1"/>
    <n v="0"/>
    <x v="181"/>
    <x v="0"/>
    <x v="0"/>
    <n v="2861.3"/>
  </r>
  <r>
    <n v="1306"/>
    <x v="305"/>
    <x v="3"/>
    <x v="3"/>
    <n v="4"/>
    <m/>
    <n v="0"/>
    <x v="1"/>
    <n v="0"/>
    <x v="4"/>
    <x v="1"/>
    <x v="0"/>
    <n v="99.1"/>
  </r>
  <r>
    <n v="1307"/>
    <x v="306"/>
    <x v="5"/>
    <x v="11"/>
    <n v="2"/>
    <n v="2648.43"/>
    <n v="5296.86"/>
    <x v="1"/>
    <n v="5296.86"/>
    <x v="119"/>
    <x v="1"/>
    <x v="1"/>
    <n v="642"/>
  </r>
  <r>
    <n v="1308"/>
    <x v="307"/>
    <x v="5"/>
    <x v="19"/>
    <n v="2"/>
    <n v="4203.62"/>
    <n v="8407.24"/>
    <x v="1"/>
    <n v="8407.24"/>
    <x v="182"/>
    <x v="2"/>
    <x v="1"/>
    <n v="464.65"/>
  </r>
  <r>
    <n v="1309"/>
    <x v="308"/>
    <x v="3"/>
    <x v="23"/>
    <n v="2"/>
    <m/>
    <n v="0"/>
    <x v="1"/>
    <n v="0"/>
    <x v="92"/>
    <x v="5"/>
    <x v="1"/>
    <n v="481.45"/>
  </r>
  <r>
    <n v="1310"/>
    <x v="309"/>
    <x v="5"/>
    <x v="11"/>
    <n v="2"/>
    <m/>
    <n v="0"/>
    <x v="1"/>
    <n v="0"/>
    <x v="68"/>
    <x v="5"/>
    <x v="1"/>
    <n v="1516.35"/>
  </r>
  <r>
    <n v="1311"/>
    <x v="310"/>
    <x v="1"/>
    <x v="15"/>
    <n v="3"/>
    <m/>
    <n v="0"/>
    <x v="77"/>
    <n v="0"/>
    <x v="165"/>
    <x v="2"/>
    <x v="1"/>
    <n v="-109.19"/>
  </r>
  <r>
    <n v="1312"/>
    <x v="311"/>
    <x v="3"/>
    <x v="7"/>
    <n v="2"/>
    <m/>
    <n v="0"/>
    <x v="1"/>
    <n v="0"/>
    <x v="183"/>
    <x v="5"/>
    <x v="1"/>
    <n v="-646.16"/>
  </r>
  <r>
    <n v="1313"/>
    <x v="312"/>
    <x v="3"/>
    <x v="21"/>
    <n v="2"/>
    <n v="4763.45"/>
    <n v="9526.9"/>
    <x v="78"/>
    <n v="381.07600000000031"/>
    <x v="184"/>
    <x v="5"/>
    <x v="0"/>
    <n v="-581.35"/>
  </r>
  <r>
    <n v="1314"/>
    <x v="313"/>
    <x v="2"/>
    <x v="13"/>
    <n v="-1"/>
    <m/>
    <n v="0"/>
    <x v="1"/>
    <n v="0"/>
    <x v="185"/>
    <x v="4"/>
    <x v="0"/>
    <n v="1148.06"/>
  </r>
  <r>
    <n v="1315"/>
    <x v="314"/>
    <x v="0"/>
    <x v="5"/>
    <n v="-2"/>
    <n v="515.04"/>
    <n v="-1030.08"/>
    <x v="1"/>
    <n v="-1030.08"/>
    <x v="186"/>
    <x v="3"/>
    <x v="0"/>
    <n v="-279.01"/>
  </r>
  <r>
    <n v="1316"/>
    <x v="315"/>
    <x v="4"/>
    <x v="4"/>
    <n v="2"/>
    <n v="1345.98"/>
    <n v="2691.96"/>
    <x v="1"/>
    <n v="2691.96"/>
    <x v="187"/>
    <x v="5"/>
    <x v="0"/>
    <n v="-177.6"/>
  </r>
  <r>
    <n v="1317"/>
    <x v="316"/>
    <x v="3"/>
    <x v="21"/>
    <n v="0"/>
    <m/>
    <n v="0"/>
    <x v="1"/>
    <n v="0"/>
    <x v="188"/>
    <x v="2"/>
    <x v="1"/>
    <n v="-476.45"/>
  </r>
  <r>
    <n v="1318"/>
    <x v="317"/>
    <x v="3"/>
    <x v="3"/>
    <n v="3"/>
    <m/>
    <n v="0"/>
    <x v="1"/>
    <n v="0"/>
    <x v="4"/>
    <x v="5"/>
    <x v="0"/>
    <n v="1830.14"/>
  </r>
  <r>
    <n v="1319"/>
    <x v="318"/>
    <x v="5"/>
    <x v="19"/>
    <n v="0"/>
    <m/>
    <n v="0"/>
    <x v="1"/>
    <n v="0"/>
    <x v="189"/>
    <x v="1"/>
    <x v="0"/>
    <n v="-66.17"/>
  </r>
  <r>
    <n v="1320"/>
    <x v="319"/>
    <x v="3"/>
    <x v="3"/>
    <n v="4"/>
    <m/>
    <n v="0"/>
    <x v="1"/>
    <n v="0"/>
    <x v="4"/>
    <x v="0"/>
    <x v="1"/>
    <n v="2011.4"/>
  </r>
  <r>
    <n v="1321"/>
    <x v="320"/>
    <x v="1"/>
    <x v="22"/>
    <n v="3"/>
    <m/>
    <n v="0"/>
    <x v="79"/>
    <n v="0"/>
    <x v="190"/>
    <x v="0"/>
    <x v="0"/>
    <n v="632.23"/>
  </r>
  <r>
    <n v="1322"/>
    <x v="321"/>
    <x v="4"/>
    <x v="14"/>
    <n v="2"/>
    <n v="2387.61"/>
    <n v="4775.22"/>
    <x v="1"/>
    <n v="4775.22"/>
    <x v="147"/>
    <x v="0"/>
    <x v="0"/>
    <n v="822.46"/>
  </r>
  <r>
    <n v="1323"/>
    <x v="322"/>
    <x v="1"/>
    <x v="1"/>
    <n v="2"/>
    <m/>
    <n v="0"/>
    <x v="74"/>
    <n v="0"/>
    <x v="191"/>
    <x v="5"/>
    <x v="0"/>
    <n v="-96.6"/>
  </r>
  <r>
    <n v="1324"/>
    <x v="323"/>
    <x v="1"/>
    <x v="15"/>
    <n v="2"/>
    <m/>
    <n v="0"/>
    <x v="1"/>
    <n v="0"/>
    <x v="192"/>
    <x v="2"/>
    <x v="0"/>
    <n v="-610.52"/>
  </r>
  <r>
    <n v="1325"/>
    <x v="324"/>
    <x v="0"/>
    <x v="20"/>
    <n v="2"/>
    <n v="1315.93"/>
    <n v="2631.86"/>
    <x v="1"/>
    <n v="2631.86"/>
    <x v="103"/>
    <x v="3"/>
    <x v="0"/>
    <n v="1435.03"/>
  </r>
  <r>
    <n v="1326"/>
    <x v="325"/>
    <x v="5"/>
    <x v="6"/>
    <n v="2"/>
    <n v="4104.3599999999997"/>
    <n v="8208.7199999999993"/>
    <x v="44"/>
    <n v="-902.95920000000069"/>
    <x v="193"/>
    <x v="2"/>
    <x v="0"/>
    <n v="1404.45"/>
  </r>
  <r>
    <n v="1327"/>
    <x v="326"/>
    <x v="2"/>
    <x v="13"/>
    <n v="2"/>
    <n v="2964.44"/>
    <n v="5928.88"/>
    <x v="1"/>
    <n v="5928.88"/>
    <x v="194"/>
    <x v="2"/>
    <x v="0"/>
    <n v="2021.54"/>
  </r>
  <r>
    <n v="1328"/>
    <x v="327"/>
    <x v="2"/>
    <x v="17"/>
    <n v="4"/>
    <n v="3250.24"/>
    <n v="13000.96"/>
    <x v="10"/>
    <n v="5720.4223999999986"/>
    <x v="8"/>
    <x v="5"/>
    <x v="1"/>
    <n v="2269.54"/>
  </r>
  <r>
    <n v="1329"/>
    <x v="328"/>
    <x v="4"/>
    <x v="16"/>
    <n v="1"/>
    <n v="2587.7800000000002"/>
    <n v="2587.7800000000002"/>
    <x v="1"/>
    <n v="2587.7800000000002"/>
    <x v="195"/>
    <x v="4"/>
    <x v="0"/>
    <n v="1667.02"/>
  </r>
  <r>
    <n v="1330"/>
    <x v="329"/>
    <x v="5"/>
    <x v="11"/>
    <n v="-2"/>
    <m/>
    <n v="0"/>
    <x v="1"/>
    <n v="0"/>
    <x v="67"/>
    <x v="1"/>
    <x v="0"/>
    <n v="-587.38"/>
  </r>
  <r>
    <n v="1331"/>
    <x v="330"/>
    <x v="3"/>
    <x v="3"/>
    <n v="6"/>
    <m/>
    <n v="0"/>
    <x v="1"/>
    <n v="0"/>
    <x v="21"/>
    <x v="3"/>
    <x v="0"/>
    <n v="1301.18"/>
  </r>
  <r>
    <n v="1332"/>
    <x v="331"/>
    <x v="4"/>
    <x v="16"/>
    <n v="2"/>
    <m/>
    <n v="0"/>
    <x v="80"/>
    <n v="0"/>
    <x v="196"/>
    <x v="2"/>
    <x v="0"/>
    <n v="2301.09"/>
  </r>
  <r>
    <n v="1028"/>
    <x v="332"/>
    <x v="3"/>
    <x v="21"/>
    <n v="2"/>
    <m/>
    <n v="0"/>
    <x v="1"/>
    <n v="0"/>
    <x v="197"/>
    <x v="1"/>
    <x v="1"/>
    <n v="2502.73"/>
  </r>
  <r>
    <n v="1334"/>
    <x v="333"/>
    <x v="5"/>
    <x v="11"/>
    <n v="6"/>
    <n v="1454.69"/>
    <n v="8728.14"/>
    <x v="1"/>
    <n v="8728.14"/>
    <x v="198"/>
    <x v="0"/>
    <x v="0"/>
    <n v="652.87"/>
  </r>
  <r>
    <n v="1335"/>
    <x v="334"/>
    <x v="2"/>
    <x v="13"/>
    <n v="5"/>
    <m/>
    <n v="0"/>
    <x v="1"/>
    <n v="0"/>
    <x v="140"/>
    <x v="4"/>
    <x v="0"/>
    <n v="-815.88"/>
  </r>
  <r>
    <n v="1336"/>
    <x v="335"/>
    <x v="1"/>
    <x v="18"/>
    <n v="2"/>
    <m/>
    <n v="0"/>
    <x v="1"/>
    <n v="0"/>
    <x v="4"/>
    <x v="0"/>
    <x v="1"/>
    <n v="2000.91"/>
  </r>
  <r>
    <n v="1337"/>
    <x v="336"/>
    <x v="1"/>
    <x v="18"/>
    <n v="6"/>
    <n v="2286.6799999999998"/>
    <n v="13720.079999999998"/>
    <x v="81"/>
    <n v="-3704.4215999999997"/>
    <x v="135"/>
    <x v="4"/>
    <x v="0"/>
    <n v="716.16"/>
  </r>
  <r>
    <n v="1338"/>
    <x v="337"/>
    <x v="4"/>
    <x v="16"/>
    <n v="0"/>
    <m/>
    <n v="0"/>
    <x v="1"/>
    <n v="0"/>
    <x v="199"/>
    <x v="1"/>
    <x v="1"/>
    <n v="415.06"/>
  </r>
  <r>
    <n v="1339"/>
    <x v="338"/>
    <x v="5"/>
    <x v="11"/>
    <n v="2"/>
    <n v="4507.5"/>
    <n v="9015"/>
    <x v="1"/>
    <n v="9015"/>
    <x v="200"/>
    <x v="3"/>
    <x v="0"/>
    <n v="2552.65"/>
  </r>
  <r>
    <n v="1340"/>
    <x v="339"/>
    <x v="0"/>
    <x v="9"/>
    <n v="2"/>
    <m/>
    <n v="0"/>
    <x v="82"/>
    <n v="0"/>
    <x v="3"/>
    <x v="2"/>
    <x v="0"/>
    <n v="1282.27"/>
  </r>
  <r>
    <n v="1341"/>
    <x v="340"/>
    <x v="2"/>
    <x v="13"/>
    <n v="-1"/>
    <n v="3074.06"/>
    <n v="-3074.06"/>
    <x v="72"/>
    <n v="737.77440000000001"/>
    <x v="201"/>
    <x v="1"/>
    <x v="0"/>
    <n v="2634.42"/>
  </r>
  <r>
    <n v="1342"/>
    <x v="341"/>
    <x v="5"/>
    <x v="12"/>
    <n v="-1"/>
    <n v="4707.2"/>
    <n v="-4707.2"/>
    <x v="1"/>
    <n v="-4707.2"/>
    <x v="4"/>
    <x v="5"/>
    <x v="1"/>
    <n v="1395.82"/>
  </r>
  <r>
    <n v="1343"/>
    <x v="342"/>
    <x v="0"/>
    <x v="20"/>
    <n v="2"/>
    <n v="4012.48"/>
    <n v="8024.96"/>
    <x v="1"/>
    <n v="8024.96"/>
    <x v="38"/>
    <x v="2"/>
    <x v="0"/>
    <n v="730.98"/>
  </r>
  <r>
    <n v="1344"/>
    <x v="343"/>
    <x v="0"/>
    <x v="9"/>
    <n v="4"/>
    <n v="3386.91"/>
    <n v="13547.64"/>
    <x v="1"/>
    <n v="13547.64"/>
    <x v="4"/>
    <x v="2"/>
    <x v="0"/>
    <n v="2006.17"/>
  </r>
  <r>
    <n v="1040"/>
    <x v="344"/>
    <x v="4"/>
    <x v="14"/>
    <n v="2"/>
    <m/>
    <n v="0"/>
    <x v="21"/>
    <n v="0"/>
    <x v="4"/>
    <x v="3"/>
    <x v="1"/>
    <n v="2721.4"/>
  </r>
  <r>
    <n v="1346"/>
    <x v="345"/>
    <x v="2"/>
    <x v="13"/>
    <n v="-2"/>
    <n v="1622.65"/>
    <n v="-3245.3"/>
    <x v="1"/>
    <n v="-3245.3"/>
    <x v="4"/>
    <x v="2"/>
    <x v="0"/>
    <n v="-891.76"/>
  </r>
  <r>
    <n v="1005"/>
    <x v="346"/>
    <x v="0"/>
    <x v="9"/>
    <n v="6"/>
    <n v="2228.4499999999998"/>
    <n v="13370.699999999999"/>
    <x v="61"/>
    <n v="-2674.139999999999"/>
    <x v="175"/>
    <x v="3"/>
    <x v="0"/>
    <n v="2728.03"/>
  </r>
  <r>
    <n v="1348"/>
    <x v="347"/>
    <x v="4"/>
    <x v="14"/>
    <n v="2"/>
    <n v="1219.2"/>
    <n v="2438.4"/>
    <x v="64"/>
    <n v="-414.52799999999985"/>
    <x v="101"/>
    <x v="4"/>
    <x v="1"/>
    <n v="2694.39"/>
  </r>
  <r>
    <n v="1349"/>
    <x v="348"/>
    <x v="1"/>
    <x v="22"/>
    <n v="-2"/>
    <m/>
    <n v="0"/>
    <x v="83"/>
    <n v="0"/>
    <x v="202"/>
    <x v="5"/>
    <x v="1"/>
    <n v="2085.75"/>
  </r>
  <r>
    <n v="1008"/>
    <x v="349"/>
    <x v="4"/>
    <x v="14"/>
    <n v="2"/>
    <n v="2319.84"/>
    <n v="4639.68"/>
    <x v="1"/>
    <n v="4639.68"/>
    <x v="4"/>
    <x v="3"/>
    <x v="1"/>
    <n v="1669.55"/>
  </r>
  <r>
    <n v="1351"/>
    <x v="350"/>
    <x v="2"/>
    <x v="13"/>
    <n v="2"/>
    <m/>
    <n v="0"/>
    <x v="1"/>
    <n v="0"/>
    <x v="203"/>
    <x v="4"/>
    <x v="0"/>
    <n v="2621.66"/>
  </r>
  <r>
    <n v="1034"/>
    <x v="351"/>
    <x v="4"/>
    <x v="16"/>
    <n v="2"/>
    <n v="3991.4"/>
    <n v="7982.8"/>
    <x v="1"/>
    <n v="7982.8"/>
    <x v="204"/>
    <x v="5"/>
    <x v="0"/>
    <n v="-555.4"/>
  </r>
  <r>
    <n v="1042"/>
    <x v="352"/>
    <x v="0"/>
    <x v="9"/>
    <n v="2"/>
    <m/>
    <n v="0"/>
    <x v="40"/>
    <n v="0"/>
    <x v="205"/>
    <x v="3"/>
    <x v="0"/>
    <n v="1558.99"/>
  </r>
  <r>
    <n v="1354"/>
    <x v="353"/>
    <x v="0"/>
    <x v="9"/>
    <n v="1"/>
    <m/>
    <n v="0"/>
    <x v="1"/>
    <n v="0"/>
    <x v="206"/>
    <x v="1"/>
    <x v="0"/>
    <n v="-678.38"/>
  </r>
  <r>
    <n v="1355"/>
    <x v="354"/>
    <x v="5"/>
    <x v="19"/>
    <n v="1"/>
    <n v="1054.69"/>
    <n v="1054.69"/>
    <x v="21"/>
    <n v="864.84580000000005"/>
    <x v="144"/>
    <x v="2"/>
    <x v="1"/>
    <n v="698.05"/>
  </r>
  <r>
    <n v="1356"/>
    <x v="355"/>
    <x v="1"/>
    <x v="18"/>
    <n v="2"/>
    <n v="2418.5500000000002"/>
    <n v="4837.1000000000004"/>
    <x v="29"/>
    <n v="580.452"/>
    <x v="207"/>
    <x v="1"/>
    <x v="0"/>
    <n v="428.96"/>
  </r>
  <r>
    <n v="1357"/>
    <x v="356"/>
    <x v="1"/>
    <x v="1"/>
    <n v="2"/>
    <n v="1128.57"/>
    <n v="2257.14"/>
    <x v="84"/>
    <n v="1376.8553999999999"/>
    <x v="208"/>
    <x v="4"/>
    <x v="0"/>
    <n v="684.88"/>
  </r>
  <r>
    <n v="1358"/>
    <x v="357"/>
    <x v="3"/>
    <x v="7"/>
    <n v="2"/>
    <m/>
    <n v="0"/>
    <x v="85"/>
    <n v="0"/>
    <x v="209"/>
    <x v="3"/>
    <x v="0"/>
    <n v="1347.26"/>
  </r>
  <r>
    <n v="1359"/>
    <x v="358"/>
    <x v="4"/>
    <x v="4"/>
    <n v="2"/>
    <n v="4625.84"/>
    <n v="9251.68"/>
    <x v="1"/>
    <n v="9251.68"/>
    <x v="4"/>
    <x v="2"/>
    <x v="0"/>
    <n v="1663.88"/>
  </r>
  <r>
    <n v="1360"/>
    <x v="359"/>
    <x v="0"/>
    <x v="5"/>
    <n v="2"/>
    <m/>
    <n v="0"/>
    <x v="20"/>
    <n v="0"/>
    <x v="152"/>
    <x v="0"/>
    <x v="0"/>
    <n v="1316.73"/>
  </r>
  <r>
    <n v="1361"/>
    <x v="360"/>
    <x v="4"/>
    <x v="14"/>
    <n v="2"/>
    <m/>
    <n v="0"/>
    <x v="1"/>
    <n v="0"/>
    <x v="210"/>
    <x v="2"/>
    <x v="0"/>
    <n v="528.79999999999995"/>
  </r>
  <r>
    <n v="1362"/>
    <x v="361"/>
    <x v="4"/>
    <x v="14"/>
    <n v="-1"/>
    <n v="4953.0200000000004"/>
    <n v="-4953.0200000000004"/>
    <x v="1"/>
    <n v="-4953.0200000000004"/>
    <x v="211"/>
    <x v="1"/>
    <x v="0"/>
    <n v="-499.33"/>
  </r>
  <r>
    <n v="1363"/>
    <x v="362"/>
    <x v="5"/>
    <x v="19"/>
    <n v="6"/>
    <m/>
    <n v="0"/>
    <x v="1"/>
    <n v="0"/>
    <x v="4"/>
    <x v="2"/>
    <x v="1"/>
    <n v="2143.4"/>
  </r>
  <r>
    <n v="1364"/>
    <x v="363"/>
    <x v="4"/>
    <x v="14"/>
    <n v="2"/>
    <m/>
    <n v="0"/>
    <x v="86"/>
    <n v="0"/>
    <x v="4"/>
    <x v="1"/>
    <x v="0"/>
    <n v="1839.35"/>
  </r>
  <r>
    <n v="1365"/>
    <x v="364"/>
    <x v="5"/>
    <x v="11"/>
    <n v="1"/>
    <n v="776.52"/>
    <n v="776.52"/>
    <x v="1"/>
    <n v="776.52"/>
    <x v="4"/>
    <x v="0"/>
    <x v="0"/>
    <n v="2757.77"/>
  </r>
  <r>
    <n v="1366"/>
    <x v="365"/>
    <x v="5"/>
    <x v="19"/>
    <n v="2"/>
    <n v="1927.12"/>
    <n v="3854.24"/>
    <x v="87"/>
    <n v="2158.3744000000002"/>
    <x v="89"/>
    <x v="3"/>
    <x v="0"/>
    <n v="928.57"/>
  </r>
  <r>
    <n v="1367"/>
    <x v="366"/>
    <x v="3"/>
    <x v="23"/>
    <n v="2"/>
    <n v="573.79999999999995"/>
    <n v="1147.5999999999999"/>
    <x v="1"/>
    <n v="1147.5999999999999"/>
    <x v="94"/>
    <x v="1"/>
    <x v="1"/>
    <n v="2546.35"/>
  </r>
  <r>
    <n v="1368"/>
    <x v="367"/>
    <x v="4"/>
    <x v="14"/>
    <n v="4"/>
    <n v="4032.95"/>
    <n v="16131.8"/>
    <x v="1"/>
    <n v="16131.8"/>
    <x v="4"/>
    <x v="1"/>
    <x v="0"/>
    <n v="-20.09"/>
  </r>
  <r>
    <n v="1369"/>
    <x v="368"/>
    <x v="3"/>
    <x v="23"/>
    <n v="2"/>
    <m/>
    <n v="0"/>
    <x v="9"/>
    <n v="0"/>
    <x v="212"/>
    <x v="4"/>
    <x v="0"/>
    <n v="-844.78"/>
  </r>
  <r>
    <n v="1370"/>
    <x v="369"/>
    <x v="5"/>
    <x v="19"/>
    <n v="-2"/>
    <n v="2345.4899999999998"/>
    <n v="-4690.9799999999996"/>
    <x v="68"/>
    <n v="844.37639999999965"/>
    <x v="213"/>
    <x v="4"/>
    <x v="1"/>
    <n v="212.66"/>
  </r>
  <r>
    <n v="1371"/>
    <x v="370"/>
    <x v="0"/>
    <x v="20"/>
    <n v="2"/>
    <m/>
    <n v="0"/>
    <x v="1"/>
    <n v="0"/>
    <x v="4"/>
    <x v="2"/>
    <x v="1"/>
    <n v="72.959999999999994"/>
  </r>
  <r>
    <n v="1372"/>
    <x v="371"/>
    <x v="3"/>
    <x v="7"/>
    <n v="1"/>
    <m/>
    <n v="0"/>
    <x v="17"/>
    <n v="0"/>
    <x v="214"/>
    <x v="0"/>
    <x v="0"/>
    <n v="418.89"/>
  </r>
  <r>
    <n v="1373"/>
    <x v="372"/>
    <x v="1"/>
    <x v="22"/>
    <n v="-2"/>
    <n v="3523.43"/>
    <n v="-7046.86"/>
    <x v="17"/>
    <n v="-5707.9566000000004"/>
    <x v="4"/>
    <x v="0"/>
    <x v="0"/>
    <n v="-892.76"/>
  </r>
  <r>
    <n v="1374"/>
    <x v="373"/>
    <x v="4"/>
    <x v="14"/>
    <n v="1"/>
    <m/>
    <n v="0"/>
    <x v="1"/>
    <n v="0"/>
    <x v="215"/>
    <x v="3"/>
    <x v="0"/>
    <n v="2519.16"/>
  </r>
  <r>
    <n v="1375"/>
    <x v="374"/>
    <x v="0"/>
    <x v="9"/>
    <n v="3"/>
    <n v="420.42"/>
    <n v="1261.26"/>
    <x v="1"/>
    <n v="1261.26"/>
    <x v="4"/>
    <x v="4"/>
    <x v="0"/>
    <n v="1318.19"/>
  </r>
  <r>
    <n v="1376"/>
    <x v="375"/>
    <x v="3"/>
    <x v="23"/>
    <n v="4"/>
    <n v="1447.28"/>
    <n v="5789.12"/>
    <x v="1"/>
    <n v="5789.12"/>
    <x v="216"/>
    <x v="4"/>
    <x v="1"/>
    <n v="175.33"/>
  </r>
  <r>
    <n v="1377"/>
    <x v="376"/>
    <x v="1"/>
    <x v="18"/>
    <n v="0"/>
    <m/>
    <n v="0"/>
    <x v="88"/>
    <n v="0"/>
    <x v="4"/>
    <x v="3"/>
    <x v="1"/>
    <n v="2229.9499999999998"/>
  </r>
  <r>
    <n v="1378"/>
    <x v="377"/>
    <x v="1"/>
    <x v="1"/>
    <n v="5"/>
    <n v="4581.26"/>
    <n v="22906.300000000003"/>
    <x v="68"/>
    <n v="-4123.1339999999991"/>
    <x v="217"/>
    <x v="3"/>
    <x v="0"/>
    <n v="-345.1"/>
  </r>
  <r>
    <n v="1013"/>
    <x v="378"/>
    <x v="1"/>
    <x v="1"/>
    <n v="2"/>
    <m/>
    <n v="0"/>
    <x v="1"/>
    <n v="0"/>
    <x v="218"/>
    <x v="0"/>
    <x v="0"/>
    <n v="1647.38"/>
  </r>
  <r>
    <n v="1380"/>
    <x v="379"/>
    <x v="5"/>
    <x v="19"/>
    <n v="2"/>
    <m/>
    <n v="0"/>
    <x v="1"/>
    <n v="0"/>
    <x v="4"/>
    <x v="0"/>
    <x v="1"/>
    <n v="-475.94"/>
  </r>
  <r>
    <n v="1381"/>
    <x v="380"/>
    <x v="0"/>
    <x v="20"/>
    <n v="1"/>
    <m/>
    <n v="0"/>
    <x v="89"/>
    <n v="0"/>
    <x v="219"/>
    <x v="3"/>
    <x v="0"/>
    <n v="-136.30000000000001"/>
  </r>
  <r>
    <n v="1382"/>
    <x v="381"/>
    <x v="0"/>
    <x v="5"/>
    <n v="-2"/>
    <m/>
    <n v="0"/>
    <x v="1"/>
    <n v="0"/>
    <x v="220"/>
    <x v="3"/>
    <x v="1"/>
    <n v="-165.59"/>
  </r>
  <r>
    <n v="1383"/>
    <x v="382"/>
    <x v="5"/>
    <x v="11"/>
    <n v="5"/>
    <n v="2409.13"/>
    <n v="12045.650000000001"/>
    <x v="1"/>
    <n v="12045.650000000001"/>
    <x v="221"/>
    <x v="5"/>
    <x v="0"/>
    <n v="127.63"/>
  </r>
  <r>
    <n v="1048"/>
    <x v="383"/>
    <x v="2"/>
    <x v="13"/>
    <n v="2"/>
    <m/>
    <n v="0"/>
    <x v="1"/>
    <n v="0"/>
    <x v="82"/>
    <x v="1"/>
    <x v="0"/>
    <n v="2393.9899999999998"/>
  </r>
  <r>
    <n v="1385"/>
    <x v="384"/>
    <x v="5"/>
    <x v="12"/>
    <n v="1"/>
    <m/>
    <n v="0"/>
    <x v="1"/>
    <n v="0"/>
    <x v="4"/>
    <x v="3"/>
    <x v="0"/>
    <n v="2744.77"/>
  </r>
  <r>
    <n v="1386"/>
    <x v="385"/>
    <x v="2"/>
    <x v="17"/>
    <n v="5"/>
    <n v="4439.8100000000004"/>
    <n v="22199.050000000003"/>
    <x v="9"/>
    <n v="-2219.9050000000025"/>
    <x v="126"/>
    <x v="0"/>
    <x v="1"/>
    <n v="1669.09"/>
  </r>
  <r>
    <n v="1387"/>
    <x v="386"/>
    <x v="1"/>
    <x v="1"/>
    <n v="3"/>
    <m/>
    <n v="0"/>
    <x v="1"/>
    <n v="0"/>
    <x v="222"/>
    <x v="5"/>
    <x v="0"/>
    <n v="-505.47"/>
  </r>
  <r>
    <n v="1388"/>
    <x v="387"/>
    <x v="5"/>
    <x v="6"/>
    <n v="4"/>
    <m/>
    <n v="0"/>
    <x v="1"/>
    <n v="0"/>
    <x v="128"/>
    <x v="0"/>
    <x v="0"/>
    <n v="475.79"/>
  </r>
  <r>
    <n v="1389"/>
    <x v="388"/>
    <x v="5"/>
    <x v="12"/>
    <n v="2"/>
    <n v="2742.38"/>
    <n v="5484.76"/>
    <x v="1"/>
    <n v="5484.76"/>
    <x v="223"/>
    <x v="1"/>
    <x v="0"/>
    <n v="1987.46"/>
  </r>
  <r>
    <n v="1390"/>
    <x v="389"/>
    <x v="0"/>
    <x v="0"/>
    <n v="4"/>
    <m/>
    <n v="0"/>
    <x v="1"/>
    <n v="0"/>
    <x v="4"/>
    <x v="5"/>
    <x v="0"/>
    <n v="1789.75"/>
  </r>
  <r>
    <n v="1391"/>
    <x v="390"/>
    <x v="2"/>
    <x v="13"/>
    <n v="0"/>
    <n v="2213.79"/>
    <n v="0"/>
    <x v="86"/>
    <n v="0"/>
    <x v="224"/>
    <x v="4"/>
    <x v="0"/>
    <n v="418.24"/>
  </r>
  <r>
    <n v="1014"/>
    <x v="391"/>
    <x v="0"/>
    <x v="20"/>
    <n v="2"/>
    <n v="784.1"/>
    <n v="1568.2"/>
    <x v="1"/>
    <n v="1568.2"/>
    <x v="204"/>
    <x v="0"/>
    <x v="0"/>
    <n v="401.24"/>
  </r>
  <r>
    <n v="1393"/>
    <x v="392"/>
    <x v="1"/>
    <x v="15"/>
    <n v="6"/>
    <m/>
    <n v="0"/>
    <x v="1"/>
    <n v="0"/>
    <x v="4"/>
    <x v="4"/>
    <x v="0"/>
    <n v="2001.24"/>
  </r>
  <r>
    <n v="1394"/>
    <x v="393"/>
    <x v="1"/>
    <x v="15"/>
    <n v="2"/>
    <n v="1218.6500000000001"/>
    <n v="2437.3000000000002"/>
    <x v="1"/>
    <n v="2437.3000000000002"/>
    <x v="183"/>
    <x v="4"/>
    <x v="0"/>
    <n v="2538.59"/>
  </r>
  <r>
    <n v="1395"/>
    <x v="394"/>
    <x v="5"/>
    <x v="12"/>
    <n v="2"/>
    <m/>
    <n v="0"/>
    <x v="1"/>
    <n v="0"/>
    <x v="81"/>
    <x v="2"/>
    <x v="1"/>
    <n v="-357.08"/>
  </r>
  <r>
    <n v="1396"/>
    <x v="395"/>
    <x v="0"/>
    <x v="9"/>
    <n v="2"/>
    <n v="3663.65"/>
    <n v="7327.3"/>
    <x v="42"/>
    <n v="5422.2020000000002"/>
    <x v="4"/>
    <x v="1"/>
    <x v="1"/>
    <n v="1553.44"/>
  </r>
  <r>
    <n v="1397"/>
    <x v="396"/>
    <x v="1"/>
    <x v="22"/>
    <n v="2"/>
    <m/>
    <n v="0"/>
    <x v="1"/>
    <n v="0"/>
    <x v="28"/>
    <x v="3"/>
    <x v="0"/>
    <n v="1239.6199999999999"/>
  </r>
  <r>
    <n v="1398"/>
    <x v="397"/>
    <x v="5"/>
    <x v="6"/>
    <n v="2"/>
    <m/>
    <n v="0"/>
    <x v="1"/>
    <n v="0"/>
    <x v="225"/>
    <x v="4"/>
    <x v="0"/>
    <n v="-43.7"/>
  </r>
  <r>
    <n v="1399"/>
    <x v="398"/>
    <x v="1"/>
    <x v="18"/>
    <n v="4"/>
    <m/>
    <n v="0"/>
    <x v="90"/>
    <n v="0"/>
    <x v="226"/>
    <x v="0"/>
    <x v="0"/>
    <n v="-444.08"/>
  </r>
  <r>
    <n v="1400"/>
    <x v="399"/>
    <x v="4"/>
    <x v="14"/>
    <n v="2"/>
    <m/>
    <n v="0"/>
    <x v="1"/>
    <n v="0"/>
    <x v="0"/>
    <x v="0"/>
    <x v="0"/>
    <n v="1385.55"/>
  </r>
  <r>
    <n v="1401"/>
    <x v="400"/>
    <x v="4"/>
    <x v="14"/>
    <n v="-2"/>
    <m/>
    <n v="0"/>
    <x v="1"/>
    <n v="0"/>
    <x v="95"/>
    <x v="4"/>
    <x v="0"/>
    <n v="-751.05"/>
  </r>
  <r>
    <n v="1402"/>
    <x v="401"/>
    <x v="3"/>
    <x v="21"/>
    <n v="2"/>
    <n v="603.51"/>
    <n v="1207.02"/>
    <x v="85"/>
    <n v="-277.6146"/>
    <x v="227"/>
    <x v="4"/>
    <x v="0"/>
    <n v="982.01"/>
  </r>
  <r>
    <n v="1403"/>
    <x v="402"/>
    <x v="4"/>
    <x v="4"/>
    <n v="2"/>
    <m/>
    <n v="0"/>
    <x v="1"/>
    <n v="0"/>
    <x v="228"/>
    <x v="4"/>
    <x v="0"/>
    <n v="2210.0700000000002"/>
  </r>
  <r>
    <n v="1404"/>
    <x v="403"/>
    <x v="3"/>
    <x v="21"/>
    <n v="2"/>
    <n v="3074.59"/>
    <n v="6149.18"/>
    <x v="1"/>
    <n v="6149.18"/>
    <x v="4"/>
    <x v="3"/>
    <x v="0"/>
    <n v="1979.07"/>
  </r>
  <r>
    <n v="1405"/>
    <x v="404"/>
    <x v="5"/>
    <x v="11"/>
    <n v="2"/>
    <m/>
    <n v="0"/>
    <x v="10"/>
    <n v="0"/>
    <x v="15"/>
    <x v="2"/>
    <x v="0"/>
    <n v="2345.6799999999998"/>
  </r>
  <r>
    <n v="1406"/>
    <x v="405"/>
    <x v="5"/>
    <x v="11"/>
    <n v="2"/>
    <m/>
    <n v="0"/>
    <x v="1"/>
    <n v="0"/>
    <x v="64"/>
    <x v="3"/>
    <x v="0"/>
    <n v="-863.17"/>
  </r>
  <r>
    <n v="1407"/>
    <x v="406"/>
    <x v="4"/>
    <x v="16"/>
    <n v="2"/>
    <n v="4977.8100000000004"/>
    <n v="9955.6200000000008"/>
    <x v="1"/>
    <n v="9955.6200000000008"/>
    <x v="229"/>
    <x v="1"/>
    <x v="1"/>
    <n v="2041.12"/>
  </r>
  <r>
    <n v="1408"/>
    <x v="407"/>
    <x v="2"/>
    <x v="17"/>
    <n v="2"/>
    <m/>
    <n v="0"/>
    <x v="1"/>
    <n v="0"/>
    <x v="230"/>
    <x v="2"/>
    <x v="1"/>
    <n v="2305.3200000000002"/>
  </r>
  <r>
    <n v="1409"/>
    <x v="408"/>
    <x v="3"/>
    <x v="23"/>
    <n v="6"/>
    <m/>
    <n v="0"/>
    <x v="1"/>
    <n v="0"/>
    <x v="4"/>
    <x v="5"/>
    <x v="0"/>
    <n v="-941.44"/>
  </r>
  <r>
    <n v="1410"/>
    <x v="409"/>
    <x v="0"/>
    <x v="20"/>
    <n v="6"/>
    <n v="4445.8100000000004"/>
    <n v="26674.86"/>
    <x v="1"/>
    <n v="26674.86"/>
    <x v="4"/>
    <x v="0"/>
    <x v="0"/>
    <n v="-654.59"/>
  </r>
  <r>
    <n v="1411"/>
    <x v="410"/>
    <x v="5"/>
    <x v="12"/>
    <n v="2"/>
    <n v="4946.7700000000004"/>
    <n v="9893.5400000000009"/>
    <x v="1"/>
    <n v="9893.5400000000009"/>
    <x v="4"/>
    <x v="2"/>
    <x v="0"/>
    <n v="1520.19"/>
  </r>
  <r>
    <n v="1412"/>
    <x v="411"/>
    <x v="2"/>
    <x v="13"/>
    <n v="2"/>
    <m/>
    <n v="0"/>
    <x v="1"/>
    <n v="0"/>
    <x v="231"/>
    <x v="4"/>
    <x v="0"/>
    <n v="2314.9299999999998"/>
  </r>
  <r>
    <n v="1413"/>
    <x v="412"/>
    <x v="5"/>
    <x v="11"/>
    <n v="1"/>
    <m/>
    <n v="0"/>
    <x v="91"/>
    <n v="0"/>
    <x v="232"/>
    <x v="1"/>
    <x v="0"/>
    <n v="1539.28"/>
  </r>
  <r>
    <n v="1414"/>
    <x v="413"/>
    <x v="4"/>
    <x v="8"/>
    <n v="2"/>
    <m/>
    <n v="0"/>
    <x v="1"/>
    <n v="0"/>
    <x v="35"/>
    <x v="1"/>
    <x v="0"/>
    <n v="2843.55"/>
  </r>
  <r>
    <n v="1415"/>
    <x v="414"/>
    <x v="1"/>
    <x v="1"/>
    <n v="2"/>
    <n v="3149"/>
    <n v="6298"/>
    <x v="1"/>
    <n v="6298"/>
    <x v="4"/>
    <x v="3"/>
    <x v="0"/>
    <n v="2661.23"/>
  </r>
  <r>
    <n v="1416"/>
    <x v="415"/>
    <x v="3"/>
    <x v="21"/>
    <n v="2"/>
    <n v="3527.15"/>
    <n v="7054.3"/>
    <x v="1"/>
    <n v="7054.3"/>
    <x v="233"/>
    <x v="4"/>
    <x v="0"/>
    <n v="2286.48"/>
  </r>
  <r>
    <n v="1417"/>
    <x v="416"/>
    <x v="5"/>
    <x v="12"/>
    <n v="2"/>
    <m/>
    <n v="0"/>
    <x v="1"/>
    <n v="0"/>
    <x v="234"/>
    <x v="3"/>
    <x v="1"/>
    <n v="888.59"/>
  </r>
  <r>
    <n v="1418"/>
    <x v="417"/>
    <x v="5"/>
    <x v="19"/>
    <n v="2"/>
    <m/>
    <n v="0"/>
    <x v="77"/>
    <n v="0"/>
    <x v="222"/>
    <x v="3"/>
    <x v="1"/>
    <n v="1403.76"/>
  </r>
  <r>
    <n v="1419"/>
    <x v="418"/>
    <x v="1"/>
    <x v="15"/>
    <n v="2"/>
    <m/>
    <n v="0"/>
    <x v="1"/>
    <n v="0"/>
    <x v="235"/>
    <x v="4"/>
    <x v="1"/>
    <n v="-565.16999999999996"/>
  </r>
  <r>
    <n v="1420"/>
    <x v="419"/>
    <x v="2"/>
    <x v="2"/>
    <n v="2"/>
    <m/>
    <n v="0"/>
    <x v="78"/>
    <n v="0"/>
    <x v="198"/>
    <x v="1"/>
    <x v="1"/>
    <n v="2790.42"/>
  </r>
  <r>
    <n v="1421"/>
    <x v="420"/>
    <x v="4"/>
    <x v="14"/>
    <n v="0"/>
    <m/>
    <n v="0"/>
    <x v="1"/>
    <n v="0"/>
    <x v="1"/>
    <x v="1"/>
    <x v="0"/>
    <n v="575.19000000000005"/>
  </r>
  <r>
    <n v="1422"/>
    <x v="421"/>
    <x v="0"/>
    <x v="5"/>
    <n v="2"/>
    <n v="4466.49"/>
    <n v="8932.98"/>
    <x v="1"/>
    <n v="8932.98"/>
    <x v="236"/>
    <x v="1"/>
    <x v="1"/>
    <n v="2168.7800000000002"/>
  </r>
  <r>
    <n v="1423"/>
    <x v="422"/>
    <x v="1"/>
    <x v="22"/>
    <n v="2"/>
    <m/>
    <n v="0"/>
    <x v="1"/>
    <n v="0"/>
    <x v="59"/>
    <x v="4"/>
    <x v="0"/>
    <n v="1302.05"/>
  </r>
  <r>
    <n v="1424"/>
    <x v="423"/>
    <x v="4"/>
    <x v="14"/>
    <n v="-1"/>
    <n v="538.6"/>
    <n v="-538.6"/>
    <x v="68"/>
    <n v="96.947999999999965"/>
    <x v="63"/>
    <x v="4"/>
    <x v="0"/>
    <n v="752.81"/>
  </r>
  <r>
    <n v="1425"/>
    <x v="424"/>
    <x v="3"/>
    <x v="23"/>
    <n v="2"/>
    <n v="1133.73"/>
    <n v="2267.46"/>
    <x v="1"/>
    <n v="2267.46"/>
    <x v="67"/>
    <x v="5"/>
    <x v="1"/>
    <n v="2604.14"/>
  </r>
  <r>
    <n v="1426"/>
    <x v="425"/>
    <x v="0"/>
    <x v="20"/>
    <n v="-2"/>
    <n v="3175.17"/>
    <n v="-6350.34"/>
    <x v="92"/>
    <n v="-889.0476000000001"/>
    <x v="4"/>
    <x v="4"/>
    <x v="1"/>
    <n v="2860.99"/>
  </r>
  <r>
    <n v="1427"/>
    <x v="426"/>
    <x v="2"/>
    <x v="17"/>
    <n v="2"/>
    <m/>
    <n v="0"/>
    <x v="1"/>
    <n v="0"/>
    <x v="3"/>
    <x v="2"/>
    <x v="0"/>
    <n v="2795.17"/>
  </r>
  <r>
    <n v="1015"/>
    <x v="427"/>
    <x v="0"/>
    <x v="5"/>
    <n v="2"/>
    <m/>
    <n v="0"/>
    <x v="1"/>
    <n v="0"/>
    <x v="21"/>
    <x v="0"/>
    <x v="0"/>
    <n v="1869.46"/>
  </r>
  <r>
    <n v="1429"/>
    <x v="428"/>
    <x v="5"/>
    <x v="19"/>
    <n v="2"/>
    <n v="3292.01"/>
    <n v="6584.02"/>
    <x v="1"/>
    <n v="6584.02"/>
    <x v="237"/>
    <x v="0"/>
    <x v="1"/>
    <n v="-358.22"/>
  </r>
  <r>
    <n v="1430"/>
    <x v="429"/>
    <x v="0"/>
    <x v="9"/>
    <n v="-2"/>
    <m/>
    <n v="0"/>
    <x v="93"/>
    <n v="0"/>
    <x v="206"/>
    <x v="5"/>
    <x v="0"/>
    <n v="2045.56"/>
  </r>
  <r>
    <n v="1431"/>
    <x v="430"/>
    <x v="3"/>
    <x v="21"/>
    <n v="2"/>
    <m/>
    <n v="0"/>
    <x v="1"/>
    <n v="0"/>
    <x v="238"/>
    <x v="0"/>
    <x v="1"/>
    <n v="2191.02"/>
  </r>
  <r>
    <n v="1432"/>
    <x v="431"/>
    <x v="2"/>
    <x v="10"/>
    <n v="2"/>
    <m/>
    <n v="0"/>
    <x v="1"/>
    <n v="0"/>
    <x v="239"/>
    <x v="1"/>
    <x v="1"/>
    <n v="-849.15"/>
  </r>
  <r>
    <n v="1433"/>
    <x v="432"/>
    <x v="4"/>
    <x v="8"/>
    <n v="2"/>
    <m/>
    <n v="0"/>
    <x v="5"/>
    <n v="0"/>
    <x v="63"/>
    <x v="2"/>
    <x v="1"/>
    <n v="-878.85"/>
  </r>
  <r>
    <n v="1434"/>
    <x v="433"/>
    <x v="0"/>
    <x v="5"/>
    <n v="0"/>
    <n v="476.2"/>
    <n v="0"/>
    <x v="75"/>
    <n v="0"/>
    <x v="119"/>
    <x v="4"/>
    <x v="0"/>
    <n v="-310.8"/>
  </r>
  <r>
    <n v="1435"/>
    <x v="434"/>
    <x v="4"/>
    <x v="14"/>
    <n v="3"/>
    <m/>
    <n v="0"/>
    <x v="1"/>
    <n v="0"/>
    <x v="240"/>
    <x v="4"/>
    <x v="1"/>
    <n v="904.65"/>
  </r>
  <r>
    <n v="1436"/>
    <x v="435"/>
    <x v="4"/>
    <x v="14"/>
    <n v="2"/>
    <m/>
    <n v="0"/>
    <x v="45"/>
    <n v="0"/>
    <x v="89"/>
    <x v="1"/>
    <x v="0"/>
    <n v="1445.93"/>
  </r>
  <r>
    <n v="1437"/>
    <x v="436"/>
    <x v="0"/>
    <x v="5"/>
    <n v="0"/>
    <n v="3886.3"/>
    <n v="0"/>
    <x v="94"/>
    <n v="0"/>
    <x v="241"/>
    <x v="0"/>
    <x v="0"/>
    <n v="131.47999999999999"/>
  </r>
  <r>
    <n v="1438"/>
    <x v="437"/>
    <x v="5"/>
    <x v="12"/>
    <n v="2"/>
    <n v="2663.97"/>
    <n v="5327.94"/>
    <x v="40"/>
    <n v="852.47040000000015"/>
    <x v="242"/>
    <x v="5"/>
    <x v="0"/>
    <n v="1014.29"/>
  </r>
  <r>
    <n v="1439"/>
    <x v="438"/>
    <x v="4"/>
    <x v="16"/>
    <n v="2"/>
    <m/>
    <n v="0"/>
    <x v="1"/>
    <n v="0"/>
    <x v="4"/>
    <x v="1"/>
    <x v="1"/>
    <n v="726.42"/>
  </r>
  <r>
    <n v="1440"/>
    <x v="439"/>
    <x v="5"/>
    <x v="19"/>
    <n v="0"/>
    <n v="635.12"/>
    <n v="0"/>
    <x v="95"/>
    <n v="0"/>
    <x v="243"/>
    <x v="4"/>
    <x v="0"/>
    <n v="-476.72"/>
  </r>
  <r>
    <n v="1441"/>
    <x v="440"/>
    <x v="0"/>
    <x v="0"/>
    <n v="2"/>
    <m/>
    <n v="0"/>
    <x v="1"/>
    <n v="0"/>
    <x v="4"/>
    <x v="3"/>
    <x v="0"/>
    <n v="-316.51"/>
  </r>
  <r>
    <n v="1442"/>
    <x v="441"/>
    <x v="2"/>
    <x v="13"/>
    <n v="0"/>
    <n v="3001.28"/>
    <n v="0"/>
    <x v="1"/>
    <n v="0"/>
    <x v="244"/>
    <x v="0"/>
    <x v="0"/>
    <n v="1218.28"/>
  </r>
  <r>
    <n v="1443"/>
    <x v="442"/>
    <x v="4"/>
    <x v="4"/>
    <n v="2"/>
    <m/>
    <n v="0"/>
    <x v="1"/>
    <n v="0"/>
    <x v="245"/>
    <x v="3"/>
    <x v="0"/>
    <n v="2962.6"/>
  </r>
  <r>
    <n v="1444"/>
    <x v="443"/>
    <x v="3"/>
    <x v="21"/>
    <n v="3"/>
    <n v="3452.16"/>
    <n v="10356.48"/>
    <x v="1"/>
    <n v="10356.48"/>
    <x v="4"/>
    <x v="2"/>
    <x v="0"/>
    <n v="810.8"/>
  </r>
  <r>
    <n v="1445"/>
    <x v="444"/>
    <x v="1"/>
    <x v="15"/>
    <n v="2"/>
    <n v="1370.36"/>
    <n v="2740.72"/>
    <x v="96"/>
    <n v="1260.7311999999997"/>
    <x v="246"/>
    <x v="2"/>
    <x v="0"/>
    <n v="2846.13"/>
  </r>
  <r>
    <n v="1446"/>
    <x v="445"/>
    <x v="2"/>
    <x v="2"/>
    <n v="2"/>
    <n v="2827.68"/>
    <n v="5655.36"/>
    <x v="92"/>
    <n v="791.75040000000001"/>
    <x v="247"/>
    <x v="0"/>
    <x v="0"/>
    <n v="-602.57000000000005"/>
  </r>
  <r>
    <n v="1031"/>
    <x v="446"/>
    <x v="4"/>
    <x v="14"/>
    <n v="6"/>
    <n v="3792.09"/>
    <n v="22752.54"/>
    <x v="1"/>
    <n v="22752.54"/>
    <x v="248"/>
    <x v="3"/>
    <x v="0"/>
    <n v="194.31"/>
  </r>
  <r>
    <n v="1448"/>
    <x v="447"/>
    <x v="0"/>
    <x v="0"/>
    <n v="2"/>
    <n v="1657.95"/>
    <n v="3315.9"/>
    <x v="1"/>
    <n v="3315.9"/>
    <x v="249"/>
    <x v="5"/>
    <x v="1"/>
    <n v="1948.49"/>
  </r>
  <r>
    <n v="1449"/>
    <x v="448"/>
    <x v="0"/>
    <x v="9"/>
    <n v="2"/>
    <n v="2855.53"/>
    <n v="5711.06"/>
    <x v="97"/>
    <n v="2569.9769999999999"/>
    <x v="16"/>
    <x v="1"/>
    <x v="0"/>
    <n v="2598.7399999999998"/>
  </r>
  <r>
    <n v="1043"/>
    <x v="449"/>
    <x v="4"/>
    <x v="16"/>
    <n v="4"/>
    <m/>
    <n v="0"/>
    <x v="1"/>
    <n v="0"/>
    <x v="250"/>
    <x v="0"/>
    <x v="0"/>
    <n v="-401.44"/>
  </r>
  <r>
    <n v="1451"/>
    <x v="450"/>
    <x v="2"/>
    <x v="13"/>
    <n v="2"/>
    <n v="620.64"/>
    <n v="1241.28"/>
    <x v="1"/>
    <n v="1241.28"/>
    <x v="251"/>
    <x v="4"/>
    <x v="0"/>
    <n v="1553.39"/>
  </r>
  <r>
    <n v="1452"/>
    <x v="451"/>
    <x v="3"/>
    <x v="7"/>
    <n v="-2"/>
    <n v="2660.28"/>
    <n v="-5320.56"/>
    <x v="94"/>
    <n v="-3511.5695999999998"/>
    <x v="4"/>
    <x v="0"/>
    <x v="0"/>
    <n v="918.54"/>
  </r>
  <r>
    <n v="1453"/>
    <x v="452"/>
    <x v="0"/>
    <x v="9"/>
    <n v="0"/>
    <m/>
    <n v="0"/>
    <x v="21"/>
    <n v="0"/>
    <x v="211"/>
    <x v="3"/>
    <x v="1"/>
    <n v="1465.97"/>
  </r>
  <r>
    <n v="1454"/>
    <x v="453"/>
    <x v="3"/>
    <x v="7"/>
    <n v="2"/>
    <n v="4523.58"/>
    <n v="9047.16"/>
    <x v="1"/>
    <n v="9047.16"/>
    <x v="132"/>
    <x v="5"/>
    <x v="0"/>
    <n v="2424.44"/>
  </r>
  <r>
    <n v="1455"/>
    <x v="454"/>
    <x v="4"/>
    <x v="14"/>
    <n v="2"/>
    <m/>
    <n v="0"/>
    <x v="1"/>
    <n v="0"/>
    <x v="62"/>
    <x v="0"/>
    <x v="0"/>
    <n v="743.47"/>
  </r>
  <r>
    <n v="1456"/>
    <x v="455"/>
    <x v="4"/>
    <x v="16"/>
    <n v="2"/>
    <m/>
    <n v="0"/>
    <x v="1"/>
    <n v="0"/>
    <x v="154"/>
    <x v="3"/>
    <x v="0"/>
    <n v="1350.12"/>
  </r>
  <r>
    <n v="1457"/>
    <x v="456"/>
    <x v="3"/>
    <x v="21"/>
    <n v="0"/>
    <n v="2342.25"/>
    <n v="0"/>
    <x v="1"/>
    <n v="0"/>
    <x v="4"/>
    <x v="3"/>
    <x v="1"/>
    <n v="750.64"/>
  </r>
  <r>
    <n v="1458"/>
    <x v="457"/>
    <x v="1"/>
    <x v="1"/>
    <n v="6"/>
    <m/>
    <n v="0"/>
    <x v="2"/>
    <n v="0"/>
    <x v="4"/>
    <x v="2"/>
    <x v="0"/>
    <n v="1877.22"/>
  </r>
  <r>
    <n v="1459"/>
    <x v="458"/>
    <x v="3"/>
    <x v="7"/>
    <n v="2"/>
    <n v="2494.9899999999998"/>
    <n v="4989.9799999999996"/>
    <x v="98"/>
    <n v="99.799600000000083"/>
    <x v="252"/>
    <x v="5"/>
    <x v="0"/>
    <n v="2959.95"/>
  </r>
  <r>
    <n v="1460"/>
    <x v="459"/>
    <x v="1"/>
    <x v="22"/>
    <n v="2"/>
    <n v="4264.16"/>
    <n v="8528.32"/>
    <x v="1"/>
    <n v="8528.32"/>
    <x v="253"/>
    <x v="0"/>
    <x v="1"/>
    <n v="921.96"/>
  </r>
  <r>
    <n v="1461"/>
    <x v="460"/>
    <x v="5"/>
    <x v="6"/>
    <n v="2"/>
    <n v="2708.35"/>
    <n v="5416.7"/>
    <x v="22"/>
    <n v="-325.00200000000029"/>
    <x v="4"/>
    <x v="4"/>
    <x v="0"/>
    <n v="941.87"/>
  </r>
  <r>
    <n v="1462"/>
    <x v="461"/>
    <x v="1"/>
    <x v="1"/>
    <n v="-1"/>
    <m/>
    <n v="0"/>
    <x v="1"/>
    <n v="0"/>
    <x v="254"/>
    <x v="0"/>
    <x v="0"/>
    <n v="372.63"/>
  </r>
  <r>
    <n v="1463"/>
    <x v="462"/>
    <x v="5"/>
    <x v="12"/>
    <n v="1"/>
    <n v="4606.09"/>
    <n v="4606.09"/>
    <x v="74"/>
    <n v="-552.7308000000005"/>
    <x v="255"/>
    <x v="0"/>
    <x v="1"/>
    <n v="-877.13"/>
  </r>
  <r>
    <n v="1464"/>
    <x v="463"/>
    <x v="5"/>
    <x v="12"/>
    <n v="2"/>
    <m/>
    <n v="0"/>
    <x v="1"/>
    <n v="0"/>
    <x v="256"/>
    <x v="3"/>
    <x v="0"/>
    <n v="837.3"/>
  </r>
  <r>
    <n v="1465"/>
    <x v="464"/>
    <x v="3"/>
    <x v="3"/>
    <n v="-2"/>
    <n v="2215.4"/>
    <n v="-4430.8"/>
    <x v="78"/>
    <n v="-177.23200000000017"/>
    <x v="257"/>
    <x v="4"/>
    <x v="0"/>
    <n v="-85.73"/>
  </r>
  <r>
    <n v="1014"/>
    <x v="465"/>
    <x v="5"/>
    <x v="12"/>
    <n v="2"/>
    <n v="3172.11"/>
    <n v="6344.22"/>
    <x v="1"/>
    <n v="6344.22"/>
    <x v="258"/>
    <x v="2"/>
    <x v="0"/>
    <n v="673.33"/>
  </r>
  <r>
    <n v="1030"/>
    <x v="466"/>
    <x v="2"/>
    <x v="10"/>
    <n v="2"/>
    <n v="3389.44"/>
    <n v="6778.88"/>
    <x v="48"/>
    <n v="6168.7808000000005"/>
    <x v="147"/>
    <x v="0"/>
    <x v="1"/>
    <n v="1663.45"/>
  </r>
  <r>
    <n v="1468"/>
    <x v="467"/>
    <x v="4"/>
    <x v="16"/>
    <n v="2"/>
    <n v="3332.84"/>
    <n v="6665.68"/>
    <x v="2"/>
    <n v="4865.9463999999998"/>
    <x v="259"/>
    <x v="1"/>
    <x v="0"/>
    <n v="733.66"/>
  </r>
  <r>
    <n v="1469"/>
    <x v="468"/>
    <x v="5"/>
    <x v="12"/>
    <n v="2"/>
    <n v="2665.7"/>
    <n v="5331.4"/>
    <x v="99"/>
    <n v="2719.0139999999997"/>
    <x v="21"/>
    <x v="3"/>
    <x v="1"/>
    <n v="1644.72"/>
  </r>
  <r>
    <n v="1470"/>
    <x v="469"/>
    <x v="4"/>
    <x v="8"/>
    <n v="-1"/>
    <n v="1376.54"/>
    <n v="-1376.54"/>
    <x v="1"/>
    <n v="-1376.54"/>
    <x v="4"/>
    <x v="4"/>
    <x v="0"/>
    <n v="0.59"/>
  </r>
  <r>
    <n v="1471"/>
    <x v="470"/>
    <x v="3"/>
    <x v="3"/>
    <n v="-2"/>
    <n v="4882.03"/>
    <n v="-9764.06"/>
    <x v="37"/>
    <n v="-7518.3261999999995"/>
    <x v="260"/>
    <x v="4"/>
    <x v="0"/>
    <n v="-605.66999999999996"/>
  </r>
  <r>
    <n v="1472"/>
    <x v="471"/>
    <x v="3"/>
    <x v="3"/>
    <n v="2"/>
    <m/>
    <n v="0"/>
    <x v="100"/>
    <n v="0"/>
    <x v="11"/>
    <x v="2"/>
    <x v="0"/>
    <n v="-69.28"/>
  </r>
  <r>
    <n v="1473"/>
    <x v="472"/>
    <x v="4"/>
    <x v="16"/>
    <n v="2"/>
    <m/>
    <n v="0"/>
    <x v="52"/>
    <n v="0"/>
    <x v="4"/>
    <x v="3"/>
    <x v="0"/>
    <n v="1769.11"/>
  </r>
  <r>
    <n v="1474"/>
    <x v="473"/>
    <x v="1"/>
    <x v="18"/>
    <n v="4"/>
    <m/>
    <n v="0"/>
    <x v="1"/>
    <n v="0"/>
    <x v="261"/>
    <x v="3"/>
    <x v="0"/>
    <n v="1791.38"/>
  </r>
  <r>
    <n v="1475"/>
    <x v="474"/>
    <x v="4"/>
    <x v="8"/>
    <n v="-2"/>
    <n v="3692.25"/>
    <n v="-7384.5"/>
    <x v="1"/>
    <n v="-7384.5"/>
    <x v="104"/>
    <x v="2"/>
    <x v="0"/>
    <n v="433.87"/>
  </r>
  <r>
    <n v="1476"/>
    <x v="475"/>
    <x v="0"/>
    <x v="20"/>
    <n v="5"/>
    <m/>
    <n v="0"/>
    <x v="13"/>
    <n v="0"/>
    <x v="38"/>
    <x v="3"/>
    <x v="0"/>
    <n v="1476.41"/>
  </r>
  <r>
    <n v="1477"/>
    <x v="476"/>
    <x v="5"/>
    <x v="19"/>
    <n v="2"/>
    <n v="2277.1999999999998"/>
    <n v="4554.3999999999996"/>
    <x v="1"/>
    <n v="4554.3999999999996"/>
    <x v="153"/>
    <x v="4"/>
    <x v="0"/>
    <n v="1295.82"/>
  </r>
  <r>
    <n v="1478"/>
    <x v="477"/>
    <x v="1"/>
    <x v="18"/>
    <n v="2"/>
    <n v="2277.41"/>
    <n v="4554.82"/>
    <x v="1"/>
    <n v="4554.82"/>
    <x v="262"/>
    <x v="1"/>
    <x v="0"/>
    <n v="-584.69000000000005"/>
  </r>
  <r>
    <n v="1479"/>
    <x v="478"/>
    <x v="5"/>
    <x v="11"/>
    <n v="1"/>
    <m/>
    <n v="0"/>
    <x v="1"/>
    <n v="0"/>
    <x v="4"/>
    <x v="1"/>
    <x v="0"/>
    <n v="-575.87"/>
  </r>
  <r>
    <n v="1480"/>
    <x v="479"/>
    <x v="1"/>
    <x v="18"/>
    <n v="2"/>
    <n v="755.42"/>
    <n v="1510.84"/>
    <x v="1"/>
    <n v="1510.84"/>
    <x v="263"/>
    <x v="5"/>
    <x v="0"/>
    <n v="2956.26"/>
  </r>
  <r>
    <n v="1481"/>
    <x v="480"/>
    <x v="3"/>
    <x v="21"/>
    <n v="2"/>
    <m/>
    <n v="0"/>
    <x v="101"/>
    <n v="0"/>
    <x v="4"/>
    <x v="0"/>
    <x v="0"/>
    <n v="375"/>
  </r>
  <r>
    <n v="1482"/>
    <x v="481"/>
    <x v="2"/>
    <x v="13"/>
    <n v="2"/>
    <n v="1269.51"/>
    <n v="2539.02"/>
    <x v="1"/>
    <n v="2539.02"/>
    <x v="177"/>
    <x v="1"/>
    <x v="0"/>
    <n v="480.43"/>
  </r>
  <r>
    <n v="1483"/>
    <x v="482"/>
    <x v="4"/>
    <x v="8"/>
    <n v="2"/>
    <n v="2347.19"/>
    <n v="4694.38"/>
    <x v="1"/>
    <n v="4694.38"/>
    <x v="253"/>
    <x v="3"/>
    <x v="0"/>
    <n v="2870.3"/>
  </r>
  <r>
    <n v="1484"/>
    <x v="483"/>
    <x v="1"/>
    <x v="15"/>
    <n v="2"/>
    <n v="818.68"/>
    <n v="1637.36"/>
    <x v="1"/>
    <n v="1637.36"/>
    <x v="264"/>
    <x v="2"/>
    <x v="0"/>
    <n v="2357.7399999999998"/>
  </r>
  <r>
    <n v="1485"/>
    <x v="484"/>
    <x v="2"/>
    <x v="10"/>
    <n v="2"/>
    <m/>
    <n v="0"/>
    <x v="1"/>
    <n v="0"/>
    <x v="114"/>
    <x v="4"/>
    <x v="1"/>
    <n v="672.88"/>
  </r>
  <r>
    <n v="1486"/>
    <x v="485"/>
    <x v="0"/>
    <x v="20"/>
    <n v="6"/>
    <m/>
    <n v="0"/>
    <x v="1"/>
    <n v="0"/>
    <x v="4"/>
    <x v="2"/>
    <x v="1"/>
    <n v="2745.83"/>
  </r>
  <r>
    <n v="1487"/>
    <x v="486"/>
    <x v="3"/>
    <x v="7"/>
    <n v="6"/>
    <n v="1234.08"/>
    <n v="7404.48"/>
    <x v="58"/>
    <n v="2147.2991999999999"/>
    <x v="265"/>
    <x v="0"/>
    <x v="0"/>
    <n v="-849.81"/>
  </r>
  <r>
    <n v="1488"/>
    <x v="487"/>
    <x v="3"/>
    <x v="23"/>
    <n v="2"/>
    <n v="4925.93"/>
    <n v="9851.86"/>
    <x v="1"/>
    <n v="9851.86"/>
    <x v="266"/>
    <x v="3"/>
    <x v="0"/>
    <n v="2121.1999999999998"/>
  </r>
  <r>
    <n v="1489"/>
    <x v="488"/>
    <x v="2"/>
    <x v="10"/>
    <n v="-2"/>
    <m/>
    <n v="0"/>
    <x v="1"/>
    <n v="0"/>
    <x v="58"/>
    <x v="5"/>
    <x v="1"/>
    <n v="2102.1999999999998"/>
  </r>
  <r>
    <n v="1490"/>
    <x v="489"/>
    <x v="4"/>
    <x v="14"/>
    <n v="1"/>
    <m/>
    <n v="0"/>
    <x v="1"/>
    <n v="0"/>
    <x v="31"/>
    <x v="0"/>
    <x v="0"/>
    <n v="230.97"/>
  </r>
  <r>
    <n v="1491"/>
    <x v="490"/>
    <x v="2"/>
    <x v="10"/>
    <n v="1"/>
    <m/>
    <n v="0"/>
    <x v="69"/>
    <n v="0"/>
    <x v="4"/>
    <x v="3"/>
    <x v="1"/>
    <n v="2039.1"/>
  </r>
  <r>
    <n v="1492"/>
    <x v="491"/>
    <x v="4"/>
    <x v="14"/>
    <n v="2"/>
    <m/>
    <n v="0"/>
    <x v="89"/>
    <n v="0"/>
    <x v="4"/>
    <x v="4"/>
    <x v="1"/>
    <n v="-308.83"/>
  </r>
  <r>
    <n v="1493"/>
    <x v="492"/>
    <x v="5"/>
    <x v="12"/>
    <n v="2"/>
    <m/>
    <n v="0"/>
    <x v="71"/>
    <n v="0"/>
    <x v="4"/>
    <x v="4"/>
    <x v="0"/>
    <n v="478.28"/>
  </r>
  <r>
    <n v="1494"/>
    <x v="493"/>
    <x v="0"/>
    <x v="9"/>
    <n v="2"/>
    <n v="4338.0600000000004"/>
    <n v="8676.1200000000008"/>
    <x v="102"/>
    <n v="6593.851200000001"/>
    <x v="267"/>
    <x v="2"/>
    <x v="0"/>
    <n v="386.01"/>
  </r>
  <r>
    <n v="1495"/>
    <x v="494"/>
    <x v="3"/>
    <x v="21"/>
    <n v="2"/>
    <n v="2261.4899999999998"/>
    <n v="4522.9799999999996"/>
    <x v="1"/>
    <n v="4522.9799999999996"/>
    <x v="45"/>
    <x v="3"/>
    <x v="0"/>
    <n v="2044.15"/>
  </r>
  <r>
    <n v="1496"/>
    <x v="495"/>
    <x v="1"/>
    <x v="18"/>
    <n v="-1"/>
    <n v="4874.76"/>
    <n v="-4874.76"/>
    <x v="1"/>
    <n v="-4874.76"/>
    <x v="268"/>
    <x v="1"/>
    <x v="1"/>
    <n v="2438.13"/>
  </r>
  <r>
    <n v="1497"/>
    <x v="496"/>
    <x v="3"/>
    <x v="3"/>
    <n v="2"/>
    <n v="1461.5"/>
    <n v="2923"/>
    <x v="1"/>
    <n v="2923"/>
    <x v="9"/>
    <x v="5"/>
    <x v="0"/>
    <n v="1561.06"/>
  </r>
  <r>
    <n v="1498"/>
    <x v="497"/>
    <x v="0"/>
    <x v="9"/>
    <n v="6"/>
    <n v="3771.67"/>
    <n v="22630.02"/>
    <x v="1"/>
    <n v="22630.02"/>
    <x v="111"/>
    <x v="2"/>
    <x v="0"/>
    <n v="2442.42"/>
  </r>
  <r>
    <n v="1499"/>
    <x v="498"/>
    <x v="4"/>
    <x v="4"/>
    <n v="2"/>
    <m/>
    <n v="0"/>
    <x v="1"/>
    <n v="0"/>
    <x v="4"/>
    <x v="3"/>
    <x v="0"/>
    <n v="2116.52"/>
  </r>
  <r>
    <n v="1500"/>
    <x v="499"/>
    <x v="0"/>
    <x v="9"/>
    <n v="2"/>
    <n v="2128.7399999999998"/>
    <n v="4257.4799999999996"/>
    <x v="1"/>
    <n v="4257.4799999999996"/>
    <x v="85"/>
    <x v="1"/>
    <x v="1"/>
    <n v="-648.94000000000005"/>
  </r>
  <r>
    <n v="1501"/>
    <x v="500"/>
    <x v="4"/>
    <x v="4"/>
    <n v="-2"/>
    <m/>
    <n v="0"/>
    <x v="88"/>
    <n v="0"/>
    <x v="4"/>
    <x v="3"/>
    <x v="0"/>
    <n v="-957.83"/>
  </r>
  <r>
    <n v="1502"/>
    <x v="501"/>
    <x v="5"/>
    <x v="19"/>
    <n v="2"/>
    <n v="4260.95"/>
    <n v="8521.9"/>
    <x v="1"/>
    <n v="8521.9"/>
    <x v="269"/>
    <x v="0"/>
    <x v="0"/>
    <n v="-86.64"/>
  </r>
  <r>
    <n v="1503"/>
    <x v="502"/>
    <x v="4"/>
    <x v="8"/>
    <n v="2"/>
    <n v="4621.79"/>
    <n v="9243.58"/>
    <x v="95"/>
    <n v="6285.634399999999"/>
    <x v="270"/>
    <x v="0"/>
    <x v="0"/>
    <n v="1350.48"/>
  </r>
  <r>
    <n v="1504"/>
    <x v="503"/>
    <x v="2"/>
    <x v="2"/>
    <n v="2"/>
    <n v="2558.4299999999998"/>
    <n v="5116.8599999999997"/>
    <x v="1"/>
    <n v="5116.8599999999997"/>
    <x v="101"/>
    <x v="3"/>
    <x v="1"/>
    <n v="-360.49"/>
  </r>
  <r>
    <n v="1048"/>
    <x v="504"/>
    <x v="3"/>
    <x v="21"/>
    <n v="2"/>
    <n v="1316.64"/>
    <n v="2633.28"/>
    <x v="1"/>
    <n v="2633.28"/>
    <x v="271"/>
    <x v="3"/>
    <x v="0"/>
    <n v="1390.52"/>
  </r>
  <r>
    <n v="1506"/>
    <x v="505"/>
    <x v="4"/>
    <x v="4"/>
    <n v="2"/>
    <m/>
    <n v="0"/>
    <x v="1"/>
    <n v="0"/>
    <x v="272"/>
    <x v="3"/>
    <x v="0"/>
    <n v="1406.62"/>
  </r>
  <r>
    <n v="1507"/>
    <x v="506"/>
    <x v="1"/>
    <x v="1"/>
    <n v="2"/>
    <n v="3597.73"/>
    <n v="7195.46"/>
    <x v="1"/>
    <n v="7195.46"/>
    <x v="273"/>
    <x v="0"/>
    <x v="0"/>
    <n v="-857.53"/>
  </r>
  <r>
    <n v="1508"/>
    <x v="507"/>
    <x v="5"/>
    <x v="19"/>
    <n v="-1"/>
    <m/>
    <n v="0"/>
    <x v="1"/>
    <n v="0"/>
    <x v="274"/>
    <x v="1"/>
    <x v="0"/>
    <n v="1796.35"/>
  </r>
  <r>
    <n v="1509"/>
    <x v="508"/>
    <x v="5"/>
    <x v="19"/>
    <n v="2"/>
    <m/>
    <n v="0"/>
    <x v="103"/>
    <n v="0"/>
    <x v="275"/>
    <x v="3"/>
    <x v="0"/>
    <n v="1333.87"/>
  </r>
  <r>
    <n v="1510"/>
    <x v="509"/>
    <x v="4"/>
    <x v="16"/>
    <n v="2"/>
    <n v="1897.11"/>
    <n v="3794.22"/>
    <x v="1"/>
    <n v="3794.22"/>
    <x v="276"/>
    <x v="0"/>
    <x v="0"/>
    <n v="-345.3"/>
  </r>
  <r>
    <n v="1511"/>
    <x v="510"/>
    <x v="1"/>
    <x v="1"/>
    <n v="2"/>
    <m/>
    <n v="0"/>
    <x v="47"/>
    <n v="0"/>
    <x v="277"/>
    <x v="4"/>
    <x v="1"/>
    <n v="-521.84"/>
  </r>
  <r>
    <n v="1512"/>
    <x v="511"/>
    <x v="3"/>
    <x v="7"/>
    <n v="2"/>
    <m/>
    <n v="0"/>
    <x v="1"/>
    <n v="0"/>
    <x v="278"/>
    <x v="0"/>
    <x v="0"/>
    <n v="352.91"/>
  </r>
  <r>
    <n v="1513"/>
    <x v="512"/>
    <x v="1"/>
    <x v="22"/>
    <n v="6"/>
    <m/>
    <n v="0"/>
    <x v="1"/>
    <n v="0"/>
    <x v="279"/>
    <x v="0"/>
    <x v="0"/>
    <n v="156.52000000000001"/>
  </r>
  <r>
    <n v="1514"/>
    <x v="513"/>
    <x v="4"/>
    <x v="8"/>
    <n v="2"/>
    <n v="2343.7199999999998"/>
    <n v="4687.4399999999996"/>
    <x v="1"/>
    <n v="4687.4399999999996"/>
    <x v="180"/>
    <x v="2"/>
    <x v="0"/>
    <n v="-760.9"/>
  </r>
  <r>
    <n v="1515"/>
    <x v="514"/>
    <x v="3"/>
    <x v="7"/>
    <n v="3"/>
    <n v="4596.03"/>
    <n v="13788.09"/>
    <x v="1"/>
    <n v="13788.09"/>
    <x v="200"/>
    <x v="0"/>
    <x v="0"/>
    <n v="-866.29"/>
  </r>
  <r>
    <n v="1516"/>
    <x v="515"/>
    <x v="5"/>
    <x v="6"/>
    <n v="-1"/>
    <n v="1039.31"/>
    <n v="-1039.31"/>
    <x v="8"/>
    <n v="-62.358600000000052"/>
    <x v="4"/>
    <x v="1"/>
    <x v="1"/>
    <n v="-104.79"/>
  </r>
  <r>
    <n v="1517"/>
    <x v="516"/>
    <x v="0"/>
    <x v="0"/>
    <n v="2"/>
    <n v="4944.25"/>
    <n v="9888.5"/>
    <x v="1"/>
    <n v="9888.5"/>
    <x v="95"/>
    <x v="1"/>
    <x v="1"/>
    <n v="-157.21"/>
  </r>
  <r>
    <n v="1518"/>
    <x v="517"/>
    <x v="0"/>
    <x v="0"/>
    <n v="2"/>
    <n v="706.71"/>
    <n v="1413.42"/>
    <x v="1"/>
    <n v="1413.42"/>
    <x v="280"/>
    <x v="0"/>
    <x v="0"/>
    <n v="-285.44"/>
  </r>
  <r>
    <n v="1519"/>
    <x v="518"/>
    <x v="3"/>
    <x v="3"/>
    <n v="1"/>
    <n v="3762.86"/>
    <n v="3762.86"/>
    <x v="1"/>
    <n v="3762.86"/>
    <x v="96"/>
    <x v="2"/>
    <x v="1"/>
    <n v="2567.73"/>
  </r>
  <r>
    <n v="1520"/>
    <x v="519"/>
    <x v="4"/>
    <x v="4"/>
    <n v="4"/>
    <m/>
    <n v="0"/>
    <x v="58"/>
    <n v="0"/>
    <x v="281"/>
    <x v="2"/>
    <x v="0"/>
    <n v="-822.18"/>
  </r>
  <r>
    <n v="1521"/>
    <x v="520"/>
    <x v="0"/>
    <x v="9"/>
    <n v="2"/>
    <n v="2362.0300000000002"/>
    <n v="4724.0600000000004"/>
    <x v="81"/>
    <n v="-1275.4962000000003"/>
    <x v="196"/>
    <x v="4"/>
    <x v="0"/>
    <n v="-943.46"/>
  </r>
  <r>
    <n v="1522"/>
    <x v="521"/>
    <x v="3"/>
    <x v="7"/>
    <n v="6"/>
    <m/>
    <n v="0"/>
    <x v="87"/>
    <n v="0"/>
    <x v="282"/>
    <x v="3"/>
    <x v="1"/>
    <n v="547.09"/>
  </r>
  <r>
    <n v="1523"/>
    <x v="522"/>
    <x v="4"/>
    <x v="8"/>
    <n v="-2"/>
    <m/>
    <n v="0"/>
    <x v="77"/>
    <n v="0"/>
    <x v="283"/>
    <x v="1"/>
    <x v="1"/>
    <n v="1475.12"/>
  </r>
  <r>
    <n v="1524"/>
    <x v="523"/>
    <x v="5"/>
    <x v="12"/>
    <n v="2"/>
    <m/>
    <n v="0"/>
    <x v="41"/>
    <n v="0"/>
    <x v="1"/>
    <x v="4"/>
    <x v="0"/>
    <n v="2668.06"/>
  </r>
  <r>
    <n v="1525"/>
    <x v="524"/>
    <x v="3"/>
    <x v="21"/>
    <n v="5"/>
    <n v="4591.26"/>
    <n v="22956.300000000003"/>
    <x v="1"/>
    <n v="22956.300000000003"/>
    <x v="210"/>
    <x v="4"/>
    <x v="1"/>
    <n v="-602.79999999999995"/>
  </r>
  <r>
    <n v="1526"/>
    <x v="525"/>
    <x v="2"/>
    <x v="10"/>
    <n v="2"/>
    <n v="1884.25"/>
    <n v="3768.5"/>
    <x v="1"/>
    <n v="3768.5"/>
    <x v="284"/>
    <x v="3"/>
    <x v="0"/>
    <n v="1177.57"/>
  </r>
  <r>
    <n v="1527"/>
    <x v="526"/>
    <x v="0"/>
    <x v="0"/>
    <n v="2"/>
    <n v="3431.26"/>
    <n v="6862.52"/>
    <x v="1"/>
    <n v="6862.52"/>
    <x v="259"/>
    <x v="3"/>
    <x v="0"/>
    <n v="1931.28"/>
  </r>
  <r>
    <n v="1026"/>
    <x v="527"/>
    <x v="4"/>
    <x v="4"/>
    <n v="0"/>
    <m/>
    <n v="0"/>
    <x v="1"/>
    <n v="0"/>
    <x v="285"/>
    <x v="0"/>
    <x v="0"/>
    <n v="2916.18"/>
  </r>
  <r>
    <n v="1529"/>
    <x v="528"/>
    <x v="4"/>
    <x v="14"/>
    <n v="2"/>
    <n v="3381.7"/>
    <n v="6763.4"/>
    <x v="1"/>
    <n v="6763.4"/>
    <x v="267"/>
    <x v="0"/>
    <x v="0"/>
    <n v="2953.76"/>
  </r>
  <r>
    <n v="1530"/>
    <x v="529"/>
    <x v="1"/>
    <x v="18"/>
    <n v="6"/>
    <m/>
    <n v="0"/>
    <x v="1"/>
    <n v="0"/>
    <x v="286"/>
    <x v="4"/>
    <x v="0"/>
    <n v="1451.55"/>
  </r>
  <r>
    <n v="1531"/>
    <x v="530"/>
    <x v="0"/>
    <x v="20"/>
    <n v="2"/>
    <m/>
    <n v="0"/>
    <x v="62"/>
    <n v="0"/>
    <x v="70"/>
    <x v="1"/>
    <x v="1"/>
    <n v="-173.83"/>
  </r>
  <r>
    <n v="1532"/>
    <x v="531"/>
    <x v="4"/>
    <x v="8"/>
    <n v="2"/>
    <m/>
    <n v="0"/>
    <x v="18"/>
    <n v="0"/>
    <x v="287"/>
    <x v="2"/>
    <x v="1"/>
    <n v="2512.66"/>
  </r>
  <r>
    <n v="1533"/>
    <x v="532"/>
    <x v="5"/>
    <x v="19"/>
    <n v="2"/>
    <n v="3965.94"/>
    <n v="7931.88"/>
    <x v="1"/>
    <n v="7931.88"/>
    <x v="288"/>
    <x v="2"/>
    <x v="0"/>
    <n v="-759.07"/>
  </r>
  <r>
    <n v="1534"/>
    <x v="533"/>
    <x v="4"/>
    <x v="16"/>
    <n v="2"/>
    <m/>
    <n v="0"/>
    <x v="1"/>
    <n v="0"/>
    <x v="140"/>
    <x v="0"/>
    <x v="1"/>
    <n v="-836.06"/>
  </r>
  <r>
    <n v="1535"/>
    <x v="534"/>
    <x v="3"/>
    <x v="23"/>
    <n v="2"/>
    <n v="720.35"/>
    <n v="1440.7"/>
    <x v="1"/>
    <n v="1440.7"/>
    <x v="289"/>
    <x v="3"/>
    <x v="0"/>
    <n v="1359.17"/>
  </r>
  <r>
    <n v="1536"/>
    <x v="535"/>
    <x v="5"/>
    <x v="19"/>
    <n v="1"/>
    <m/>
    <n v="0"/>
    <x v="1"/>
    <n v="0"/>
    <x v="290"/>
    <x v="0"/>
    <x v="1"/>
    <n v="1966.62"/>
  </r>
  <r>
    <n v="1537"/>
    <x v="536"/>
    <x v="0"/>
    <x v="20"/>
    <n v="-1"/>
    <m/>
    <n v="0"/>
    <x v="55"/>
    <n v="0"/>
    <x v="4"/>
    <x v="3"/>
    <x v="0"/>
    <n v="68.260000000000005"/>
  </r>
  <r>
    <n v="1538"/>
    <x v="537"/>
    <x v="5"/>
    <x v="19"/>
    <n v="2"/>
    <n v="4767.6099999999997"/>
    <n v="9535.2199999999993"/>
    <x v="86"/>
    <n v="9439.8678"/>
    <x v="4"/>
    <x v="1"/>
    <x v="1"/>
    <n v="-956.8"/>
  </r>
  <r>
    <n v="1539"/>
    <x v="538"/>
    <x v="0"/>
    <x v="9"/>
    <n v="2"/>
    <n v="2891.64"/>
    <n v="5783.28"/>
    <x v="1"/>
    <n v="5783.28"/>
    <x v="4"/>
    <x v="2"/>
    <x v="0"/>
    <n v="2309.23"/>
  </r>
  <r>
    <n v="1540"/>
    <x v="539"/>
    <x v="1"/>
    <x v="1"/>
    <n v="2"/>
    <m/>
    <n v="0"/>
    <x v="1"/>
    <n v="0"/>
    <x v="291"/>
    <x v="1"/>
    <x v="0"/>
    <n v="815.28"/>
  </r>
  <r>
    <n v="1541"/>
    <x v="540"/>
    <x v="3"/>
    <x v="23"/>
    <n v="2"/>
    <n v="2989.4"/>
    <n v="5978.8"/>
    <x v="1"/>
    <n v="5978.8"/>
    <x v="292"/>
    <x v="2"/>
    <x v="0"/>
    <n v="-530.72"/>
  </r>
  <r>
    <n v="1542"/>
    <x v="541"/>
    <x v="1"/>
    <x v="15"/>
    <n v="1"/>
    <n v="2044.17"/>
    <n v="2044.17"/>
    <x v="1"/>
    <n v="2044.17"/>
    <x v="4"/>
    <x v="5"/>
    <x v="0"/>
    <n v="-798.37"/>
  </r>
  <r>
    <n v="1543"/>
    <x v="542"/>
    <x v="5"/>
    <x v="19"/>
    <n v="1"/>
    <n v="4440.24"/>
    <n v="4440.24"/>
    <x v="95"/>
    <n v="3019.3631999999998"/>
    <x v="4"/>
    <x v="1"/>
    <x v="1"/>
    <n v="1884.06"/>
  </r>
  <r>
    <n v="1544"/>
    <x v="543"/>
    <x v="5"/>
    <x v="11"/>
    <n v="6"/>
    <m/>
    <n v="0"/>
    <x v="1"/>
    <n v="0"/>
    <x v="4"/>
    <x v="3"/>
    <x v="0"/>
    <n v="87.47"/>
  </r>
  <r>
    <n v="1545"/>
    <x v="544"/>
    <x v="5"/>
    <x v="6"/>
    <n v="1"/>
    <m/>
    <n v="0"/>
    <x v="1"/>
    <n v="0"/>
    <x v="246"/>
    <x v="4"/>
    <x v="1"/>
    <n v="2526.29"/>
  </r>
  <r>
    <n v="1546"/>
    <x v="545"/>
    <x v="4"/>
    <x v="8"/>
    <n v="2"/>
    <m/>
    <n v="0"/>
    <x v="1"/>
    <n v="0"/>
    <x v="293"/>
    <x v="1"/>
    <x v="0"/>
    <n v="1978.16"/>
  </r>
  <r>
    <n v="1547"/>
    <x v="546"/>
    <x v="5"/>
    <x v="11"/>
    <n v="6"/>
    <m/>
    <n v="0"/>
    <x v="104"/>
    <n v="0"/>
    <x v="294"/>
    <x v="5"/>
    <x v="1"/>
    <n v="1018.03"/>
  </r>
  <r>
    <n v="1548"/>
    <x v="547"/>
    <x v="1"/>
    <x v="15"/>
    <n v="2"/>
    <n v="2273.15"/>
    <n v="4546.3"/>
    <x v="1"/>
    <n v="4546.3"/>
    <x v="4"/>
    <x v="1"/>
    <x v="0"/>
    <n v="-701.47"/>
  </r>
  <r>
    <n v="1549"/>
    <x v="548"/>
    <x v="3"/>
    <x v="7"/>
    <n v="2"/>
    <n v="2465.23"/>
    <n v="4930.46"/>
    <x v="32"/>
    <n v="2859.6668000000004"/>
    <x v="4"/>
    <x v="3"/>
    <x v="0"/>
    <n v="256.3"/>
  </r>
  <r>
    <n v="1550"/>
    <x v="549"/>
    <x v="1"/>
    <x v="22"/>
    <n v="1"/>
    <m/>
    <n v="0"/>
    <x v="105"/>
    <n v="0"/>
    <x v="111"/>
    <x v="5"/>
    <x v="0"/>
    <n v="2195.27"/>
  </r>
  <r>
    <n v="1551"/>
    <x v="550"/>
    <x v="1"/>
    <x v="22"/>
    <n v="2"/>
    <n v="2656.77"/>
    <n v="5313.54"/>
    <x v="65"/>
    <n v="-265.67700000000025"/>
    <x v="4"/>
    <x v="2"/>
    <x v="0"/>
    <n v="2293.08"/>
  </r>
  <r>
    <n v="1552"/>
    <x v="551"/>
    <x v="2"/>
    <x v="13"/>
    <n v="2"/>
    <n v="883.76"/>
    <n v="1767.52"/>
    <x v="1"/>
    <n v="1767.52"/>
    <x v="4"/>
    <x v="1"/>
    <x v="0"/>
    <n v="-572.62"/>
  </r>
  <r>
    <n v="1553"/>
    <x v="552"/>
    <x v="3"/>
    <x v="3"/>
    <n v="1"/>
    <m/>
    <n v="0"/>
    <x v="1"/>
    <n v="0"/>
    <x v="4"/>
    <x v="4"/>
    <x v="0"/>
    <n v="2824.43"/>
  </r>
  <r>
    <n v="1554"/>
    <x v="553"/>
    <x v="2"/>
    <x v="2"/>
    <n v="2"/>
    <n v="2345.71"/>
    <n v="4691.42"/>
    <x v="1"/>
    <n v="4691.42"/>
    <x v="187"/>
    <x v="5"/>
    <x v="0"/>
    <n v="2041.71"/>
  </r>
  <r>
    <n v="1555"/>
    <x v="554"/>
    <x v="3"/>
    <x v="3"/>
    <n v="2"/>
    <m/>
    <n v="0"/>
    <x v="1"/>
    <n v="0"/>
    <x v="4"/>
    <x v="3"/>
    <x v="0"/>
    <n v="312.38"/>
  </r>
  <r>
    <n v="1556"/>
    <x v="555"/>
    <x v="0"/>
    <x v="5"/>
    <n v="2"/>
    <n v="453.92"/>
    <n v="907.84"/>
    <x v="1"/>
    <n v="907.84"/>
    <x v="147"/>
    <x v="3"/>
    <x v="1"/>
    <n v="2308.0100000000002"/>
  </r>
  <r>
    <n v="1557"/>
    <x v="556"/>
    <x v="1"/>
    <x v="1"/>
    <n v="2"/>
    <n v="4402.3999999999996"/>
    <n v="8804.7999999999993"/>
    <x v="1"/>
    <n v="8804.7999999999993"/>
    <x v="295"/>
    <x v="4"/>
    <x v="0"/>
    <n v="-594.21"/>
  </r>
  <r>
    <n v="1558"/>
    <x v="557"/>
    <x v="4"/>
    <x v="16"/>
    <n v="-2"/>
    <m/>
    <n v="0"/>
    <x v="1"/>
    <n v="0"/>
    <x v="296"/>
    <x v="5"/>
    <x v="0"/>
    <n v="300.17"/>
  </r>
  <r>
    <n v="1559"/>
    <x v="558"/>
    <x v="1"/>
    <x v="22"/>
    <n v="2"/>
    <m/>
    <n v="0"/>
    <x v="48"/>
    <n v="0"/>
    <x v="4"/>
    <x v="2"/>
    <x v="0"/>
    <n v="-548.17999999999995"/>
  </r>
  <r>
    <n v="1560"/>
    <x v="559"/>
    <x v="3"/>
    <x v="23"/>
    <n v="2"/>
    <m/>
    <n v="0"/>
    <x v="58"/>
    <n v="0"/>
    <x v="125"/>
    <x v="4"/>
    <x v="1"/>
    <n v="574.85"/>
  </r>
  <r>
    <n v="1561"/>
    <x v="560"/>
    <x v="2"/>
    <x v="10"/>
    <n v="4"/>
    <m/>
    <n v="0"/>
    <x v="1"/>
    <n v="0"/>
    <x v="297"/>
    <x v="0"/>
    <x v="0"/>
    <n v="2513.2399999999998"/>
  </r>
  <r>
    <n v="1562"/>
    <x v="561"/>
    <x v="3"/>
    <x v="23"/>
    <n v="2"/>
    <m/>
    <n v="0"/>
    <x v="1"/>
    <n v="0"/>
    <x v="4"/>
    <x v="4"/>
    <x v="1"/>
    <n v="930.14"/>
  </r>
  <r>
    <n v="1563"/>
    <x v="562"/>
    <x v="5"/>
    <x v="11"/>
    <n v="5"/>
    <n v="1571.12"/>
    <n v="7855.5999999999995"/>
    <x v="88"/>
    <n v="2749.4599999999996"/>
    <x v="4"/>
    <x v="1"/>
    <x v="0"/>
    <n v="103.28"/>
  </r>
  <r>
    <n v="1564"/>
    <x v="563"/>
    <x v="0"/>
    <x v="5"/>
    <n v="2"/>
    <m/>
    <n v="0"/>
    <x v="93"/>
    <n v="0"/>
    <x v="4"/>
    <x v="5"/>
    <x v="0"/>
    <n v="-953.17"/>
  </r>
  <r>
    <n v="1565"/>
    <x v="564"/>
    <x v="3"/>
    <x v="23"/>
    <n v="2"/>
    <n v="1867.24"/>
    <n v="3734.48"/>
    <x v="17"/>
    <n v="3024.9288000000001"/>
    <x v="276"/>
    <x v="5"/>
    <x v="1"/>
    <n v="784.96"/>
  </r>
  <r>
    <n v="1566"/>
    <x v="565"/>
    <x v="1"/>
    <x v="1"/>
    <n v="2"/>
    <n v="1696.72"/>
    <n v="3393.44"/>
    <x v="1"/>
    <n v="3393.44"/>
    <x v="298"/>
    <x v="1"/>
    <x v="1"/>
    <n v="953.07"/>
  </r>
  <r>
    <n v="1567"/>
    <x v="566"/>
    <x v="3"/>
    <x v="3"/>
    <n v="2"/>
    <m/>
    <n v="0"/>
    <x v="1"/>
    <n v="0"/>
    <x v="4"/>
    <x v="4"/>
    <x v="0"/>
    <n v="2545.25"/>
  </r>
  <r>
    <n v="1568"/>
    <x v="567"/>
    <x v="0"/>
    <x v="20"/>
    <n v="6"/>
    <m/>
    <n v="0"/>
    <x v="1"/>
    <n v="0"/>
    <x v="4"/>
    <x v="0"/>
    <x v="0"/>
    <n v="2403.0100000000002"/>
  </r>
  <r>
    <n v="1569"/>
    <x v="568"/>
    <x v="5"/>
    <x v="11"/>
    <n v="1"/>
    <m/>
    <n v="0"/>
    <x v="27"/>
    <n v="0"/>
    <x v="36"/>
    <x v="1"/>
    <x v="0"/>
    <n v="576.66"/>
  </r>
  <r>
    <n v="1570"/>
    <x v="569"/>
    <x v="1"/>
    <x v="22"/>
    <n v="1"/>
    <n v="4774.7700000000004"/>
    <n v="4774.7700000000004"/>
    <x v="78"/>
    <n v="190.99080000000018"/>
    <x v="182"/>
    <x v="2"/>
    <x v="0"/>
    <n v="-146.16999999999999"/>
  </r>
  <r>
    <n v="1571"/>
    <x v="570"/>
    <x v="1"/>
    <x v="18"/>
    <n v="3"/>
    <n v="1308.06"/>
    <n v="3924.18"/>
    <x v="1"/>
    <n v="3924.18"/>
    <x v="4"/>
    <x v="5"/>
    <x v="0"/>
    <n v="-246.91"/>
  </r>
  <r>
    <n v="1572"/>
    <x v="571"/>
    <x v="1"/>
    <x v="22"/>
    <n v="4"/>
    <m/>
    <n v="0"/>
    <x v="83"/>
    <n v="0"/>
    <x v="16"/>
    <x v="0"/>
    <x v="0"/>
    <n v="534.6"/>
  </r>
  <r>
    <n v="1573"/>
    <x v="572"/>
    <x v="0"/>
    <x v="20"/>
    <n v="2"/>
    <n v="3972.78"/>
    <n v="7945.56"/>
    <x v="1"/>
    <n v="7945.56"/>
    <x v="299"/>
    <x v="4"/>
    <x v="0"/>
    <n v="-902.58"/>
  </r>
  <r>
    <n v="1574"/>
    <x v="573"/>
    <x v="3"/>
    <x v="3"/>
    <n v="-1"/>
    <m/>
    <n v="0"/>
    <x v="1"/>
    <n v="0"/>
    <x v="300"/>
    <x v="1"/>
    <x v="1"/>
    <n v="-803.35"/>
  </r>
  <r>
    <n v="1575"/>
    <x v="574"/>
    <x v="4"/>
    <x v="16"/>
    <n v="2"/>
    <n v="615.07000000000005"/>
    <n v="1230.1400000000001"/>
    <x v="1"/>
    <n v="1230.1400000000001"/>
    <x v="111"/>
    <x v="1"/>
    <x v="0"/>
    <n v="638.16"/>
  </r>
  <r>
    <n v="1576"/>
    <x v="575"/>
    <x v="1"/>
    <x v="18"/>
    <n v="1"/>
    <n v="1882.14"/>
    <n v="1882.14"/>
    <x v="0"/>
    <n v="752.85600000000011"/>
    <x v="301"/>
    <x v="1"/>
    <x v="1"/>
    <n v="2554.79"/>
  </r>
  <r>
    <n v="1010"/>
    <x v="576"/>
    <x v="5"/>
    <x v="6"/>
    <n v="2"/>
    <n v="3134.69"/>
    <n v="6269.38"/>
    <x v="35"/>
    <n v="5830.5234"/>
    <x v="4"/>
    <x v="0"/>
    <x v="0"/>
    <n v="555.44000000000005"/>
  </r>
  <r>
    <n v="1578"/>
    <x v="577"/>
    <x v="5"/>
    <x v="11"/>
    <n v="2"/>
    <m/>
    <n v="0"/>
    <x v="1"/>
    <n v="0"/>
    <x v="176"/>
    <x v="3"/>
    <x v="0"/>
    <n v="2604.12"/>
  </r>
  <r>
    <n v="1579"/>
    <x v="578"/>
    <x v="2"/>
    <x v="17"/>
    <n v="3"/>
    <m/>
    <n v="0"/>
    <x v="1"/>
    <n v="0"/>
    <x v="76"/>
    <x v="4"/>
    <x v="1"/>
    <n v="-155.77000000000001"/>
  </r>
  <r>
    <n v="1580"/>
    <x v="579"/>
    <x v="5"/>
    <x v="12"/>
    <n v="2"/>
    <m/>
    <n v="0"/>
    <x v="1"/>
    <n v="0"/>
    <x v="302"/>
    <x v="4"/>
    <x v="1"/>
    <n v="-364.57"/>
  </r>
  <r>
    <n v="1581"/>
    <x v="580"/>
    <x v="0"/>
    <x v="9"/>
    <n v="2"/>
    <m/>
    <n v="0"/>
    <x v="1"/>
    <n v="0"/>
    <x v="75"/>
    <x v="0"/>
    <x v="0"/>
    <n v="1109.06"/>
  </r>
  <r>
    <n v="1582"/>
    <x v="581"/>
    <x v="0"/>
    <x v="0"/>
    <n v="1"/>
    <n v="4809.8999999999996"/>
    <n v="4809.8999999999996"/>
    <x v="11"/>
    <n v="384.7919999999998"/>
    <x v="134"/>
    <x v="2"/>
    <x v="0"/>
    <n v="-356.01"/>
  </r>
  <r>
    <n v="1583"/>
    <x v="582"/>
    <x v="5"/>
    <x v="6"/>
    <n v="2"/>
    <m/>
    <n v="0"/>
    <x v="1"/>
    <n v="0"/>
    <x v="303"/>
    <x v="5"/>
    <x v="1"/>
    <n v="829.03"/>
  </r>
  <r>
    <n v="1584"/>
    <x v="583"/>
    <x v="5"/>
    <x v="19"/>
    <n v="5"/>
    <m/>
    <n v="0"/>
    <x v="6"/>
    <n v="0"/>
    <x v="117"/>
    <x v="1"/>
    <x v="1"/>
    <n v="2853.8"/>
  </r>
  <r>
    <n v="1585"/>
    <x v="584"/>
    <x v="2"/>
    <x v="10"/>
    <n v="-2"/>
    <n v="2738.72"/>
    <n v="-5477.44"/>
    <x v="106"/>
    <n v="-602.51839999999993"/>
    <x v="104"/>
    <x v="0"/>
    <x v="0"/>
    <n v="-709.13"/>
  </r>
  <r>
    <n v="1586"/>
    <x v="585"/>
    <x v="2"/>
    <x v="2"/>
    <n v="2"/>
    <m/>
    <n v="0"/>
    <x v="107"/>
    <n v="0"/>
    <x v="188"/>
    <x v="5"/>
    <x v="1"/>
    <n v="1765.79"/>
  </r>
  <r>
    <n v="1587"/>
    <x v="586"/>
    <x v="2"/>
    <x v="2"/>
    <n v="-1"/>
    <m/>
    <n v="0"/>
    <x v="1"/>
    <n v="0"/>
    <x v="4"/>
    <x v="2"/>
    <x v="0"/>
    <n v="1376.9"/>
  </r>
  <r>
    <n v="1588"/>
    <x v="587"/>
    <x v="3"/>
    <x v="7"/>
    <n v="1"/>
    <m/>
    <n v="0"/>
    <x v="1"/>
    <n v="0"/>
    <x v="304"/>
    <x v="0"/>
    <x v="1"/>
    <n v="526.32000000000005"/>
  </r>
  <r>
    <n v="1589"/>
    <x v="588"/>
    <x v="2"/>
    <x v="2"/>
    <n v="2"/>
    <n v="527.07000000000005"/>
    <n v="1054.1400000000001"/>
    <x v="108"/>
    <n v="579.77700000000016"/>
    <x v="4"/>
    <x v="2"/>
    <x v="0"/>
    <n v="2617.9899999999998"/>
  </r>
  <r>
    <n v="1590"/>
    <x v="589"/>
    <x v="5"/>
    <x v="11"/>
    <n v="6"/>
    <m/>
    <n v="0"/>
    <x v="93"/>
    <n v="0"/>
    <x v="4"/>
    <x v="3"/>
    <x v="1"/>
    <n v="-104.43"/>
  </r>
  <r>
    <n v="1591"/>
    <x v="590"/>
    <x v="4"/>
    <x v="16"/>
    <n v="2"/>
    <m/>
    <n v="0"/>
    <x v="1"/>
    <n v="0"/>
    <x v="305"/>
    <x v="2"/>
    <x v="0"/>
    <n v="158.05000000000001"/>
  </r>
  <r>
    <n v="1592"/>
    <x v="591"/>
    <x v="2"/>
    <x v="10"/>
    <n v="5"/>
    <m/>
    <n v="0"/>
    <x v="73"/>
    <n v="0"/>
    <x v="82"/>
    <x v="2"/>
    <x v="0"/>
    <n v="619.25"/>
  </r>
  <r>
    <n v="1593"/>
    <x v="592"/>
    <x v="4"/>
    <x v="16"/>
    <n v="2"/>
    <m/>
    <n v="0"/>
    <x v="1"/>
    <n v="0"/>
    <x v="306"/>
    <x v="2"/>
    <x v="0"/>
    <n v="2598.9299999999998"/>
  </r>
  <r>
    <n v="1594"/>
    <x v="593"/>
    <x v="0"/>
    <x v="9"/>
    <n v="2"/>
    <n v="3784.99"/>
    <n v="7569.98"/>
    <x v="1"/>
    <n v="7569.98"/>
    <x v="4"/>
    <x v="3"/>
    <x v="0"/>
    <n v="346.37"/>
  </r>
  <r>
    <n v="1595"/>
    <x v="594"/>
    <x v="5"/>
    <x v="19"/>
    <n v="2"/>
    <m/>
    <n v="0"/>
    <x v="1"/>
    <n v="0"/>
    <x v="7"/>
    <x v="2"/>
    <x v="0"/>
    <n v="1483.7"/>
  </r>
  <r>
    <n v="1596"/>
    <x v="595"/>
    <x v="1"/>
    <x v="1"/>
    <n v="3"/>
    <n v="738.29"/>
    <n v="2214.87"/>
    <x v="1"/>
    <n v="2214.87"/>
    <x v="168"/>
    <x v="1"/>
    <x v="1"/>
    <n v="-871.38"/>
  </r>
  <r>
    <n v="1597"/>
    <x v="596"/>
    <x v="4"/>
    <x v="4"/>
    <n v="1"/>
    <n v="657.51"/>
    <n v="657.51"/>
    <x v="49"/>
    <n v="151.22729999999999"/>
    <x v="188"/>
    <x v="0"/>
    <x v="0"/>
    <n v="2744.32"/>
  </r>
  <r>
    <n v="1598"/>
    <x v="597"/>
    <x v="1"/>
    <x v="18"/>
    <n v="2"/>
    <n v="3311.31"/>
    <n v="6622.62"/>
    <x v="1"/>
    <n v="6622.62"/>
    <x v="4"/>
    <x v="5"/>
    <x v="1"/>
    <n v="2944.25"/>
  </r>
  <r>
    <n v="1599"/>
    <x v="598"/>
    <x v="1"/>
    <x v="15"/>
    <n v="2"/>
    <m/>
    <n v="0"/>
    <x v="1"/>
    <n v="0"/>
    <x v="307"/>
    <x v="2"/>
    <x v="0"/>
    <n v="790.51"/>
  </r>
  <r>
    <n v="1600"/>
    <x v="599"/>
    <x v="3"/>
    <x v="21"/>
    <n v="2"/>
    <m/>
    <n v="0"/>
    <x v="1"/>
    <n v="0"/>
    <x v="308"/>
    <x v="1"/>
    <x v="1"/>
    <n v="-605.05999999999995"/>
  </r>
  <r>
    <n v="1601"/>
    <x v="600"/>
    <x v="3"/>
    <x v="3"/>
    <n v="2"/>
    <m/>
    <n v="0"/>
    <x v="1"/>
    <n v="0"/>
    <x v="83"/>
    <x v="2"/>
    <x v="1"/>
    <n v="1282.26"/>
  </r>
  <r>
    <n v="1602"/>
    <x v="601"/>
    <x v="5"/>
    <x v="12"/>
    <n v="2"/>
    <n v="4256.43"/>
    <n v="8512.86"/>
    <x v="1"/>
    <n v="8512.86"/>
    <x v="8"/>
    <x v="3"/>
    <x v="0"/>
    <n v="2472.73"/>
  </r>
  <r>
    <n v="1603"/>
    <x v="602"/>
    <x v="1"/>
    <x v="15"/>
    <n v="2"/>
    <m/>
    <n v="0"/>
    <x v="65"/>
    <n v="0"/>
    <x v="4"/>
    <x v="1"/>
    <x v="0"/>
    <n v="2700.72"/>
  </r>
  <r>
    <n v="1604"/>
    <x v="603"/>
    <x v="4"/>
    <x v="16"/>
    <n v="2"/>
    <m/>
    <n v="0"/>
    <x v="1"/>
    <n v="0"/>
    <x v="309"/>
    <x v="3"/>
    <x v="1"/>
    <n v="2976.74"/>
  </r>
  <r>
    <n v="1605"/>
    <x v="604"/>
    <x v="3"/>
    <x v="21"/>
    <n v="0"/>
    <m/>
    <n v="0"/>
    <x v="41"/>
    <n v="0"/>
    <x v="63"/>
    <x v="4"/>
    <x v="0"/>
    <n v="-339.59"/>
  </r>
  <r>
    <n v="1606"/>
    <x v="605"/>
    <x v="4"/>
    <x v="16"/>
    <n v="6"/>
    <m/>
    <n v="0"/>
    <x v="1"/>
    <n v="0"/>
    <x v="175"/>
    <x v="0"/>
    <x v="0"/>
    <n v="-527.17999999999995"/>
  </r>
  <r>
    <n v="1607"/>
    <x v="606"/>
    <x v="2"/>
    <x v="2"/>
    <n v="2"/>
    <n v="4941.2700000000004"/>
    <n v="9882.5400000000009"/>
    <x v="1"/>
    <n v="9882.5400000000009"/>
    <x v="310"/>
    <x v="0"/>
    <x v="0"/>
    <n v="515.05999999999995"/>
  </r>
  <r>
    <n v="1608"/>
    <x v="607"/>
    <x v="2"/>
    <x v="13"/>
    <n v="3"/>
    <n v="3536.61"/>
    <n v="10609.83"/>
    <x v="109"/>
    <n v="2228.0642999999995"/>
    <x v="257"/>
    <x v="2"/>
    <x v="0"/>
    <n v="-55.01"/>
  </r>
  <r>
    <n v="1609"/>
    <x v="608"/>
    <x v="2"/>
    <x v="2"/>
    <n v="4"/>
    <m/>
    <n v="0"/>
    <x v="1"/>
    <n v="0"/>
    <x v="97"/>
    <x v="4"/>
    <x v="0"/>
    <n v="-939.39"/>
  </r>
  <r>
    <n v="1610"/>
    <x v="609"/>
    <x v="0"/>
    <x v="9"/>
    <n v="5"/>
    <m/>
    <n v="0"/>
    <x v="1"/>
    <n v="0"/>
    <x v="183"/>
    <x v="4"/>
    <x v="1"/>
    <n v="-361.65"/>
  </r>
  <r>
    <n v="1611"/>
    <x v="610"/>
    <x v="4"/>
    <x v="16"/>
    <n v="2"/>
    <m/>
    <n v="0"/>
    <x v="89"/>
    <n v="0"/>
    <x v="101"/>
    <x v="0"/>
    <x v="0"/>
    <n v="-351.41"/>
  </r>
  <r>
    <n v="1612"/>
    <x v="611"/>
    <x v="1"/>
    <x v="1"/>
    <n v="5"/>
    <n v="1010.24"/>
    <n v="5051.2"/>
    <x v="1"/>
    <n v="5051.2"/>
    <x v="311"/>
    <x v="5"/>
    <x v="0"/>
    <n v="2174.98"/>
  </r>
  <r>
    <n v="1613"/>
    <x v="612"/>
    <x v="3"/>
    <x v="21"/>
    <n v="1"/>
    <n v="1575.26"/>
    <n v="1575.26"/>
    <x v="1"/>
    <n v="1575.26"/>
    <x v="312"/>
    <x v="0"/>
    <x v="0"/>
    <n v="-641.72"/>
  </r>
  <r>
    <n v="1614"/>
    <x v="613"/>
    <x v="3"/>
    <x v="7"/>
    <n v="-1"/>
    <m/>
    <n v="0"/>
    <x v="1"/>
    <n v="0"/>
    <x v="121"/>
    <x v="2"/>
    <x v="0"/>
    <n v="319.85000000000002"/>
  </r>
  <r>
    <n v="1615"/>
    <x v="614"/>
    <x v="5"/>
    <x v="6"/>
    <n v="6"/>
    <n v="4962.7"/>
    <n v="29776.199999999997"/>
    <x v="27"/>
    <n v="29180.675999999996"/>
    <x v="313"/>
    <x v="4"/>
    <x v="0"/>
    <n v="61.6"/>
  </r>
  <r>
    <n v="1616"/>
    <x v="615"/>
    <x v="2"/>
    <x v="2"/>
    <n v="2"/>
    <n v="4443.82"/>
    <n v="8887.64"/>
    <x v="1"/>
    <n v="8887.64"/>
    <x v="314"/>
    <x v="3"/>
    <x v="0"/>
    <n v="1611.45"/>
  </r>
  <r>
    <n v="1617"/>
    <x v="616"/>
    <x v="0"/>
    <x v="5"/>
    <n v="2"/>
    <n v="1144.47"/>
    <n v="2288.94"/>
    <x v="1"/>
    <n v="2288.94"/>
    <x v="315"/>
    <x v="5"/>
    <x v="0"/>
    <n v="-863.76"/>
  </r>
  <r>
    <n v="1618"/>
    <x v="617"/>
    <x v="5"/>
    <x v="12"/>
    <n v="2"/>
    <m/>
    <n v="0"/>
    <x v="110"/>
    <n v="0"/>
    <x v="316"/>
    <x v="2"/>
    <x v="1"/>
    <n v="2113.08"/>
  </r>
  <r>
    <n v="1619"/>
    <x v="618"/>
    <x v="0"/>
    <x v="9"/>
    <n v="2"/>
    <n v="1470.99"/>
    <n v="2941.98"/>
    <x v="5"/>
    <n v="882.59400000000016"/>
    <x v="317"/>
    <x v="3"/>
    <x v="1"/>
    <n v="-668.13"/>
  </r>
  <r>
    <n v="1620"/>
    <x v="619"/>
    <x v="5"/>
    <x v="11"/>
    <n v="6"/>
    <m/>
    <n v="0"/>
    <x v="64"/>
    <n v="0"/>
    <x v="269"/>
    <x v="0"/>
    <x v="0"/>
    <n v="1796.21"/>
  </r>
  <r>
    <n v="1621"/>
    <x v="620"/>
    <x v="4"/>
    <x v="14"/>
    <n v="6"/>
    <n v="639.66999999999996"/>
    <n v="3838.0199999999995"/>
    <x v="1"/>
    <n v="3838.0199999999995"/>
    <x v="134"/>
    <x v="4"/>
    <x v="1"/>
    <n v="1599.1"/>
  </r>
  <r>
    <n v="1622"/>
    <x v="621"/>
    <x v="2"/>
    <x v="13"/>
    <n v="1"/>
    <m/>
    <n v="0"/>
    <x v="1"/>
    <n v="0"/>
    <x v="4"/>
    <x v="3"/>
    <x v="0"/>
    <n v="-880.92"/>
  </r>
  <r>
    <n v="1033"/>
    <x v="622"/>
    <x v="4"/>
    <x v="14"/>
    <n v="2"/>
    <n v="3369.55"/>
    <n v="6739.1"/>
    <x v="1"/>
    <n v="6739.1"/>
    <x v="52"/>
    <x v="5"/>
    <x v="0"/>
    <n v="1927.24"/>
  </r>
  <r>
    <n v="1624"/>
    <x v="623"/>
    <x v="0"/>
    <x v="0"/>
    <n v="5"/>
    <n v="977.2"/>
    <n v="4886"/>
    <x v="1"/>
    <n v="4886"/>
    <x v="4"/>
    <x v="5"/>
    <x v="1"/>
    <n v="1003.06"/>
  </r>
  <r>
    <n v="1625"/>
    <x v="624"/>
    <x v="3"/>
    <x v="21"/>
    <n v="0"/>
    <n v="735.97"/>
    <n v="0"/>
    <x v="42"/>
    <n v="0"/>
    <x v="174"/>
    <x v="0"/>
    <x v="0"/>
    <n v="1690.22"/>
  </r>
  <r>
    <n v="1626"/>
    <x v="625"/>
    <x v="5"/>
    <x v="11"/>
    <n v="2"/>
    <n v="4695.1499999999996"/>
    <n v="9390.2999999999993"/>
    <x v="1"/>
    <n v="9390.2999999999993"/>
    <x v="4"/>
    <x v="5"/>
    <x v="0"/>
    <n v="1584.44"/>
  </r>
  <r>
    <n v="1004"/>
    <x v="626"/>
    <x v="0"/>
    <x v="20"/>
    <n v="6"/>
    <n v="987.35"/>
    <n v="5924.1"/>
    <x v="1"/>
    <n v="5924.1"/>
    <x v="152"/>
    <x v="2"/>
    <x v="1"/>
    <n v="-108.36"/>
  </r>
  <r>
    <n v="1628"/>
    <x v="627"/>
    <x v="5"/>
    <x v="19"/>
    <n v="1"/>
    <n v="3345.58"/>
    <n v="3345.58"/>
    <x v="42"/>
    <n v="2475.7291999999998"/>
    <x v="318"/>
    <x v="4"/>
    <x v="0"/>
    <n v="2274.54"/>
  </r>
  <r>
    <n v="1629"/>
    <x v="628"/>
    <x v="2"/>
    <x v="17"/>
    <n v="2"/>
    <n v="829.14"/>
    <n v="1658.28"/>
    <x v="1"/>
    <n v="1658.28"/>
    <x v="4"/>
    <x v="1"/>
    <x v="0"/>
    <n v="2172.06"/>
  </r>
  <r>
    <n v="1630"/>
    <x v="629"/>
    <x v="0"/>
    <x v="20"/>
    <n v="2"/>
    <n v="2393.14"/>
    <n v="4786.28"/>
    <x v="111"/>
    <n v="0"/>
    <x v="319"/>
    <x v="3"/>
    <x v="0"/>
    <n v="715.08"/>
  </r>
  <r>
    <n v="1631"/>
    <x v="630"/>
    <x v="5"/>
    <x v="6"/>
    <n v="2"/>
    <m/>
    <n v="0"/>
    <x v="1"/>
    <n v="0"/>
    <x v="272"/>
    <x v="4"/>
    <x v="0"/>
    <n v="186.7"/>
  </r>
  <r>
    <n v="1632"/>
    <x v="631"/>
    <x v="1"/>
    <x v="15"/>
    <n v="2"/>
    <n v="2618.69"/>
    <n v="5237.38"/>
    <x v="112"/>
    <n v="4661.2682000000004"/>
    <x v="106"/>
    <x v="5"/>
    <x v="0"/>
    <n v="130.88999999999999"/>
  </r>
  <r>
    <n v="1633"/>
    <x v="632"/>
    <x v="1"/>
    <x v="15"/>
    <n v="2"/>
    <n v="4599.41"/>
    <n v="9198.82"/>
    <x v="1"/>
    <n v="9198.82"/>
    <x v="174"/>
    <x v="0"/>
    <x v="1"/>
    <n v="182.46"/>
  </r>
  <r>
    <n v="1634"/>
    <x v="633"/>
    <x v="1"/>
    <x v="1"/>
    <n v="2"/>
    <m/>
    <n v="0"/>
    <x v="1"/>
    <n v="0"/>
    <x v="72"/>
    <x v="1"/>
    <x v="1"/>
    <n v="108.15"/>
  </r>
  <r>
    <n v="1635"/>
    <x v="634"/>
    <x v="3"/>
    <x v="23"/>
    <n v="2"/>
    <m/>
    <n v="0"/>
    <x v="1"/>
    <n v="0"/>
    <x v="320"/>
    <x v="0"/>
    <x v="0"/>
    <n v="857.97"/>
  </r>
  <r>
    <n v="1636"/>
    <x v="635"/>
    <x v="1"/>
    <x v="18"/>
    <n v="-2"/>
    <m/>
    <n v="0"/>
    <x v="1"/>
    <n v="0"/>
    <x v="143"/>
    <x v="5"/>
    <x v="0"/>
    <n v="2569.59"/>
  </r>
  <r>
    <n v="1637"/>
    <x v="636"/>
    <x v="2"/>
    <x v="13"/>
    <n v="2"/>
    <n v="2644.73"/>
    <n v="5289.46"/>
    <x v="1"/>
    <n v="5289.46"/>
    <x v="4"/>
    <x v="0"/>
    <x v="1"/>
    <n v="1402.25"/>
  </r>
  <r>
    <n v="1638"/>
    <x v="506"/>
    <x v="0"/>
    <x v="5"/>
    <n v="2"/>
    <m/>
    <n v="0"/>
    <x v="96"/>
    <n v="0"/>
    <x v="207"/>
    <x v="2"/>
    <x v="0"/>
    <n v="2346.2199999999998"/>
  </r>
  <r>
    <n v="1639"/>
    <x v="637"/>
    <x v="0"/>
    <x v="5"/>
    <n v="2"/>
    <n v="4183.22"/>
    <n v="8366.44"/>
    <x v="1"/>
    <n v="8366.44"/>
    <x v="321"/>
    <x v="3"/>
    <x v="0"/>
    <n v="532.80999999999995"/>
  </r>
  <r>
    <n v="1640"/>
    <x v="638"/>
    <x v="3"/>
    <x v="3"/>
    <n v="2"/>
    <m/>
    <n v="0"/>
    <x v="1"/>
    <n v="0"/>
    <x v="62"/>
    <x v="5"/>
    <x v="0"/>
    <n v="1823.75"/>
  </r>
  <r>
    <n v="1641"/>
    <x v="639"/>
    <x v="3"/>
    <x v="23"/>
    <n v="2"/>
    <n v="1278.98"/>
    <n v="2557.96"/>
    <x v="96"/>
    <n v="1176.6615999999999"/>
    <x v="302"/>
    <x v="1"/>
    <x v="0"/>
    <n v="34.99"/>
  </r>
  <r>
    <n v="1642"/>
    <x v="640"/>
    <x v="1"/>
    <x v="18"/>
    <n v="3"/>
    <m/>
    <n v="0"/>
    <x v="1"/>
    <n v="0"/>
    <x v="151"/>
    <x v="4"/>
    <x v="0"/>
    <n v="2906.72"/>
  </r>
  <r>
    <n v="1643"/>
    <x v="641"/>
    <x v="2"/>
    <x v="17"/>
    <n v="-1"/>
    <m/>
    <n v="0"/>
    <x v="90"/>
    <n v="0"/>
    <x v="322"/>
    <x v="3"/>
    <x v="1"/>
    <n v="2589.4299999999998"/>
  </r>
  <r>
    <n v="1644"/>
    <x v="642"/>
    <x v="5"/>
    <x v="12"/>
    <n v="2"/>
    <m/>
    <n v="0"/>
    <x v="1"/>
    <n v="0"/>
    <x v="4"/>
    <x v="4"/>
    <x v="0"/>
    <n v="1343.06"/>
  </r>
  <r>
    <n v="1645"/>
    <x v="643"/>
    <x v="4"/>
    <x v="14"/>
    <n v="-2"/>
    <n v="2660.45"/>
    <n v="-5320.9"/>
    <x v="30"/>
    <n v="-4150.3019999999997"/>
    <x v="310"/>
    <x v="3"/>
    <x v="1"/>
    <n v="-825.82"/>
  </r>
  <r>
    <n v="1646"/>
    <x v="644"/>
    <x v="0"/>
    <x v="20"/>
    <n v="0"/>
    <n v="3393.47"/>
    <n v="0"/>
    <x v="113"/>
    <n v="0"/>
    <x v="323"/>
    <x v="1"/>
    <x v="0"/>
    <n v="925.07"/>
  </r>
  <r>
    <n v="1647"/>
    <x v="645"/>
    <x v="2"/>
    <x v="17"/>
    <n v="2"/>
    <n v="498.95"/>
    <n v="997.9"/>
    <x v="7"/>
    <n v="-189.60099999999994"/>
    <x v="163"/>
    <x v="2"/>
    <x v="0"/>
    <n v="-433.87"/>
  </r>
  <r>
    <n v="1648"/>
    <x v="646"/>
    <x v="1"/>
    <x v="15"/>
    <n v="2"/>
    <m/>
    <n v="0"/>
    <x v="1"/>
    <n v="0"/>
    <x v="112"/>
    <x v="2"/>
    <x v="1"/>
    <n v="-952.5"/>
  </r>
  <r>
    <n v="1649"/>
    <x v="647"/>
    <x v="2"/>
    <x v="17"/>
    <n v="2"/>
    <m/>
    <n v="0"/>
    <x v="82"/>
    <n v="0"/>
    <x v="107"/>
    <x v="4"/>
    <x v="1"/>
    <n v="-640.58000000000004"/>
  </r>
  <r>
    <n v="1650"/>
    <x v="648"/>
    <x v="5"/>
    <x v="12"/>
    <n v="2"/>
    <m/>
    <n v="0"/>
    <x v="78"/>
    <n v="0"/>
    <x v="199"/>
    <x v="2"/>
    <x v="0"/>
    <n v="1943.2"/>
  </r>
  <r>
    <n v="1651"/>
    <x v="649"/>
    <x v="2"/>
    <x v="10"/>
    <n v="3"/>
    <m/>
    <n v="0"/>
    <x v="67"/>
    <n v="0"/>
    <x v="4"/>
    <x v="2"/>
    <x v="0"/>
    <n v="-551.78"/>
  </r>
  <r>
    <n v="1652"/>
    <x v="650"/>
    <x v="5"/>
    <x v="11"/>
    <n v="2"/>
    <n v="2375.56"/>
    <n v="4751.12"/>
    <x v="34"/>
    <n v="1947.9592"/>
    <x v="4"/>
    <x v="4"/>
    <x v="0"/>
    <n v="2699.88"/>
  </r>
  <r>
    <n v="1653"/>
    <x v="651"/>
    <x v="1"/>
    <x v="18"/>
    <n v="2"/>
    <n v="2563.6"/>
    <n v="5127.2"/>
    <x v="29"/>
    <n v="615.26400000000001"/>
    <x v="324"/>
    <x v="2"/>
    <x v="1"/>
    <n v="516.95000000000005"/>
  </r>
  <r>
    <n v="1654"/>
    <x v="652"/>
    <x v="3"/>
    <x v="23"/>
    <n v="1"/>
    <m/>
    <n v="0"/>
    <x v="1"/>
    <n v="0"/>
    <x v="325"/>
    <x v="1"/>
    <x v="1"/>
    <n v="1433.43"/>
  </r>
  <r>
    <n v="1655"/>
    <x v="653"/>
    <x v="0"/>
    <x v="5"/>
    <n v="5"/>
    <n v="1385.86"/>
    <n v="6929.2999999999993"/>
    <x v="58"/>
    <n v="2009.4970000000001"/>
    <x v="326"/>
    <x v="2"/>
    <x v="0"/>
    <n v="1839.94"/>
  </r>
  <r>
    <n v="1656"/>
    <x v="654"/>
    <x v="2"/>
    <x v="13"/>
    <n v="2"/>
    <m/>
    <n v="0"/>
    <x v="1"/>
    <n v="0"/>
    <x v="18"/>
    <x v="0"/>
    <x v="0"/>
    <n v="1872.27"/>
  </r>
  <r>
    <n v="1657"/>
    <x v="655"/>
    <x v="0"/>
    <x v="20"/>
    <n v="2"/>
    <m/>
    <n v="0"/>
    <x v="1"/>
    <n v="0"/>
    <x v="320"/>
    <x v="3"/>
    <x v="1"/>
    <n v="2507.9299999999998"/>
  </r>
  <r>
    <n v="1658"/>
    <x v="656"/>
    <x v="1"/>
    <x v="1"/>
    <n v="2"/>
    <m/>
    <n v="0"/>
    <x v="1"/>
    <n v="0"/>
    <x v="307"/>
    <x v="3"/>
    <x v="0"/>
    <n v="2996.16"/>
  </r>
  <r>
    <n v="1659"/>
    <x v="657"/>
    <x v="2"/>
    <x v="10"/>
    <n v="2"/>
    <n v="1014.86"/>
    <n v="2029.72"/>
    <x v="114"/>
    <n v="1400.5067999999999"/>
    <x v="4"/>
    <x v="5"/>
    <x v="0"/>
    <n v="-379.55"/>
  </r>
  <r>
    <n v="1660"/>
    <x v="658"/>
    <x v="0"/>
    <x v="0"/>
    <n v="2"/>
    <m/>
    <n v="0"/>
    <x v="9"/>
    <n v="0"/>
    <x v="136"/>
    <x v="2"/>
    <x v="1"/>
    <n v="2345.37"/>
  </r>
  <r>
    <n v="1661"/>
    <x v="659"/>
    <x v="2"/>
    <x v="17"/>
    <n v="-2"/>
    <m/>
    <n v="0"/>
    <x v="1"/>
    <n v="0"/>
    <x v="211"/>
    <x v="3"/>
    <x v="0"/>
    <n v="49.2"/>
  </r>
  <r>
    <n v="1662"/>
    <x v="660"/>
    <x v="3"/>
    <x v="3"/>
    <n v="6"/>
    <m/>
    <n v="0"/>
    <x v="78"/>
    <n v="0"/>
    <x v="4"/>
    <x v="1"/>
    <x v="0"/>
    <n v="665.51"/>
  </r>
  <r>
    <n v="1663"/>
    <x v="661"/>
    <x v="2"/>
    <x v="2"/>
    <n v="3"/>
    <m/>
    <n v="0"/>
    <x v="1"/>
    <n v="0"/>
    <x v="327"/>
    <x v="3"/>
    <x v="0"/>
    <n v="2091.5300000000002"/>
  </r>
  <r>
    <n v="1664"/>
    <x v="662"/>
    <x v="2"/>
    <x v="17"/>
    <n v="-1"/>
    <m/>
    <n v="0"/>
    <x v="1"/>
    <n v="0"/>
    <x v="26"/>
    <x v="4"/>
    <x v="0"/>
    <n v="844.94"/>
  </r>
  <r>
    <n v="1665"/>
    <x v="663"/>
    <x v="4"/>
    <x v="4"/>
    <n v="2"/>
    <n v="4504.03"/>
    <n v="9008.06"/>
    <x v="1"/>
    <n v="9008.06"/>
    <x v="124"/>
    <x v="0"/>
    <x v="0"/>
    <n v="1488.95"/>
  </r>
  <r>
    <n v="1666"/>
    <x v="664"/>
    <x v="0"/>
    <x v="9"/>
    <n v="2"/>
    <n v="973.63"/>
    <n v="1947.26"/>
    <x v="1"/>
    <n v="1947.26"/>
    <x v="22"/>
    <x v="0"/>
    <x v="0"/>
    <n v="-148.66999999999999"/>
  </r>
  <r>
    <n v="1667"/>
    <x v="665"/>
    <x v="2"/>
    <x v="10"/>
    <n v="2"/>
    <n v="4021"/>
    <n v="8042"/>
    <x v="1"/>
    <n v="8042"/>
    <x v="158"/>
    <x v="2"/>
    <x v="1"/>
    <n v="2323.66"/>
  </r>
  <r>
    <n v="1668"/>
    <x v="666"/>
    <x v="0"/>
    <x v="5"/>
    <n v="2"/>
    <n v="2534.08"/>
    <n v="5068.16"/>
    <x v="1"/>
    <n v="5068.16"/>
    <x v="13"/>
    <x v="4"/>
    <x v="0"/>
    <n v="941.2"/>
  </r>
  <r>
    <n v="1669"/>
    <x v="667"/>
    <x v="2"/>
    <x v="17"/>
    <n v="0"/>
    <n v="1838.63"/>
    <n v="0"/>
    <x v="1"/>
    <n v="0"/>
    <x v="4"/>
    <x v="5"/>
    <x v="0"/>
    <n v="-524.25"/>
  </r>
  <r>
    <n v="1670"/>
    <x v="668"/>
    <x v="4"/>
    <x v="14"/>
    <n v="2"/>
    <m/>
    <n v="0"/>
    <x v="70"/>
    <n v="0"/>
    <x v="43"/>
    <x v="4"/>
    <x v="1"/>
    <n v="462.22"/>
  </r>
  <r>
    <n v="1671"/>
    <x v="669"/>
    <x v="0"/>
    <x v="0"/>
    <n v="2"/>
    <n v="4417.34"/>
    <n v="8834.68"/>
    <x v="1"/>
    <n v="8834.68"/>
    <x v="185"/>
    <x v="1"/>
    <x v="1"/>
    <n v="-72.28"/>
  </r>
  <r>
    <n v="1672"/>
    <x v="670"/>
    <x v="3"/>
    <x v="3"/>
    <n v="5"/>
    <m/>
    <n v="0"/>
    <x v="1"/>
    <n v="0"/>
    <x v="4"/>
    <x v="0"/>
    <x v="1"/>
    <n v="-587.27"/>
  </r>
  <r>
    <n v="1673"/>
    <x v="671"/>
    <x v="3"/>
    <x v="21"/>
    <n v="2"/>
    <n v="3992.21"/>
    <n v="7984.42"/>
    <x v="93"/>
    <n v="2634.8585999999996"/>
    <x v="4"/>
    <x v="2"/>
    <x v="0"/>
    <n v="617.12"/>
  </r>
  <r>
    <n v="1674"/>
    <x v="672"/>
    <x v="0"/>
    <x v="9"/>
    <n v="2"/>
    <m/>
    <n v="0"/>
    <x v="17"/>
    <n v="0"/>
    <x v="276"/>
    <x v="3"/>
    <x v="0"/>
    <n v="-680.26"/>
  </r>
  <r>
    <n v="1675"/>
    <x v="673"/>
    <x v="5"/>
    <x v="6"/>
    <n v="2"/>
    <m/>
    <n v="0"/>
    <x v="1"/>
    <n v="0"/>
    <x v="78"/>
    <x v="2"/>
    <x v="0"/>
    <n v="340.43"/>
  </r>
  <r>
    <n v="1676"/>
    <x v="674"/>
    <x v="5"/>
    <x v="11"/>
    <n v="0"/>
    <n v="4351.82"/>
    <n v="0"/>
    <x v="1"/>
    <n v="0"/>
    <x v="4"/>
    <x v="3"/>
    <x v="0"/>
    <n v="1818.14"/>
  </r>
  <r>
    <n v="1677"/>
    <x v="675"/>
    <x v="1"/>
    <x v="15"/>
    <n v="2"/>
    <n v="4639.8599999999997"/>
    <n v="9279.7199999999993"/>
    <x v="70"/>
    <n v="2876.7132000000001"/>
    <x v="328"/>
    <x v="4"/>
    <x v="0"/>
    <n v="1323.79"/>
  </r>
  <r>
    <n v="1048"/>
    <x v="676"/>
    <x v="3"/>
    <x v="21"/>
    <n v="4"/>
    <n v="1429.93"/>
    <n v="5719.72"/>
    <x v="1"/>
    <n v="5719.72"/>
    <x v="329"/>
    <x v="1"/>
    <x v="1"/>
    <n v="1844.84"/>
  </r>
  <r>
    <n v="1679"/>
    <x v="677"/>
    <x v="4"/>
    <x v="14"/>
    <n v="1"/>
    <n v="4198.5"/>
    <n v="4198.5"/>
    <x v="1"/>
    <n v="4198.5"/>
    <x v="330"/>
    <x v="5"/>
    <x v="0"/>
    <n v="2518.86"/>
  </r>
  <r>
    <n v="1680"/>
    <x v="678"/>
    <x v="0"/>
    <x v="9"/>
    <n v="2"/>
    <m/>
    <n v="0"/>
    <x v="1"/>
    <n v="0"/>
    <x v="190"/>
    <x v="1"/>
    <x v="1"/>
    <n v="2873.92"/>
  </r>
  <r>
    <n v="1681"/>
    <x v="679"/>
    <x v="5"/>
    <x v="11"/>
    <n v="2"/>
    <m/>
    <n v="0"/>
    <x v="42"/>
    <n v="0"/>
    <x v="331"/>
    <x v="1"/>
    <x v="1"/>
    <n v="-579.16"/>
  </r>
  <r>
    <n v="1682"/>
    <x v="680"/>
    <x v="3"/>
    <x v="7"/>
    <n v="5"/>
    <n v="4307.08"/>
    <n v="21535.4"/>
    <x v="45"/>
    <n v="-5599.2040000000006"/>
    <x v="332"/>
    <x v="0"/>
    <x v="0"/>
    <n v="961.46"/>
  </r>
  <r>
    <n v="1683"/>
    <x v="681"/>
    <x v="0"/>
    <x v="20"/>
    <n v="2"/>
    <n v="1743.64"/>
    <n v="3487.28"/>
    <x v="1"/>
    <n v="3487.28"/>
    <x v="4"/>
    <x v="5"/>
    <x v="0"/>
    <n v="32.33"/>
  </r>
  <r>
    <n v="1684"/>
    <x v="682"/>
    <x v="5"/>
    <x v="11"/>
    <n v="-2"/>
    <n v="3537.97"/>
    <n v="-7075.94"/>
    <x v="42"/>
    <n v="-5236.1956"/>
    <x v="333"/>
    <x v="3"/>
    <x v="0"/>
    <n v="1385.75"/>
  </r>
  <r>
    <n v="1685"/>
    <x v="683"/>
    <x v="5"/>
    <x v="19"/>
    <n v="4"/>
    <m/>
    <n v="0"/>
    <x v="1"/>
    <n v="0"/>
    <x v="4"/>
    <x v="4"/>
    <x v="1"/>
    <n v="1108.04"/>
  </r>
  <r>
    <n v="1686"/>
    <x v="684"/>
    <x v="0"/>
    <x v="5"/>
    <n v="1"/>
    <m/>
    <n v="0"/>
    <x v="82"/>
    <n v="0"/>
    <x v="4"/>
    <x v="5"/>
    <x v="0"/>
    <n v="718.58"/>
  </r>
  <r>
    <n v="1687"/>
    <x v="685"/>
    <x v="1"/>
    <x v="18"/>
    <n v="2"/>
    <m/>
    <n v="0"/>
    <x v="1"/>
    <n v="0"/>
    <x v="334"/>
    <x v="4"/>
    <x v="0"/>
    <n v="1132.23"/>
  </r>
  <r>
    <n v="1688"/>
    <x v="686"/>
    <x v="3"/>
    <x v="21"/>
    <n v="2"/>
    <n v="4177.8599999999997"/>
    <n v="8355.7199999999993"/>
    <x v="1"/>
    <n v="8355.7199999999993"/>
    <x v="4"/>
    <x v="4"/>
    <x v="0"/>
    <n v="2610.69"/>
  </r>
  <r>
    <n v="1689"/>
    <x v="687"/>
    <x v="4"/>
    <x v="8"/>
    <n v="2"/>
    <n v="1193.48"/>
    <n v="2386.96"/>
    <x v="1"/>
    <n v="2386.96"/>
    <x v="4"/>
    <x v="5"/>
    <x v="0"/>
    <n v="2629.51"/>
  </r>
  <r>
    <n v="1690"/>
    <x v="688"/>
    <x v="1"/>
    <x v="1"/>
    <n v="5"/>
    <n v="1941.39"/>
    <n v="9706.9500000000007"/>
    <x v="96"/>
    <n v="4465.1970000000001"/>
    <x v="68"/>
    <x v="0"/>
    <x v="0"/>
    <n v="206.95"/>
  </r>
  <r>
    <n v="1691"/>
    <x v="689"/>
    <x v="2"/>
    <x v="17"/>
    <n v="6"/>
    <n v="2878.51"/>
    <n v="17271.060000000001"/>
    <x v="1"/>
    <n v="17271.060000000001"/>
    <x v="142"/>
    <x v="2"/>
    <x v="0"/>
    <n v="2503.5100000000002"/>
  </r>
  <r>
    <n v="1692"/>
    <x v="690"/>
    <x v="4"/>
    <x v="8"/>
    <n v="2"/>
    <n v="2509.38"/>
    <n v="5018.76"/>
    <x v="93"/>
    <n v="1656.1907999999999"/>
    <x v="335"/>
    <x v="1"/>
    <x v="0"/>
    <n v="39.25"/>
  </r>
  <r>
    <n v="1693"/>
    <x v="691"/>
    <x v="1"/>
    <x v="22"/>
    <n v="1"/>
    <m/>
    <n v="0"/>
    <x v="1"/>
    <n v="0"/>
    <x v="336"/>
    <x v="3"/>
    <x v="0"/>
    <n v="2028.4"/>
  </r>
  <r>
    <n v="1694"/>
    <x v="692"/>
    <x v="0"/>
    <x v="5"/>
    <n v="2"/>
    <m/>
    <n v="0"/>
    <x v="1"/>
    <n v="0"/>
    <x v="204"/>
    <x v="4"/>
    <x v="1"/>
    <n v="264.60000000000002"/>
  </r>
  <r>
    <n v="1695"/>
    <x v="693"/>
    <x v="1"/>
    <x v="22"/>
    <n v="2"/>
    <n v="3785.14"/>
    <n v="7570.28"/>
    <x v="1"/>
    <n v="7570.28"/>
    <x v="4"/>
    <x v="2"/>
    <x v="0"/>
    <n v="-982.7"/>
  </r>
  <r>
    <n v="1696"/>
    <x v="694"/>
    <x v="2"/>
    <x v="10"/>
    <n v="2"/>
    <n v="532.47"/>
    <n v="1064.94"/>
    <x v="1"/>
    <n v="1064.94"/>
    <x v="4"/>
    <x v="2"/>
    <x v="1"/>
    <n v="666.49"/>
  </r>
  <r>
    <n v="1697"/>
    <x v="695"/>
    <x v="3"/>
    <x v="3"/>
    <n v="2"/>
    <n v="1758.97"/>
    <n v="3517.94"/>
    <x v="1"/>
    <n v="3517.94"/>
    <x v="39"/>
    <x v="0"/>
    <x v="0"/>
    <n v="2026.97"/>
  </r>
  <r>
    <n v="1698"/>
    <x v="696"/>
    <x v="2"/>
    <x v="2"/>
    <n v="2"/>
    <n v="2111.87"/>
    <n v="4223.74"/>
    <x v="1"/>
    <n v="4223.74"/>
    <x v="337"/>
    <x v="4"/>
    <x v="0"/>
    <n v="-621"/>
  </r>
  <r>
    <n v="1699"/>
    <x v="697"/>
    <x v="2"/>
    <x v="10"/>
    <n v="6"/>
    <n v="701.16"/>
    <n v="4206.96"/>
    <x v="1"/>
    <n v="4206.96"/>
    <x v="338"/>
    <x v="0"/>
    <x v="0"/>
    <n v="2632.17"/>
  </r>
  <r>
    <n v="1700"/>
    <x v="698"/>
    <x v="4"/>
    <x v="8"/>
    <n v="2"/>
    <n v="3332.06"/>
    <n v="6664.12"/>
    <x v="41"/>
    <n v="3531.9836"/>
    <x v="88"/>
    <x v="2"/>
    <x v="0"/>
    <n v="1969.67"/>
  </r>
  <r>
    <n v="1701"/>
    <x v="699"/>
    <x v="5"/>
    <x v="12"/>
    <n v="2"/>
    <n v="3402.47"/>
    <n v="6804.94"/>
    <x v="65"/>
    <n v="-340.2470000000003"/>
    <x v="4"/>
    <x v="1"/>
    <x v="0"/>
    <n v="1713.45"/>
  </r>
  <r>
    <n v="1702"/>
    <x v="700"/>
    <x v="2"/>
    <x v="10"/>
    <n v="2"/>
    <n v="792.36"/>
    <n v="1584.72"/>
    <x v="1"/>
    <n v="1584.72"/>
    <x v="292"/>
    <x v="1"/>
    <x v="0"/>
    <n v="990.35"/>
  </r>
  <r>
    <n v="1703"/>
    <x v="701"/>
    <x v="0"/>
    <x v="0"/>
    <n v="2"/>
    <m/>
    <n v="0"/>
    <x v="11"/>
    <n v="0"/>
    <x v="339"/>
    <x v="5"/>
    <x v="1"/>
    <n v="-96.41"/>
  </r>
  <r>
    <n v="1704"/>
    <x v="702"/>
    <x v="4"/>
    <x v="14"/>
    <n v="2"/>
    <m/>
    <n v="0"/>
    <x v="41"/>
    <n v="0"/>
    <x v="10"/>
    <x v="3"/>
    <x v="1"/>
    <n v="2611.36"/>
  </r>
  <r>
    <n v="1705"/>
    <x v="703"/>
    <x v="2"/>
    <x v="10"/>
    <n v="-2"/>
    <n v="4170.76"/>
    <n v="-8341.52"/>
    <x v="1"/>
    <n v="-8341.52"/>
    <x v="206"/>
    <x v="3"/>
    <x v="0"/>
    <n v="826.76"/>
  </r>
  <r>
    <n v="1706"/>
    <x v="704"/>
    <x v="1"/>
    <x v="18"/>
    <n v="5"/>
    <n v="4827.8900000000003"/>
    <n v="24139.45"/>
    <x v="40"/>
    <n v="3862.3120000000008"/>
    <x v="4"/>
    <x v="1"/>
    <x v="0"/>
    <n v="2824.1"/>
  </r>
  <r>
    <n v="1707"/>
    <x v="705"/>
    <x v="1"/>
    <x v="1"/>
    <n v="6"/>
    <m/>
    <n v="0"/>
    <x v="1"/>
    <n v="0"/>
    <x v="4"/>
    <x v="2"/>
    <x v="1"/>
    <n v="1903.2"/>
  </r>
  <r>
    <n v="1708"/>
    <x v="706"/>
    <x v="3"/>
    <x v="7"/>
    <n v="0"/>
    <m/>
    <n v="0"/>
    <x v="97"/>
    <n v="0"/>
    <x v="340"/>
    <x v="0"/>
    <x v="0"/>
    <n v="1400.39"/>
  </r>
  <r>
    <n v="1709"/>
    <x v="707"/>
    <x v="1"/>
    <x v="18"/>
    <n v="5"/>
    <n v="1717.79"/>
    <n v="8588.9500000000007"/>
    <x v="1"/>
    <n v="8588.9500000000007"/>
    <x v="134"/>
    <x v="1"/>
    <x v="1"/>
    <n v="2264.16"/>
  </r>
  <r>
    <n v="1710"/>
    <x v="708"/>
    <x v="3"/>
    <x v="21"/>
    <n v="-1"/>
    <m/>
    <n v="0"/>
    <x v="108"/>
    <n v="0"/>
    <x v="284"/>
    <x v="1"/>
    <x v="0"/>
    <n v="-333.46"/>
  </r>
  <r>
    <n v="1711"/>
    <x v="709"/>
    <x v="3"/>
    <x v="21"/>
    <n v="2"/>
    <n v="2685.92"/>
    <n v="5371.84"/>
    <x v="1"/>
    <n v="5371.84"/>
    <x v="144"/>
    <x v="5"/>
    <x v="1"/>
    <n v="2804.29"/>
  </r>
  <r>
    <n v="1712"/>
    <x v="710"/>
    <x v="3"/>
    <x v="3"/>
    <n v="-1"/>
    <n v="2386.58"/>
    <n v="-2386.58"/>
    <x v="1"/>
    <n v="-2386.58"/>
    <x v="43"/>
    <x v="5"/>
    <x v="1"/>
    <n v="1879.59"/>
  </r>
  <r>
    <n v="1713"/>
    <x v="711"/>
    <x v="4"/>
    <x v="16"/>
    <n v="2"/>
    <m/>
    <n v="0"/>
    <x v="1"/>
    <n v="0"/>
    <x v="341"/>
    <x v="5"/>
    <x v="0"/>
    <n v="832.34"/>
  </r>
  <r>
    <n v="1714"/>
    <x v="712"/>
    <x v="4"/>
    <x v="16"/>
    <n v="2"/>
    <m/>
    <n v="0"/>
    <x v="1"/>
    <n v="0"/>
    <x v="4"/>
    <x v="4"/>
    <x v="0"/>
    <n v="-746.03"/>
  </r>
  <r>
    <n v="1715"/>
    <x v="713"/>
    <x v="3"/>
    <x v="21"/>
    <n v="2"/>
    <n v="3863.51"/>
    <n v="7727.02"/>
    <x v="1"/>
    <n v="7727.02"/>
    <x v="342"/>
    <x v="2"/>
    <x v="0"/>
    <n v="-830.55"/>
  </r>
  <r>
    <n v="1716"/>
    <x v="714"/>
    <x v="5"/>
    <x v="6"/>
    <n v="2"/>
    <n v="980.17"/>
    <n v="1960.34"/>
    <x v="1"/>
    <n v="1960.34"/>
    <x v="343"/>
    <x v="2"/>
    <x v="1"/>
    <n v="275.05"/>
  </r>
  <r>
    <n v="1717"/>
    <x v="715"/>
    <x v="4"/>
    <x v="4"/>
    <n v="4"/>
    <n v="1279.2"/>
    <n v="5116.8"/>
    <x v="2"/>
    <n v="3735.2640000000001"/>
    <x v="27"/>
    <x v="0"/>
    <x v="0"/>
    <n v="453.7"/>
  </r>
  <r>
    <n v="1718"/>
    <x v="716"/>
    <x v="1"/>
    <x v="18"/>
    <n v="5"/>
    <n v="3988.99"/>
    <n v="19944.949999999997"/>
    <x v="1"/>
    <n v="19944.949999999997"/>
    <x v="344"/>
    <x v="4"/>
    <x v="0"/>
    <n v="1430.08"/>
  </r>
  <r>
    <n v="1719"/>
    <x v="717"/>
    <x v="0"/>
    <x v="5"/>
    <n v="3"/>
    <n v="4407.79"/>
    <n v="13223.369999999999"/>
    <x v="46"/>
    <n v="4760.4131999999991"/>
    <x v="345"/>
    <x v="0"/>
    <x v="1"/>
    <n v="1150.06"/>
  </r>
  <r>
    <n v="1720"/>
    <x v="718"/>
    <x v="1"/>
    <x v="22"/>
    <n v="3"/>
    <n v="3667.54"/>
    <n v="11002.619999999999"/>
    <x v="13"/>
    <n v="4731.1266000000005"/>
    <x v="346"/>
    <x v="1"/>
    <x v="1"/>
    <n v="459.43"/>
  </r>
  <r>
    <n v="1721"/>
    <x v="719"/>
    <x v="5"/>
    <x v="12"/>
    <n v="2"/>
    <m/>
    <n v="0"/>
    <x v="1"/>
    <n v="0"/>
    <x v="100"/>
    <x v="0"/>
    <x v="0"/>
    <n v="788.55"/>
  </r>
  <r>
    <n v="1722"/>
    <x v="720"/>
    <x v="1"/>
    <x v="15"/>
    <n v="2"/>
    <m/>
    <n v="0"/>
    <x v="110"/>
    <n v="0"/>
    <x v="4"/>
    <x v="2"/>
    <x v="0"/>
    <n v="1010.08"/>
  </r>
  <r>
    <n v="1723"/>
    <x v="721"/>
    <x v="5"/>
    <x v="19"/>
    <n v="4"/>
    <m/>
    <n v="0"/>
    <x v="31"/>
    <n v="0"/>
    <x v="246"/>
    <x v="1"/>
    <x v="1"/>
    <n v="351.59"/>
  </r>
  <r>
    <n v="1724"/>
    <x v="722"/>
    <x v="0"/>
    <x v="20"/>
    <n v="2"/>
    <n v="2047.6"/>
    <n v="4095.2"/>
    <x v="11"/>
    <n v="327.61599999999981"/>
    <x v="10"/>
    <x v="3"/>
    <x v="1"/>
    <n v="123.78"/>
  </r>
  <r>
    <n v="1725"/>
    <x v="723"/>
    <x v="5"/>
    <x v="11"/>
    <n v="3"/>
    <n v="671.5"/>
    <n v="2014.5"/>
    <x v="1"/>
    <n v="2014.5"/>
    <x v="89"/>
    <x v="4"/>
    <x v="1"/>
    <n v="1938.72"/>
  </r>
  <r>
    <n v="1726"/>
    <x v="724"/>
    <x v="5"/>
    <x v="19"/>
    <n v="5"/>
    <n v="1363.51"/>
    <n v="6817.55"/>
    <x v="45"/>
    <n v="-1772.5630000000001"/>
    <x v="347"/>
    <x v="3"/>
    <x v="0"/>
    <n v="2854.74"/>
  </r>
  <r>
    <n v="1727"/>
    <x v="725"/>
    <x v="3"/>
    <x v="21"/>
    <n v="5"/>
    <m/>
    <n v="0"/>
    <x v="56"/>
    <n v="0"/>
    <x v="4"/>
    <x v="2"/>
    <x v="0"/>
    <n v="1252.83"/>
  </r>
  <r>
    <n v="1728"/>
    <x v="726"/>
    <x v="2"/>
    <x v="2"/>
    <n v="1"/>
    <n v="733.15"/>
    <n v="733.15"/>
    <x v="2"/>
    <n v="535.19949999999994"/>
    <x v="21"/>
    <x v="1"/>
    <x v="1"/>
    <n v="273.12"/>
  </r>
  <r>
    <n v="1729"/>
    <x v="727"/>
    <x v="0"/>
    <x v="5"/>
    <n v="2"/>
    <n v="416.58"/>
    <n v="833.16"/>
    <x v="1"/>
    <n v="833.16"/>
    <x v="4"/>
    <x v="3"/>
    <x v="1"/>
    <n v="-765.44"/>
  </r>
  <r>
    <n v="1730"/>
    <x v="728"/>
    <x v="5"/>
    <x v="12"/>
    <n v="0"/>
    <n v="3933.55"/>
    <n v="0"/>
    <x v="1"/>
    <n v="0"/>
    <x v="107"/>
    <x v="3"/>
    <x v="0"/>
    <n v="2728.66"/>
  </r>
  <r>
    <n v="1731"/>
    <x v="729"/>
    <x v="1"/>
    <x v="22"/>
    <n v="2"/>
    <m/>
    <n v="0"/>
    <x v="111"/>
    <n v="0"/>
    <x v="348"/>
    <x v="2"/>
    <x v="0"/>
    <n v="2108.61"/>
  </r>
  <r>
    <n v="1732"/>
    <x v="730"/>
    <x v="5"/>
    <x v="12"/>
    <n v="5"/>
    <n v="4982.68"/>
    <n v="24913.4"/>
    <x v="1"/>
    <n v="24913.4"/>
    <x v="349"/>
    <x v="2"/>
    <x v="1"/>
    <n v="2239.42"/>
  </r>
  <r>
    <n v="1733"/>
    <x v="731"/>
    <x v="1"/>
    <x v="15"/>
    <n v="-2"/>
    <n v="721.25"/>
    <n v="-1442.5"/>
    <x v="1"/>
    <n v="-1442.5"/>
    <x v="350"/>
    <x v="0"/>
    <x v="0"/>
    <n v="-936.38"/>
  </r>
  <r>
    <n v="1734"/>
    <x v="732"/>
    <x v="1"/>
    <x v="22"/>
    <n v="0"/>
    <m/>
    <n v="0"/>
    <x v="1"/>
    <n v="0"/>
    <x v="339"/>
    <x v="4"/>
    <x v="0"/>
    <n v="-461.7"/>
  </r>
  <r>
    <n v="1735"/>
    <x v="733"/>
    <x v="1"/>
    <x v="1"/>
    <n v="4"/>
    <m/>
    <n v="0"/>
    <x v="22"/>
    <n v="0"/>
    <x v="332"/>
    <x v="2"/>
    <x v="0"/>
    <n v="2607.4299999999998"/>
  </r>
  <r>
    <n v="1736"/>
    <x v="734"/>
    <x v="1"/>
    <x v="1"/>
    <n v="2"/>
    <n v="1144.47"/>
    <n v="2288.94"/>
    <x v="48"/>
    <n v="2082.9354000000003"/>
    <x v="83"/>
    <x v="3"/>
    <x v="1"/>
    <n v="1236.6199999999999"/>
  </r>
  <r>
    <n v="1737"/>
    <x v="735"/>
    <x v="5"/>
    <x v="6"/>
    <n v="5"/>
    <n v="2220.4699999999998"/>
    <n v="11102.349999999999"/>
    <x v="1"/>
    <n v="11102.349999999999"/>
    <x v="4"/>
    <x v="5"/>
    <x v="0"/>
    <n v="-156.87"/>
  </r>
  <r>
    <n v="1738"/>
    <x v="736"/>
    <x v="4"/>
    <x v="14"/>
    <n v="2"/>
    <n v="1171.19"/>
    <n v="2342.38"/>
    <x v="1"/>
    <n v="2342.38"/>
    <x v="32"/>
    <x v="1"/>
    <x v="0"/>
    <n v="2205.44"/>
  </r>
  <r>
    <n v="1739"/>
    <x v="737"/>
    <x v="1"/>
    <x v="18"/>
    <n v="3"/>
    <n v="963.18"/>
    <n v="2889.54"/>
    <x v="1"/>
    <n v="2889.54"/>
    <x v="351"/>
    <x v="2"/>
    <x v="1"/>
    <n v="-114.6"/>
  </r>
  <r>
    <n v="1740"/>
    <x v="738"/>
    <x v="0"/>
    <x v="0"/>
    <n v="2"/>
    <m/>
    <n v="0"/>
    <x v="1"/>
    <n v="0"/>
    <x v="141"/>
    <x v="1"/>
    <x v="1"/>
    <n v="796.49"/>
  </r>
  <r>
    <n v="1741"/>
    <x v="739"/>
    <x v="4"/>
    <x v="16"/>
    <n v="1"/>
    <n v="1762.56"/>
    <n v="1762.56"/>
    <x v="98"/>
    <n v="35.251200000000033"/>
    <x v="352"/>
    <x v="1"/>
    <x v="1"/>
    <n v="1217.93"/>
  </r>
  <r>
    <n v="1742"/>
    <x v="740"/>
    <x v="0"/>
    <x v="20"/>
    <n v="2"/>
    <m/>
    <n v="0"/>
    <x v="71"/>
    <n v="0"/>
    <x v="4"/>
    <x v="3"/>
    <x v="0"/>
    <n v="-222.56"/>
  </r>
  <r>
    <n v="1743"/>
    <x v="741"/>
    <x v="4"/>
    <x v="4"/>
    <n v="2"/>
    <m/>
    <n v="0"/>
    <x v="1"/>
    <n v="0"/>
    <x v="80"/>
    <x v="5"/>
    <x v="0"/>
    <n v="1490.6"/>
  </r>
  <r>
    <n v="1744"/>
    <x v="742"/>
    <x v="2"/>
    <x v="17"/>
    <n v="2"/>
    <m/>
    <n v="0"/>
    <x v="1"/>
    <n v="0"/>
    <x v="353"/>
    <x v="2"/>
    <x v="0"/>
    <n v="1939.6"/>
  </r>
  <r>
    <n v="1745"/>
    <x v="743"/>
    <x v="4"/>
    <x v="16"/>
    <n v="4"/>
    <m/>
    <n v="0"/>
    <x v="36"/>
    <n v="0"/>
    <x v="354"/>
    <x v="3"/>
    <x v="0"/>
    <n v="723.22"/>
  </r>
  <r>
    <n v="1746"/>
    <x v="744"/>
    <x v="0"/>
    <x v="0"/>
    <n v="2"/>
    <m/>
    <n v="0"/>
    <x v="62"/>
    <n v="0"/>
    <x v="258"/>
    <x v="3"/>
    <x v="0"/>
    <n v="2037.45"/>
  </r>
  <r>
    <n v="1747"/>
    <x v="745"/>
    <x v="4"/>
    <x v="8"/>
    <n v="2"/>
    <n v="405.37"/>
    <n v="810.74"/>
    <x v="1"/>
    <n v="810.74"/>
    <x v="4"/>
    <x v="5"/>
    <x v="0"/>
    <n v="375.4"/>
  </r>
  <r>
    <n v="1748"/>
    <x v="746"/>
    <x v="5"/>
    <x v="12"/>
    <n v="2"/>
    <m/>
    <n v="0"/>
    <x v="1"/>
    <n v="0"/>
    <x v="31"/>
    <x v="1"/>
    <x v="1"/>
    <n v="1687.82"/>
  </r>
  <r>
    <n v="1749"/>
    <x v="179"/>
    <x v="2"/>
    <x v="2"/>
    <n v="2"/>
    <n v="4499.3900000000003"/>
    <n v="8998.7800000000007"/>
    <x v="1"/>
    <n v="8998.7800000000007"/>
    <x v="138"/>
    <x v="0"/>
    <x v="0"/>
    <n v="17.489999999999998"/>
  </r>
  <r>
    <n v="1750"/>
    <x v="747"/>
    <x v="5"/>
    <x v="11"/>
    <n v="2"/>
    <n v="2653.9"/>
    <n v="5307.8"/>
    <x v="10"/>
    <n v="2335.4319999999998"/>
    <x v="1"/>
    <x v="3"/>
    <x v="1"/>
    <n v="2394.02"/>
  </r>
  <r>
    <n v="1751"/>
    <x v="748"/>
    <x v="1"/>
    <x v="1"/>
    <n v="2"/>
    <m/>
    <n v="0"/>
    <x v="1"/>
    <n v="0"/>
    <x v="4"/>
    <x v="5"/>
    <x v="0"/>
    <n v="59.73"/>
  </r>
  <r>
    <n v="1752"/>
    <x v="749"/>
    <x v="0"/>
    <x v="0"/>
    <n v="5"/>
    <n v="2177.1999999999998"/>
    <n v="10886"/>
    <x v="1"/>
    <n v="10886"/>
    <x v="4"/>
    <x v="5"/>
    <x v="1"/>
    <n v="-341.7"/>
  </r>
  <r>
    <n v="1753"/>
    <x v="750"/>
    <x v="1"/>
    <x v="1"/>
    <n v="-2"/>
    <m/>
    <n v="0"/>
    <x v="1"/>
    <n v="0"/>
    <x v="355"/>
    <x v="1"/>
    <x v="0"/>
    <n v="1848.5"/>
  </r>
  <r>
    <n v="1754"/>
    <x v="426"/>
    <x v="3"/>
    <x v="23"/>
    <n v="2"/>
    <m/>
    <n v="0"/>
    <x v="13"/>
    <n v="0"/>
    <x v="356"/>
    <x v="0"/>
    <x v="0"/>
    <n v="1945.55"/>
  </r>
  <r>
    <n v="1755"/>
    <x v="751"/>
    <x v="2"/>
    <x v="10"/>
    <n v="2"/>
    <m/>
    <n v="0"/>
    <x v="56"/>
    <n v="0"/>
    <x v="4"/>
    <x v="4"/>
    <x v="1"/>
    <n v="-255.22"/>
  </r>
  <r>
    <n v="1756"/>
    <x v="752"/>
    <x v="2"/>
    <x v="2"/>
    <n v="5"/>
    <m/>
    <n v="0"/>
    <x v="1"/>
    <n v="0"/>
    <x v="48"/>
    <x v="2"/>
    <x v="0"/>
    <n v="1627.12"/>
  </r>
  <r>
    <n v="1757"/>
    <x v="753"/>
    <x v="0"/>
    <x v="0"/>
    <n v="2"/>
    <n v="3405.13"/>
    <n v="6810.26"/>
    <x v="53"/>
    <n v="612.92339999999979"/>
    <x v="4"/>
    <x v="3"/>
    <x v="0"/>
    <n v="1804.47"/>
  </r>
  <r>
    <n v="1758"/>
    <x v="754"/>
    <x v="2"/>
    <x v="10"/>
    <n v="2"/>
    <n v="1307.6400000000001"/>
    <n v="2615.2800000000002"/>
    <x v="21"/>
    <n v="2144.5296000000003"/>
    <x v="357"/>
    <x v="2"/>
    <x v="1"/>
    <n v="-122.33"/>
  </r>
  <r>
    <n v="1759"/>
    <x v="755"/>
    <x v="4"/>
    <x v="4"/>
    <n v="0"/>
    <m/>
    <n v="0"/>
    <x v="1"/>
    <n v="0"/>
    <x v="332"/>
    <x v="1"/>
    <x v="0"/>
    <n v="-278.64999999999998"/>
  </r>
  <r>
    <n v="1760"/>
    <x v="756"/>
    <x v="3"/>
    <x v="21"/>
    <n v="3"/>
    <n v="4326.6000000000004"/>
    <n v="12979.800000000001"/>
    <x v="1"/>
    <n v="12979.800000000001"/>
    <x v="291"/>
    <x v="1"/>
    <x v="1"/>
    <n v="1495.82"/>
  </r>
  <r>
    <n v="1761"/>
    <x v="757"/>
    <x v="1"/>
    <x v="22"/>
    <n v="3"/>
    <m/>
    <n v="0"/>
    <x v="62"/>
    <n v="0"/>
    <x v="167"/>
    <x v="2"/>
    <x v="1"/>
    <n v="2989.57"/>
  </r>
  <r>
    <n v="1762"/>
    <x v="758"/>
    <x v="1"/>
    <x v="1"/>
    <n v="2"/>
    <n v="1364.9"/>
    <n v="2729.8"/>
    <x v="91"/>
    <n v="2265.7339999999999"/>
    <x v="101"/>
    <x v="0"/>
    <x v="0"/>
    <n v="1591.99"/>
  </r>
  <r>
    <n v="1763"/>
    <x v="759"/>
    <x v="2"/>
    <x v="13"/>
    <n v="2"/>
    <n v="1874.56"/>
    <n v="3749.12"/>
    <x v="1"/>
    <n v="3749.12"/>
    <x v="4"/>
    <x v="5"/>
    <x v="0"/>
    <n v="1906.32"/>
  </r>
  <r>
    <n v="1029"/>
    <x v="760"/>
    <x v="1"/>
    <x v="15"/>
    <n v="3"/>
    <n v="4343.12"/>
    <n v="13029.36"/>
    <x v="1"/>
    <n v="13029.36"/>
    <x v="255"/>
    <x v="4"/>
    <x v="0"/>
    <n v="2997.11"/>
  </r>
  <r>
    <n v="1765"/>
    <x v="761"/>
    <x v="0"/>
    <x v="9"/>
    <n v="6"/>
    <n v="1016.5"/>
    <n v="6099"/>
    <x v="1"/>
    <n v="6099"/>
    <x v="358"/>
    <x v="2"/>
    <x v="0"/>
    <n v="-420.11"/>
  </r>
  <r>
    <n v="1766"/>
    <x v="762"/>
    <x v="1"/>
    <x v="18"/>
    <n v="0"/>
    <n v="3589.19"/>
    <n v="0"/>
    <x v="1"/>
    <n v="0"/>
    <x v="49"/>
    <x v="2"/>
    <x v="0"/>
    <n v="1880.22"/>
  </r>
  <r>
    <n v="1767"/>
    <x v="763"/>
    <x v="5"/>
    <x v="11"/>
    <n v="2"/>
    <n v="2151.92"/>
    <n v="4303.84"/>
    <x v="1"/>
    <n v="4303.84"/>
    <x v="334"/>
    <x v="2"/>
    <x v="1"/>
    <n v="2383.83"/>
  </r>
  <r>
    <n v="1768"/>
    <x v="764"/>
    <x v="2"/>
    <x v="13"/>
    <n v="5"/>
    <n v="3548.22"/>
    <n v="17741.099999999999"/>
    <x v="1"/>
    <n v="17741.099999999999"/>
    <x v="359"/>
    <x v="2"/>
    <x v="1"/>
    <n v="2960.22"/>
  </r>
  <r>
    <n v="1769"/>
    <x v="765"/>
    <x v="1"/>
    <x v="22"/>
    <n v="2"/>
    <m/>
    <n v="0"/>
    <x v="111"/>
    <n v="0"/>
    <x v="185"/>
    <x v="0"/>
    <x v="0"/>
    <n v="989.57"/>
  </r>
  <r>
    <n v="1770"/>
    <x v="766"/>
    <x v="5"/>
    <x v="11"/>
    <n v="0"/>
    <m/>
    <n v="0"/>
    <x v="1"/>
    <n v="0"/>
    <x v="360"/>
    <x v="5"/>
    <x v="0"/>
    <n v="2366.9699999999998"/>
  </r>
  <r>
    <n v="1771"/>
    <x v="767"/>
    <x v="2"/>
    <x v="13"/>
    <n v="-1"/>
    <n v="730.48"/>
    <n v="-730.48"/>
    <x v="1"/>
    <n v="-730.48"/>
    <x v="52"/>
    <x v="4"/>
    <x v="0"/>
    <n v="-162.02000000000001"/>
  </r>
  <r>
    <n v="1772"/>
    <x v="768"/>
    <x v="0"/>
    <x v="5"/>
    <n v="2"/>
    <m/>
    <n v="0"/>
    <x v="113"/>
    <n v="0"/>
    <x v="205"/>
    <x v="1"/>
    <x v="0"/>
    <n v="545.03"/>
  </r>
  <r>
    <n v="1773"/>
    <x v="769"/>
    <x v="3"/>
    <x v="21"/>
    <n v="2"/>
    <n v="444.82"/>
    <n v="889.64"/>
    <x v="115"/>
    <n v="435.92359999999996"/>
    <x v="4"/>
    <x v="4"/>
    <x v="0"/>
    <n v="1838.59"/>
  </r>
  <r>
    <n v="1774"/>
    <x v="770"/>
    <x v="3"/>
    <x v="7"/>
    <n v="3"/>
    <n v="4137.43"/>
    <n v="12412.29"/>
    <x v="1"/>
    <n v="12412.29"/>
    <x v="281"/>
    <x v="1"/>
    <x v="0"/>
    <n v="895.53"/>
  </r>
  <r>
    <n v="1775"/>
    <x v="771"/>
    <x v="4"/>
    <x v="16"/>
    <n v="2"/>
    <m/>
    <n v="0"/>
    <x v="100"/>
    <n v="0"/>
    <x v="4"/>
    <x v="1"/>
    <x v="0"/>
    <n v="2275.5500000000002"/>
  </r>
  <r>
    <n v="1776"/>
    <x v="772"/>
    <x v="2"/>
    <x v="17"/>
    <n v="4"/>
    <n v="4684.9799999999996"/>
    <n v="18739.919999999998"/>
    <x v="1"/>
    <n v="18739.919999999998"/>
    <x v="4"/>
    <x v="5"/>
    <x v="0"/>
    <n v="-360.88"/>
  </r>
  <r>
    <n v="1777"/>
    <x v="773"/>
    <x v="5"/>
    <x v="12"/>
    <n v="2"/>
    <m/>
    <n v="0"/>
    <x v="1"/>
    <n v="0"/>
    <x v="90"/>
    <x v="0"/>
    <x v="1"/>
    <n v="1292.0899999999999"/>
  </r>
  <r>
    <n v="1778"/>
    <x v="774"/>
    <x v="4"/>
    <x v="4"/>
    <n v="5"/>
    <n v="2716.57"/>
    <n v="13582.85"/>
    <x v="1"/>
    <n v="13582.85"/>
    <x v="108"/>
    <x v="2"/>
    <x v="0"/>
    <n v="2059.98"/>
  </r>
  <r>
    <n v="1779"/>
    <x v="42"/>
    <x v="0"/>
    <x v="5"/>
    <n v="2"/>
    <m/>
    <n v="0"/>
    <x v="1"/>
    <n v="0"/>
    <x v="237"/>
    <x v="4"/>
    <x v="0"/>
    <n v="1861.39"/>
  </r>
  <r>
    <n v="1780"/>
    <x v="775"/>
    <x v="1"/>
    <x v="22"/>
    <n v="2"/>
    <m/>
    <n v="0"/>
    <x v="1"/>
    <n v="0"/>
    <x v="116"/>
    <x v="0"/>
    <x v="1"/>
    <n v="2756.02"/>
  </r>
  <r>
    <n v="1781"/>
    <x v="776"/>
    <x v="5"/>
    <x v="6"/>
    <n v="2"/>
    <m/>
    <n v="0"/>
    <x v="1"/>
    <n v="0"/>
    <x v="59"/>
    <x v="2"/>
    <x v="0"/>
    <n v="213.46"/>
  </r>
  <r>
    <n v="1782"/>
    <x v="777"/>
    <x v="1"/>
    <x v="18"/>
    <n v="6"/>
    <m/>
    <n v="0"/>
    <x v="1"/>
    <n v="0"/>
    <x v="361"/>
    <x v="2"/>
    <x v="1"/>
    <n v="1802.32"/>
  </r>
  <r>
    <n v="1783"/>
    <x v="778"/>
    <x v="1"/>
    <x v="18"/>
    <n v="2"/>
    <m/>
    <n v="0"/>
    <x v="47"/>
    <n v="0"/>
    <x v="362"/>
    <x v="4"/>
    <x v="0"/>
    <n v="34.35"/>
  </r>
  <r>
    <n v="1784"/>
    <x v="779"/>
    <x v="4"/>
    <x v="4"/>
    <n v="4"/>
    <n v="2068.0500000000002"/>
    <n v="8272.2000000000007"/>
    <x v="1"/>
    <n v="8272.2000000000007"/>
    <x v="363"/>
    <x v="2"/>
    <x v="0"/>
    <n v="-379.91"/>
  </r>
  <r>
    <n v="1785"/>
    <x v="780"/>
    <x v="4"/>
    <x v="8"/>
    <n v="3"/>
    <n v="4103"/>
    <n v="12309"/>
    <x v="1"/>
    <n v="12309"/>
    <x v="8"/>
    <x v="4"/>
    <x v="0"/>
    <n v="567.89"/>
  </r>
  <r>
    <n v="1786"/>
    <x v="781"/>
    <x v="2"/>
    <x v="10"/>
    <n v="2"/>
    <m/>
    <n v="0"/>
    <x v="44"/>
    <n v="0"/>
    <x v="138"/>
    <x v="5"/>
    <x v="0"/>
    <n v="1462.24"/>
  </r>
  <r>
    <n v="1787"/>
    <x v="782"/>
    <x v="3"/>
    <x v="23"/>
    <n v="6"/>
    <m/>
    <n v="0"/>
    <x v="1"/>
    <n v="0"/>
    <x v="364"/>
    <x v="0"/>
    <x v="0"/>
    <n v="1294"/>
  </r>
  <r>
    <n v="1014"/>
    <x v="783"/>
    <x v="0"/>
    <x v="0"/>
    <n v="5"/>
    <n v="2951.4"/>
    <n v="14757"/>
    <x v="1"/>
    <n v="14757"/>
    <x v="22"/>
    <x v="0"/>
    <x v="0"/>
    <n v="2811.87"/>
  </r>
  <r>
    <n v="1789"/>
    <x v="784"/>
    <x v="1"/>
    <x v="15"/>
    <n v="2"/>
    <n v="1433.92"/>
    <n v="2867.84"/>
    <x v="112"/>
    <n v="2552.3776000000003"/>
    <x v="201"/>
    <x v="4"/>
    <x v="0"/>
    <n v="315.07"/>
  </r>
  <r>
    <n v="1790"/>
    <x v="785"/>
    <x v="1"/>
    <x v="15"/>
    <n v="1"/>
    <n v="3268.42"/>
    <n v="3268.42"/>
    <x v="1"/>
    <n v="3268.42"/>
    <x v="365"/>
    <x v="0"/>
    <x v="0"/>
    <n v="259.67"/>
  </r>
  <r>
    <n v="1791"/>
    <x v="786"/>
    <x v="5"/>
    <x v="6"/>
    <n v="2"/>
    <n v="2123.69"/>
    <n v="4247.38"/>
    <x v="70"/>
    <n v="1316.6878000000002"/>
    <x v="268"/>
    <x v="3"/>
    <x v="0"/>
    <n v="2894.66"/>
  </r>
  <r>
    <n v="1792"/>
    <x v="787"/>
    <x v="0"/>
    <x v="5"/>
    <n v="2"/>
    <m/>
    <n v="0"/>
    <x v="116"/>
    <n v="0"/>
    <x v="366"/>
    <x v="2"/>
    <x v="1"/>
    <n v="-116.82"/>
  </r>
  <r>
    <n v="1793"/>
    <x v="788"/>
    <x v="5"/>
    <x v="11"/>
    <n v="5"/>
    <n v="1887.84"/>
    <n v="9439.1999999999989"/>
    <x v="1"/>
    <n v="9439.1999999999989"/>
    <x v="169"/>
    <x v="1"/>
    <x v="0"/>
    <n v="1275.03"/>
  </r>
  <r>
    <n v="1794"/>
    <x v="789"/>
    <x v="1"/>
    <x v="18"/>
    <n v="2"/>
    <m/>
    <n v="0"/>
    <x v="1"/>
    <n v="0"/>
    <x v="212"/>
    <x v="3"/>
    <x v="1"/>
    <n v="2115.2600000000002"/>
  </r>
  <r>
    <n v="1795"/>
    <x v="790"/>
    <x v="3"/>
    <x v="23"/>
    <n v="2"/>
    <m/>
    <n v="0"/>
    <x v="1"/>
    <n v="0"/>
    <x v="187"/>
    <x v="4"/>
    <x v="0"/>
    <n v="301.5"/>
  </r>
  <r>
    <n v="1796"/>
    <x v="791"/>
    <x v="5"/>
    <x v="11"/>
    <n v="-1"/>
    <m/>
    <n v="0"/>
    <x v="8"/>
    <n v="0"/>
    <x v="4"/>
    <x v="5"/>
    <x v="0"/>
    <n v="-851"/>
  </r>
  <r>
    <n v="1797"/>
    <x v="792"/>
    <x v="5"/>
    <x v="6"/>
    <n v="2"/>
    <n v="4305.0200000000004"/>
    <n v="8610.0400000000009"/>
    <x v="1"/>
    <n v="8610.0400000000009"/>
    <x v="291"/>
    <x v="1"/>
    <x v="0"/>
    <n v="2296.37"/>
  </r>
  <r>
    <n v="1798"/>
    <x v="793"/>
    <x v="2"/>
    <x v="17"/>
    <n v="2"/>
    <n v="2490.16"/>
    <n v="4980.32"/>
    <x v="1"/>
    <n v="4980.32"/>
    <x v="38"/>
    <x v="2"/>
    <x v="0"/>
    <n v="905.43"/>
  </r>
  <r>
    <n v="1799"/>
    <x v="794"/>
    <x v="2"/>
    <x v="17"/>
    <n v="2"/>
    <n v="1101.5"/>
    <n v="2203"/>
    <x v="24"/>
    <n v="418.56999999999988"/>
    <x v="4"/>
    <x v="2"/>
    <x v="0"/>
    <n v="-967.63"/>
  </r>
  <r>
    <n v="1800"/>
    <x v="795"/>
    <x v="1"/>
    <x v="1"/>
    <n v="6"/>
    <m/>
    <n v="0"/>
    <x v="47"/>
    <n v="0"/>
    <x v="94"/>
    <x v="2"/>
    <x v="1"/>
    <n v="855.26"/>
  </r>
  <r>
    <n v="1801"/>
    <x v="796"/>
    <x v="2"/>
    <x v="10"/>
    <n v="-2"/>
    <m/>
    <n v="0"/>
    <x v="1"/>
    <n v="0"/>
    <x v="87"/>
    <x v="3"/>
    <x v="0"/>
    <n v="1463.67"/>
  </r>
  <r>
    <n v="1802"/>
    <x v="797"/>
    <x v="2"/>
    <x v="13"/>
    <n v="-1"/>
    <m/>
    <n v="0"/>
    <x v="1"/>
    <n v="0"/>
    <x v="257"/>
    <x v="0"/>
    <x v="0"/>
    <n v="-618.71"/>
  </r>
  <r>
    <n v="1803"/>
    <x v="798"/>
    <x v="3"/>
    <x v="7"/>
    <n v="2"/>
    <m/>
    <n v="0"/>
    <x v="1"/>
    <n v="0"/>
    <x v="4"/>
    <x v="2"/>
    <x v="0"/>
    <n v="409.58"/>
  </r>
  <r>
    <n v="1804"/>
    <x v="799"/>
    <x v="5"/>
    <x v="11"/>
    <n v="2"/>
    <m/>
    <n v="0"/>
    <x v="1"/>
    <n v="0"/>
    <x v="74"/>
    <x v="2"/>
    <x v="0"/>
    <n v="1896.92"/>
  </r>
  <r>
    <n v="1036"/>
    <x v="800"/>
    <x v="3"/>
    <x v="7"/>
    <n v="1"/>
    <n v="1534.98"/>
    <n v="1534.98"/>
    <x v="1"/>
    <n v="1534.98"/>
    <x v="362"/>
    <x v="3"/>
    <x v="1"/>
    <n v="2042.17"/>
  </r>
  <r>
    <n v="1806"/>
    <x v="801"/>
    <x v="5"/>
    <x v="11"/>
    <n v="1"/>
    <m/>
    <n v="0"/>
    <x v="1"/>
    <n v="0"/>
    <x v="323"/>
    <x v="5"/>
    <x v="0"/>
    <n v="1003.57"/>
  </r>
  <r>
    <n v="1807"/>
    <x v="802"/>
    <x v="0"/>
    <x v="5"/>
    <n v="4"/>
    <n v="2308.12"/>
    <n v="9232.48"/>
    <x v="1"/>
    <n v="9232.48"/>
    <x v="367"/>
    <x v="3"/>
    <x v="0"/>
    <n v="362.88"/>
  </r>
  <r>
    <n v="1808"/>
    <x v="422"/>
    <x v="4"/>
    <x v="8"/>
    <n v="2"/>
    <n v="4582.21"/>
    <n v="9164.42"/>
    <x v="5"/>
    <n v="2749.3260000000005"/>
    <x v="4"/>
    <x v="3"/>
    <x v="1"/>
    <n v="-67.84"/>
  </r>
  <r>
    <n v="1809"/>
    <x v="803"/>
    <x v="5"/>
    <x v="12"/>
    <n v="2"/>
    <n v="3799.39"/>
    <n v="7598.78"/>
    <x v="56"/>
    <n v="1823.7071999999998"/>
    <x v="91"/>
    <x v="3"/>
    <x v="0"/>
    <n v="-599.61"/>
  </r>
  <r>
    <n v="1810"/>
    <x v="804"/>
    <x v="3"/>
    <x v="7"/>
    <n v="2"/>
    <m/>
    <n v="0"/>
    <x v="84"/>
    <n v="0"/>
    <x v="238"/>
    <x v="2"/>
    <x v="1"/>
    <n v="-148.03"/>
  </r>
  <r>
    <n v="1811"/>
    <x v="805"/>
    <x v="2"/>
    <x v="17"/>
    <n v="2"/>
    <m/>
    <n v="0"/>
    <x v="38"/>
    <n v="0"/>
    <x v="368"/>
    <x v="3"/>
    <x v="0"/>
    <n v="1662.7"/>
  </r>
  <r>
    <n v="1812"/>
    <x v="806"/>
    <x v="1"/>
    <x v="18"/>
    <n v="2"/>
    <m/>
    <n v="0"/>
    <x v="1"/>
    <n v="0"/>
    <x v="369"/>
    <x v="0"/>
    <x v="1"/>
    <n v="-36.380000000000003"/>
  </r>
  <r>
    <n v="1813"/>
    <x v="807"/>
    <x v="1"/>
    <x v="22"/>
    <n v="0"/>
    <m/>
    <n v="0"/>
    <x v="1"/>
    <n v="0"/>
    <x v="23"/>
    <x v="1"/>
    <x v="1"/>
    <n v="1718.02"/>
  </r>
  <r>
    <n v="1814"/>
    <x v="808"/>
    <x v="4"/>
    <x v="8"/>
    <n v="2"/>
    <m/>
    <n v="0"/>
    <x v="1"/>
    <n v="0"/>
    <x v="268"/>
    <x v="0"/>
    <x v="1"/>
    <n v="2724.05"/>
  </r>
  <r>
    <n v="1815"/>
    <x v="809"/>
    <x v="5"/>
    <x v="6"/>
    <n v="2"/>
    <m/>
    <n v="0"/>
    <x v="1"/>
    <n v="0"/>
    <x v="183"/>
    <x v="3"/>
    <x v="0"/>
    <n v="1057.3599999999999"/>
  </r>
  <r>
    <n v="1816"/>
    <x v="810"/>
    <x v="4"/>
    <x v="16"/>
    <n v="1"/>
    <n v="1130.83"/>
    <n v="1130.83"/>
    <x v="40"/>
    <n v="180.93280000000001"/>
    <x v="61"/>
    <x v="4"/>
    <x v="0"/>
    <n v="-804.96"/>
  </r>
  <r>
    <n v="1817"/>
    <x v="811"/>
    <x v="2"/>
    <x v="13"/>
    <n v="2"/>
    <n v="2964.88"/>
    <n v="5929.76"/>
    <x v="25"/>
    <n v="-1660.3328000000001"/>
    <x v="370"/>
    <x v="2"/>
    <x v="0"/>
    <n v="591.28"/>
  </r>
  <r>
    <n v="1818"/>
    <x v="812"/>
    <x v="3"/>
    <x v="3"/>
    <n v="-1"/>
    <n v="3449.33"/>
    <n v="-3449.33"/>
    <x v="36"/>
    <n v="-1966.1181000000001"/>
    <x v="4"/>
    <x v="0"/>
    <x v="0"/>
    <n v="601.45000000000005"/>
  </r>
  <r>
    <n v="1819"/>
    <x v="749"/>
    <x v="3"/>
    <x v="21"/>
    <n v="6"/>
    <n v="1761.18"/>
    <n v="10567.08"/>
    <x v="1"/>
    <n v="10567.08"/>
    <x v="4"/>
    <x v="2"/>
    <x v="1"/>
    <n v="2069.36"/>
  </r>
  <r>
    <n v="1820"/>
    <x v="813"/>
    <x v="4"/>
    <x v="16"/>
    <n v="5"/>
    <n v="1965.04"/>
    <n v="9825.2000000000007"/>
    <x v="1"/>
    <n v="9825.2000000000007"/>
    <x v="223"/>
    <x v="5"/>
    <x v="0"/>
    <n v="20.89"/>
  </r>
  <r>
    <n v="1821"/>
    <x v="814"/>
    <x v="1"/>
    <x v="22"/>
    <n v="2"/>
    <m/>
    <n v="0"/>
    <x v="88"/>
    <n v="0"/>
    <x v="4"/>
    <x v="1"/>
    <x v="0"/>
    <n v="403.42"/>
  </r>
  <r>
    <n v="1822"/>
    <x v="815"/>
    <x v="1"/>
    <x v="15"/>
    <n v="2"/>
    <n v="938.86"/>
    <n v="1877.72"/>
    <x v="67"/>
    <n v="1783.8339999999998"/>
    <x v="244"/>
    <x v="4"/>
    <x v="0"/>
    <n v="-824.79"/>
  </r>
  <r>
    <n v="1823"/>
    <x v="816"/>
    <x v="4"/>
    <x v="8"/>
    <n v="2"/>
    <n v="3887.15"/>
    <n v="7774.3"/>
    <x v="1"/>
    <n v="7774.3"/>
    <x v="84"/>
    <x v="1"/>
    <x v="0"/>
    <n v="2088.25"/>
  </r>
  <r>
    <n v="1824"/>
    <x v="817"/>
    <x v="3"/>
    <x v="21"/>
    <n v="0"/>
    <n v="4146.2700000000004"/>
    <n v="0"/>
    <x v="14"/>
    <n v="0"/>
    <x v="371"/>
    <x v="4"/>
    <x v="1"/>
    <n v="2397.9299999999998"/>
  </r>
  <r>
    <n v="1825"/>
    <x v="818"/>
    <x v="1"/>
    <x v="15"/>
    <n v="6"/>
    <n v="982.65"/>
    <n v="5895.9"/>
    <x v="1"/>
    <n v="5895.9"/>
    <x v="4"/>
    <x v="2"/>
    <x v="1"/>
    <n v="2186.63"/>
  </r>
  <r>
    <n v="1826"/>
    <x v="819"/>
    <x v="4"/>
    <x v="4"/>
    <n v="6"/>
    <m/>
    <n v="0"/>
    <x v="1"/>
    <n v="0"/>
    <x v="372"/>
    <x v="0"/>
    <x v="1"/>
    <n v="413.87"/>
  </r>
  <r>
    <n v="1827"/>
    <x v="820"/>
    <x v="0"/>
    <x v="9"/>
    <n v="2"/>
    <n v="3109.74"/>
    <n v="6219.48"/>
    <x v="1"/>
    <n v="6219.48"/>
    <x v="4"/>
    <x v="2"/>
    <x v="0"/>
    <n v="-828.23"/>
  </r>
  <r>
    <n v="1828"/>
    <x v="821"/>
    <x v="5"/>
    <x v="11"/>
    <n v="2"/>
    <n v="4427.9399999999996"/>
    <n v="8855.8799999999992"/>
    <x v="66"/>
    <n v="6641.91"/>
    <x v="9"/>
    <x v="2"/>
    <x v="0"/>
    <n v="-476.77"/>
  </r>
  <r>
    <n v="1829"/>
    <x v="822"/>
    <x v="2"/>
    <x v="10"/>
    <n v="2"/>
    <m/>
    <n v="0"/>
    <x v="1"/>
    <n v="0"/>
    <x v="373"/>
    <x v="0"/>
    <x v="1"/>
    <n v="1019.58"/>
  </r>
  <r>
    <n v="1830"/>
    <x v="823"/>
    <x v="5"/>
    <x v="6"/>
    <n v="2"/>
    <m/>
    <n v="0"/>
    <x v="1"/>
    <n v="0"/>
    <x v="370"/>
    <x v="5"/>
    <x v="0"/>
    <n v="602.58000000000004"/>
  </r>
  <r>
    <n v="1831"/>
    <x v="824"/>
    <x v="2"/>
    <x v="2"/>
    <n v="2"/>
    <n v="895.34"/>
    <n v="1790.68"/>
    <x v="1"/>
    <n v="1790.68"/>
    <x v="320"/>
    <x v="3"/>
    <x v="1"/>
    <n v="2150.1"/>
  </r>
  <r>
    <n v="1832"/>
    <x v="825"/>
    <x v="2"/>
    <x v="2"/>
    <n v="2"/>
    <m/>
    <n v="0"/>
    <x v="36"/>
    <n v="0"/>
    <x v="203"/>
    <x v="1"/>
    <x v="0"/>
    <n v="708.3"/>
  </r>
  <r>
    <n v="1833"/>
    <x v="97"/>
    <x v="5"/>
    <x v="12"/>
    <n v="3"/>
    <n v="3051.77"/>
    <n v="9155.31"/>
    <x v="7"/>
    <n v="-1739.5088999999994"/>
    <x v="350"/>
    <x v="4"/>
    <x v="1"/>
    <n v="2470.5500000000002"/>
  </r>
  <r>
    <n v="1834"/>
    <x v="826"/>
    <x v="1"/>
    <x v="18"/>
    <n v="0"/>
    <m/>
    <n v="0"/>
    <x v="8"/>
    <n v="0"/>
    <x v="294"/>
    <x v="1"/>
    <x v="0"/>
    <n v="-663.74"/>
  </r>
  <r>
    <n v="1835"/>
    <x v="827"/>
    <x v="0"/>
    <x v="20"/>
    <n v="0"/>
    <m/>
    <n v="0"/>
    <x v="115"/>
    <n v="0"/>
    <x v="119"/>
    <x v="4"/>
    <x v="0"/>
    <n v="1851.02"/>
  </r>
  <r>
    <n v="1836"/>
    <x v="828"/>
    <x v="0"/>
    <x v="9"/>
    <n v="2"/>
    <n v="2105.94"/>
    <n v="4211.88"/>
    <x v="117"/>
    <n v="3537.9791999999998"/>
    <x v="4"/>
    <x v="1"/>
    <x v="1"/>
    <n v="1782.55"/>
  </r>
  <r>
    <n v="1006"/>
    <x v="829"/>
    <x v="1"/>
    <x v="22"/>
    <n v="4"/>
    <m/>
    <n v="0"/>
    <x v="1"/>
    <n v="0"/>
    <x v="69"/>
    <x v="2"/>
    <x v="1"/>
    <n v="1663.32"/>
  </r>
  <r>
    <n v="1838"/>
    <x v="830"/>
    <x v="5"/>
    <x v="19"/>
    <n v="-2"/>
    <m/>
    <n v="0"/>
    <x v="1"/>
    <n v="0"/>
    <x v="374"/>
    <x v="5"/>
    <x v="0"/>
    <n v="1657.14"/>
  </r>
  <r>
    <n v="1839"/>
    <x v="831"/>
    <x v="4"/>
    <x v="14"/>
    <n v="2"/>
    <n v="2067.64"/>
    <n v="4135.28"/>
    <x v="1"/>
    <n v="4135.28"/>
    <x v="4"/>
    <x v="3"/>
    <x v="1"/>
    <n v="-276.17"/>
  </r>
  <r>
    <n v="1840"/>
    <x v="832"/>
    <x v="3"/>
    <x v="21"/>
    <n v="0"/>
    <n v="1462.1"/>
    <n v="0"/>
    <x v="118"/>
    <n v="0"/>
    <x v="343"/>
    <x v="1"/>
    <x v="1"/>
    <n v="59.79"/>
  </r>
  <r>
    <n v="1841"/>
    <x v="833"/>
    <x v="1"/>
    <x v="1"/>
    <n v="2"/>
    <m/>
    <n v="0"/>
    <x v="1"/>
    <n v="0"/>
    <x v="127"/>
    <x v="0"/>
    <x v="0"/>
    <n v="-780.96"/>
  </r>
  <r>
    <n v="1842"/>
    <x v="834"/>
    <x v="1"/>
    <x v="22"/>
    <n v="2"/>
    <m/>
    <n v="0"/>
    <x v="112"/>
    <n v="0"/>
    <x v="236"/>
    <x v="4"/>
    <x v="0"/>
    <n v="2041.06"/>
  </r>
  <r>
    <n v="1843"/>
    <x v="835"/>
    <x v="5"/>
    <x v="6"/>
    <n v="-2"/>
    <m/>
    <n v="0"/>
    <x v="82"/>
    <n v="0"/>
    <x v="205"/>
    <x v="4"/>
    <x v="1"/>
    <n v="406.45"/>
  </r>
  <r>
    <n v="1844"/>
    <x v="836"/>
    <x v="3"/>
    <x v="7"/>
    <n v="2"/>
    <m/>
    <n v="0"/>
    <x v="1"/>
    <n v="0"/>
    <x v="375"/>
    <x v="0"/>
    <x v="0"/>
    <n v="1910.76"/>
  </r>
  <r>
    <n v="1845"/>
    <x v="837"/>
    <x v="4"/>
    <x v="4"/>
    <n v="2"/>
    <m/>
    <n v="0"/>
    <x v="59"/>
    <n v="0"/>
    <x v="122"/>
    <x v="5"/>
    <x v="0"/>
    <n v="1013.64"/>
  </r>
  <r>
    <n v="1846"/>
    <x v="838"/>
    <x v="3"/>
    <x v="7"/>
    <n v="-1"/>
    <n v="694.71"/>
    <n v="-694.71"/>
    <x v="1"/>
    <n v="-694.71"/>
    <x v="369"/>
    <x v="1"/>
    <x v="1"/>
    <n v="2991.27"/>
  </r>
  <r>
    <n v="1847"/>
    <x v="839"/>
    <x v="5"/>
    <x v="19"/>
    <n v="2"/>
    <n v="1334.66"/>
    <n v="2669.32"/>
    <x v="14"/>
    <n v="-774.10280000000012"/>
    <x v="365"/>
    <x v="3"/>
    <x v="0"/>
    <n v="2897.72"/>
  </r>
  <r>
    <n v="1848"/>
    <x v="840"/>
    <x v="4"/>
    <x v="16"/>
    <n v="-1"/>
    <m/>
    <n v="0"/>
    <x v="1"/>
    <n v="0"/>
    <x v="376"/>
    <x v="0"/>
    <x v="0"/>
    <n v="-56.68"/>
  </r>
  <r>
    <n v="1849"/>
    <x v="841"/>
    <x v="4"/>
    <x v="8"/>
    <n v="2"/>
    <n v="927.04"/>
    <n v="1854.08"/>
    <x v="1"/>
    <n v="1854.08"/>
    <x v="4"/>
    <x v="1"/>
    <x v="0"/>
    <n v="880.71"/>
  </r>
  <r>
    <n v="1850"/>
    <x v="842"/>
    <x v="3"/>
    <x v="3"/>
    <n v="2"/>
    <n v="1307.27"/>
    <n v="2614.54"/>
    <x v="81"/>
    <n v="-705.92579999999998"/>
    <x v="377"/>
    <x v="4"/>
    <x v="0"/>
    <n v="1757.18"/>
  </r>
  <r>
    <n v="1851"/>
    <x v="843"/>
    <x v="0"/>
    <x v="0"/>
    <n v="5"/>
    <n v="1505"/>
    <n v="7525"/>
    <x v="1"/>
    <n v="7525"/>
    <x v="288"/>
    <x v="3"/>
    <x v="1"/>
    <n v="-29.76"/>
  </r>
  <r>
    <n v="1852"/>
    <x v="844"/>
    <x v="4"/>
    <x v="16"/>
    <n v="2"/>
    <n v="1985.55"/>
    <n v="3971.1"/>
    <x v="77"/>
    <n v="3454.857"/>
    <x v="378"/>
    <x v="1"/>
    <x v="0"/>
    <n v="1754.79"/>
  </r>
  <r>
    <n v="1853"/>
    <x v="845"/>
    <x v="3"/>
    <x v="21"/>
    <n v="3"/>
    <n v="2862.48"/>
    <n v="8587.44"/>
    <x v="1"/>
    <n v="8587.44"/>
    <x v="379"/>
    <x v="1"/>
    <x v="1"/>
    <n v="2555.84"/>
  </r>
  <r>
    <n v="1854"/>
    <x v="846"/>
    <x v="0"/>
    <x v="5"/>
    <n v="2"/>
    <n v="3822.93"/>
    <n v="7645.86"/>
    <x v="89"/>
    <n v="-535.21020000000044"/>
    <x v="4"/>
    <x v="4"/>
    <x v="1"/>
    <n v="40.200000000000003"/>
  </r>
  <r>
    <n v="1855"/>
    <x v="847"/>
    <x v="4"/>
    <x v="4"/>
    <n v="5"/>
    <n v="3870.85"/>
    <n v="19354.25"/>
    <x v="1"/>
    <n v="19354.25"/>
    <x v="347"/>
    <x v="3"/>
    <x v="0"/>
    <n v="2313.58"/>
  </r>
  <r>
    <n v="1856"/>
    <x v="848"/>
    <x v="5"/>
    <x v="12"/>
    <n v="1"/>
    <n v="2737.23"/>
    <n v="2737.23"/>
    <x v="1"/>
    <n v="2737.23"/>
    <x v="58"/>
    <x v="2"/>
    <x v="1"/>
    <n v="2855.35"/>
  </r>
  <r>
    <n v="1857"/>
    <x v="849"/>
    <x v="3"/>
    <x v="21"/>
    <n v="2"/>
    <m/>
    <n v="0"/>
    <x v="1"/>
    <n v="0"/>
    <x v="380"/>
    <x v="2"/>
    <x v="0"/>
    <n v="-564.27"/>
  </r>
  <r>
    <n v="1858"/>
    <x v="850"/>
    <x v="0"/>
    <x v="20"/>
    <n v="2"/>
    <n v="3647.61"/>
    <n v="7295.22"/>
    <x v="1"/>
    <n v="7295.22"/>
    <x v="28"/>
    <x v="2"/>
    <x v="1"/>
    <n v="1789.65"/>
  </r>
  <r>
    <n v="1859"/>
    <x v="851"/>
    <x v="3"/>
    <x v="7"/>
    <n v="4"/>
    <n v="1442.86"/>
    <n v="5771.44"/>
    <x v="110"/>
    <n v="865.71600000000012"/>
    <x v="381"/>
    <x v="4"/>
    <x v="1"/>
    <n v="1183.93"/>
  </r>
  <r>
    <n v="1860"/>
    <x v="852"/>
    <x v="5"/>
    <x v="11"/>
    <n v="3"/>
    <m/>
    <n v="0"/>
    <x v="23"/>
    <n v="0"/>
    <x v="4"/>
    <x v="3"/>
    <x v="1"/>
    <n v="57.35"/>
  </r>
  <r>
    <n v="1861"/>
    <x v="853"/>
    <x v="1"/>
    <x v="15"/>
    <n v="2"/>
    <m/>
    <n v="0"/>
    <x v="1"/>
    <n v="0"/>
    <x v="261"/>
    <x v="1"/>
    <x v="1"/>
    <n v="-934.61"/>
  </r>
  <r>
    <n v="1862"/>
    <x v="854"/>
    <x v="5"/>
    <x v="6"/>
    <n v="5"/>
    <n v="4739.66"/>
    <n v="23698.3"/>
    <x v="1"/>
    <n v="23698.3"/>
    <x v="4"/>
    <x v="0"/>
    <x v="0"/>
    <n v="-315.41000000000003"/>
  </r>
  <r>
    <n v="1863"/>
    <x v="855"/>
    <x v="2"/>
    <x v="10"/>
    <n v="2"/>
    <n v="3521.17"/>
    <n v="7042.34"/>
    <x v="109"/>
    <n v="1478.8913999999997"/>
    <x v="382"/>
    <x v="1"/>
    <x v="1"/>
    <n v="612.84"/>
  </r>
  <r>
    <n v="1864"/>
    <x v="856"/>
    <x v="3"/>
    <x v="23"/>
    <n v="4"/>
    <n v="1570.06"/>
    <n v="6280.24"/>
    <x v="1"/>
    <n v="6280.24"/>
    <x v="383"/>
    <x v="0"/>
    <x v="0"/>
    <n v="1017.26"/>
  </r>
  <r>
    <n v="1865"/>
    <x v="857"/>
    <x v="1"/>
    <x v="22"/>
    <n v="2"/>
    <n v="2496.81"/>
    <n v="4993.62"/>
    <x v="1"/>
    <n v="4993.62"/>
    <x v="90"/>
    <x v="4"/>
    <x v="0"/>
    <n v="28.7"/>
  </r>
  <r>
    <n v="1866"/>
    <x v="858"/>
    <x v="4"/>
    <x v="16"/>
    <n v="4"/>
    <n v="4471.17"/>
    <n v="17884.68"/>
    <x v="0"/>
    <n v="7153.8720000000003"/>
    <x v="87"/>
    <x v="5"/>
    <x v="0"/>
    <n v="1335.92"/>
  </r>
  <r>
    <n v="1867"/>
    <x v="859"/>
    <x v="5"/>
    <x v="19"/>
    <n v="2"/>
    <n v="1892.54"/>
    <n v="3785.08"/>
    <x v="48"/>
    <n v="3444.4227999999998"/>
    <x v="154"/>
    <x v="1"/>
    <x v="0"/>
    <n v="-702.11"/>
  </r>
  <r>
    <n v="1868"/>
    <x v="860"/>
    <x v="2"/>
    <x v="17"/>
    <n v="2"/>
    <m/>
    <n v="0"/>
    <x v="1"/>
    <n v="0"/>
    <x v="89"/>
    <x v="0"/>
    <x v="1"/>
    <n v="182.74"/>
  </r>
  <r>
    <n v="1869"/>
    <x v="861"/>
    <x v="1"/>
    <x v="18"/>
    <n v="2"/>
    <m/>
    <n v="0"/>
    <x v="1"/>
    <n v="0"/>
    <x v="4"/>
    <x v="1"/>
    <x v="0"/>
    <n v="75.28"/>
  </r>
  <r>
    <n v="1870"/>
    <x v="862"/>
    <x v="2"/>
    <x v="10"/>
    <n v="2"/>
    <n v="1870.68"/>
    <n v="3741.36"/>
    <x v="1"/>
    <n v="3741.36"/>
    <x v="4"/>
    <x v="5"/>
    <x v="0"/>
    <n v="2695.81"/>
  </r>
  <r>
    <n v="1871"/>
    <x v="863"/>
    <x v="5"/>
    <x v="12"/>
    <n v="2"/>
    <m/>
    <n v="0"/>
    <x v="1"/>
    <n v="0"/>
    <x v="85"/>
    <x v="3"/>
    <x v="0"/>
    <n v="-431.93"/>
  </r>
  <r>
    <n v="1872"/>
    <x v="864"/>
    <x v="4"/>
    <x v="16"/>
    <n v="1"/>
    <n v="3381.64"/>
    <n v="3381.64"/>
    <x v="54"/>
    <n v="1758.4528"/>
    <x v="4"/>
    <x v="0"/>
    <x v="0"/>
    <n v="953.93"/>
  </r>
  <r>
    <n v="1873"/>
    <x v="865"/>
    <x v="1"/>
    <x v="15"/>
    <n v="2"/>
    <m/>
    <n v="0"/>
    <x v="1"/>
    <n v="0"/>
    <x v="384"/>
    <x v="0"/>
    <x v="0"/>
    <n v="-632.25"/>
  </r>
  <r>
    <n v="1874"/>
    <x v="866"/>
    <x v="2"/>
    <x v="13"/>
    <n v="5"/>
    <n v="2847.02"/>
    <n v="14235.1"/>
    <x v="1"/>
    <n v="14235.1"/>
    <x v="115"/>
    <x v="1"/>
    <x v="0"/>
    <n v="-573.97"/>
  </r>
  <r>
    <n v="1875"/>
    <x v="867"/>
    <x v="3"/>
    <x v="21"/>
    <n v="2"/>
    <m/>
    <n v="0"/>
    <x v="1"/>
    <n v="0"/>
    <x v="385"/>
    <x v="5"/>
    <x v="0"/>
    <n v="1125.5"/>
  </r>
  <r>
    <n v="1876"/>
    <x v="868"/>
    <x v="2"/>
    <x v="2"/>
    <n v="2"/>
    <m/>
    <n v="0"/>
    <x v="95"/>
    <n v="0"/>
    <x v="225"/>
    <x v="2"/>
    <x v="0"/>
    <n v="986.09"/>
  </r>
  <r>
    <n v="1877"/>
    <x v="869"/>
    <x v="4"/>
    <x v="4"/>
    <n v="-1"/>
    <m/>
    <n v="0"/>
    <x v="1"/>
    <n v="0"/>
    <x v="46"/>
    <x v="5"/>
    <x v="1"/>
    <n v="1149.23"/>
  </r>
  <r>
    <n v="1878"/>
    <x v="870"/>
    <x v="5"/>
    <x v="11"/>
    <n v="4"/>
    <m/>
    <n v="0"/>
    <x v="1"/>
    <n v="0"/>
    <x v="256"/>
    <x v="3"/>
    <x v="0"/>
    <n v="2247.4899999999998"/>
  </r>
  <r>
    <n v="1879"/>
    <x v="871"/>
    <x v="3"/>
    <x v="3"/>
    <n v="0"/>
    <n v="444.11"/>
    <n v="0"/>
    <x v="1"/>
    <n v="0"/>
    <x v="31"/>
    <x v="1"/>
    <x v="0"/>
    <n v="2762.27"/>
  </r>
  <r>
    <n v="1880"/>
    <x v="872"/>
    <x v="3"/>
    <x v="21"/>
    <n v="1"/>
    <n v="772.97"/>
    <n v="772.97"/>
    <x v="55"/>
    <n v="77.296999999999983"/>
    <x v="100"/>
    <x v="5"/>
    <x v="1"/>
    <n v="843.81"/>
  </r>
  <r>
    <n v="1881"/>
    <x v="873"/>
    <x v="2"/>
    <x v="13"/>
    <n v="3"/>
    <n v="1772.6"/>
    <n v="5317.7999999999993"/>
    <x v="1"/>
    <n v="5317.7999999999993"/>
    <x v="46"/>
    <x v="3"/>
    <x v="1"/>
    <n v="993.92"/>
  </r>
  <r>
    <n v="1882"/>
    <x v="874"/>
    <x v="1"/>
    <x v="18"/>
    <n v="2"/>
    <n v="1622.79"/>
    <n v="3245.58"/>
    <x v="1"/>
    <n v="3245.58"/>
    <x v="280"/>
    <x v="0"/>
    <x v="0"/>
    <n v="1020.63"/>
  </r>
  <r>
    <n v="1883"/>
    <x v="875"/>
    <x v="0"/>
    <x v="9"/>
    <n v="-1"/>
    <n v="4350.8599999999997"/>
    <n v="-4350.8599999999997"/>
    <x v="1"/>
    <n v="-4350.8599999999997"/>
    <x v="4"/>
    <x v="5"/>
    <x v="1"/>
    <n v="2845.42"/>
  </r>
  <r>
    <n v="1884"/>
    <x v="876"/>
    <x v="2"/>
    <x v="13"/>
    <n v="6"/>
    <m/>
    <n v="0"/>
    <x v="1"/>
    <n v="0"/>
    <x v="243"/>
    <x v="0"/>
    <x v="0"/>
    <n v="-856.25"/>
  </r>
  <r>
    <n v="1885"/>
    <x v="877"/>
    <x v="4"/>
    <x v="14"/>
    <n v="0"/>
    <m/>
    <n v="0"/>
    <x v="1"/>
    <n v="0"/>
    <x v="295"/>
    <x v="0"/>
    <x v="1"/>
    <n v="-571.28"/>
  </r>
  <r>
    <n v="1886"/>
    <x v="878"/>
    <x v="3"/>
    <x v="7"/>
    <n v="6"/>
    <n v="1229.0999999999999"/>
    <n v="7374.5999999999995"/>
    <x v="1"/>
    <n v="7374.5999999999995"/>
    <x v="4"/>
    <x v="4"/>
    <x v="0"/>
    <n v="1005.96"/>
  </r>
  <r>
    <n v="1887"/>
    <x v="879"/>
    <x v="4"/>
    <x v="14"/>
    <n v="3"/>
    <m/>
    <n v="0"/>
    <x v="1"/>
    <n v="0"/>
    <x v="386"/>
    <x v="1"/>
    <x v="1"/>
    <n v="111.88"/>
  </r>
  <r>
    <n v="1888"/>
    <x v="880"/>
    <x v="2"/>
    <x v="10"/>
    <n v="6"/>
    <m/>
    <n v="0"/>
    <x v="84"/>
    <n v="0"/>
    <x v="4"/>
    <x v="2"/>
    <x v="1"/>
    <n v="-80.61"/>
  </r>
  <r>
    <n v="1889"/>
    <x v="881"/>
    <x v="5"/>
    <x v="11"/>
    <n v="2"/>
    <n v="3948.83"/>
    <n v="7897.66"/>
    <x v="1"/>
    <n v="7897.66"/>
    <x v="278"/>
    <x v="5"/>
    <x v="0"/>
    <n v="1935.77"/>
  </r>
  <r>
    <n v="1890"/>
    <x v="882"/>
    <x v="3"/>
    <x v="3"/>
    <n v="2"/>
    <n v="3772.51"/>
    <n v="7545.02"/>
    <x v="1"/>
    <n v="7545.02"/>
    <x v="4"/>
    <x v="3"/>
    <x v="1"/>
    <n v="792.89"/>
  </r>
  <r>
    <n v="1891"/>
    <x v="883"/>
    <x v="4"/>
    <x v="4"/>
    <n v="2"/>
    <n v="2727.86"/>
    <n v="5455.72"/>
    <x v="1"/>
    <n v="5455.72"/>
    <x v="370"/>
    <x v="1"/>
    <x v="0"/>
    <n v="849.07"/>
  </r>
  <r>
    <n v="1892"/>
    <x v="884"/>
    <x v="0"/>
    <x v="0"/>
    <n v="2"/>
    <m/>
    <n v="0"/>
    <x v="119"/>
    <n v="0"/>
    <x v="4"/>
    <x v="0"/>
    <x v="1"/>
    <n v="330.14"/>
  </r>
  <r>
    <n v="1893"/>
    <x v="885"/>
    <x v="3"/>
    <x v="21"/>
    <n v="2"/>
    <n v="4456.45"/>
    <n v="8912.9"/>
    <x v="1"/>
    <n v="8912.9"/>
    <x v="4"/>
    <x v="0"/>
    <x v="1"/>
    <n v="870.63"/>
  </r>
  <r>
    <n v="1894"/>
    <x v="886"/>
    <x v="1"/>
    <x v="22"/>
    <n v="2"/>
    <n v="2793.89"/>
    <n v="5587.78"/>
    <x v="1"/>
    <n v="5587.78"/>
    <x v="387"/>
    <x v="4"/>
    <x v="1"/>
    <n v="-512.73"/>
  </r>
  <r>
    <n v="1003"/>
    <x v="887"/>
    <x v="0"/>
    <x v="20"/>
    <n v="-2"/>
    <m/>
    <n v="0"/>
    <x v="1"/>
    <n v="0"/>
    <x v="157"/>
    <x v="5"/>
    <x v="1"/>
    <n v="2368.6999999999998"/>
  </r>
  <r>
    <n v="1896"/>
    <x v="888"/>
    <x v="4"/>
    <x v="8"/>
    <n v="5"/>
    <n v="4829.8500000000004"/>
    <n v="24149.25"/>
    <x v="1"/>
    <n v="24149.25"/>
    <x v="4"/>
    <x v="4"/>
    <x v="1"/>
    <n v="2993.71"/>
  </r>
  <r>
    <n v="1897"/>
    <x v="889"/>
    <x v="0"/>
    <x v="9"/>
    <n v="2"/>
    <m/>
    <n v="0"/>
    <x v="94"/>
    <n v="0"/>
    <x v="127"/>
    <x v="4"/>
    <x v="0"/>
    <n v="499.61"/>
  </r>
  <r>
    <n v="1898"/>
    <x v="890"/>
    <x v="4"/>
    <x v="14"/>
    <n v="5"/>
    <n v="776.98"/>
    <n v="3884.9"/>
    <x v="1"/>
    <n v="3884.9"/>
    <x v="388"/>
    <x v="2"/>
    <x v="0"/>
    <n v="2977.35"/>
  </r>
  <r>
    <n v="1899"/>
    <x v="891"/>
    <x v="2"/>
    <x v="10"/>
    <n v="2"/>
    <m/>
    <n v="0"/>
    <x v="1"/>
    <n v="0"/>
    <x v="4"/>
    <x v="0"/>
    <x v="0"/>
    <n v="500.04"/>
  </r>
  <r>
    <n v="1900"/>
    <x v="892"/>
    <x v="4"/>
    <x v="8"/>
    <n v="3"/>
    <m/>
    <n v="0"/>
    <x v="1"/>
    <n v="0"/>
    <x v="309"/>
    <x v="0"/>
    <x v="0"/>
    <n v="959.32"/>
  </r>
  <r>
    <n v="1901"/>
    <x v="893"/>
    <x v="3"/>
    <x v="3"/>
    <n v="4"/>
    <n v="781.91"/>
    <n v="3127.64"/>
    <x v="61"/>
    <n v="-625.52799999999979"/>
    <x v="36"/>
    <x v="5"/>
    <x v="0"/>
    <n v="1002.98"/>
  </r>
  <r>
    <n v="1007"/>
    <x v="894"/>
    <x v="3"/>
    <x v="23"/>
    <n v="0"/>
    <n v="3402.85"/>
    <n v="0"/>
    <x v="60"/>
    <n v="0"/>
    <x v="4"/>
    <x v="5"/>
    <x v="0"/>
    <n v="1333.09"/>
  </r>
  <r>
    <n v="1903"/>
    <x v="895"/>
    <x v="5"/>
    <x v="11"/>
    <n v="-1"/>
    <m/>
    <n v="0"/>
    <x v="52"/>
    <n v="0"/>
    <x v="121"/>
    <x v="2"/>
    <x v="0"/>
    <n v="1264.02"/>
  </r>
  <r>
    <n v="1904"/>
    <x v="896"/>
    <x v="0"/>
    <x v="20"/>
    <n v="-1"/>
    <n v="1339.18"/>
    <n v="-1339.18"/>
    <x v="1"/>
    <n v="-1339.18"/>
    <x v="23"/>
    <x v="3"/>
    <x v="0"/>
    <n v="554.92999999999995"/>
  </r>
  <r>
    <n v="1905"/>
    <x v="897"/>
    <x v="5"/>
    <x v="19"/>
    <n v="2"/>
    <n v="759.78"/>
    <n v="1519.56"/>
    <x v="1"/>
    <n v="1519.56"/>
    <x v="4"/>
    <x v="5"/>
    <x v="1"/>
    <n v="2254.8200000000002"/>
  </r>
  <r>
    <n v="1906"/>
    <x v="898"/>
    <x v="5"/>
    <x v="19"/>
    <n v="-1"/>
    <m/>
    <n v="0"/>
    <x v="1"/>
    <n v="0"/>
    <x v="1"/>
    <x v="3"/>
    <x v="0"/>
    <n v="406.55"/>
  </r>
  <r>
    <n v="1907"/>
    <x v="899"/>
    <x v="1"/>
    <x v="1"/>
    <n v="2"/>
    <m/>
    <n v="0"/>
    <x v="1"/>
    <n v="0"/>
    <x v="211"/>
    <x v="4"/>
    <x v="0"/>
    <n v="305.87"/>
  </r>
  <r>
    <n v="1908"/>
    <x v="900"/>
    <x v="0"/>
    <x v="5"/>
    <n v="2"/>
    <m/>
    <n v="0"/>
    <x v="1"/>
    <n v="0"/>
    <x v="4"/>
    <x v="4"/>
    <x v="0"/>
    <n v="205.56"/>
  </r>
  <r>
    <n v="1909"/>
    <x v="901"/>
    <x v="3"/>
    <x v="7"/>
    <n v="1"/>
    <n v="3114.13"/>
    <n v="3114.13"/>
    <x v="1"/>
    <n v="3114.13"/>
    <x v="389"/>
    <x v="5"/>
    <x v="1"/>
    <n v="2743.54"/>
  </r>
  <r>
    <n v="1910"/>
    <x v="902"/>
    <x v="4"/>
    <x v="8"/>
    <n v="0"/>
    <n v="2155.16"/>
    <n v="0"/>
    <x v="1"/>
    <n v="0"/>
    <x v="59"/>
    <x v="1"/>
    <x v="1"/>
    <n v="425.89"/>
  </r>
  <r>
    <n v="1911"/>
    <x v="903"/>
    <x v="0"/>
    <x v="20"/>
    <n v="6"/>
    <n v="2357.6999999999998"/>
    <n v="14146.199999999999"/>
    <x v="1"/>
    <n v="14146.199999999999"/>
    <x v="370"/>
    <x v="1"/>
    <x v="0"/>
    <n v="1901.07"/>
  </r>
  <r>
    <n v="1912"/>
    <x v="904"/>
    <x v="3"/>
    <x v="3"/>
    <n v="2"/>
    <m/>
    <n v="0"/>
    <x v="1"/>
    <n v="0"/>
    <x v="4"/>
    <x v="5"/>
    <x v="0"/>
    <n v="2721.15"/>
  </r>
  <r>
    <n v="1913"/>
    <x v="905"/>
    <x v="3"/>
    <x v="21"/>
    <n v="5"/>
    <m/>
    <n v="0"/>
    <x v="1"/>
    <n v="0"/>
    <x v="4"/>
    <x v="2"/>
    <x v="0"/>
    <n v="1490.96"/>
  </r>
  <r>
    <n v="1914"/>
    <x v="906"/>
    <x v="0"/>
    <x v="5"/>
    <n v="6"/>
    <n v="3661.49"/>
    <n v="21968.94"/>
    <x v="112"/>
    <n v="19552.356599999999"/>
    <x v="390"/>
    <x v="5"/>
    <x v="0"/>
    <n v="-527.32000000000005"/>
  </r>
  <r>
    <n v="1915"/>
    <x v="907"/>
    <x v="3"/>
    <x v="7"/>
    <n v="2"/>
    <m/>
    <n v="0"/>
    <x v="1"/>
    <n v="0"/>
    <x v="391"/>
    <x v="0"/>
    <x v="1"/>
    <n v="944.36"/>
  </r>
  <r>
    <n v="1916"/>
    <x v="908"/>
    <x v="5"/>
    <x v="11"/>
    <n v="2"/>
    <n v="2117.0700000000002"/>
    <n v="4234.1400000000003"/>
    <x v="77"/>
    <n v="3683.7018000000003"/>
    <x v="350"/>
    <x v="0"/>
    <x v="0"/>
    <n v="2423.2399999999998"/>
  </r>
  <r>
    <n v="1917"/>
    <x v="909"/>
    <x v="2"/>
    <x v="13"/>
    <n v="2"/>
    <m/>
    <n v="0"/>
    <x v="1"/>
    <n v="0"/>
    <x v="130"/>
    <x v="1"/>
    <x v="0"/>
    <n v="1173.48"/>
  </r>
  <r>
    <n v="1918"/>
    <x v="910"/>
    <x v="5"/>
    <x v="19"/>
    <n v="2"/>
    <n v="581.49"/>
    <n v="1162.98"/>
    <x v="1"/>
    <n v="1162.98"/>
    <x v="392"/>
    <x v="1"/>
    <x v="0"/>
    <n v="-714.88"/>
  </r>
  <r>
    <n v="1919"/>
    <x v="911"/>
    <x v="5"/>
    <x v="11"/>
    <n v="2"/>
    <n v="1460.71"/>
    <n v="2921.42"/>
    <x v="1"/>
    <n v="2921.42"/>
    <x v="4"/>
    <x v="1"/>
    <x v="0"/>
    <n v="2917.9"/>
  </r>
  <r>
    <n v="1920"/>
    <x v="912"/>
    <x v="1"/>
    <x v="18"/>
    <n v="2"/>
    <n v="4141.2299999999996"/>
    <n v="8282.4599999999991"/>
    <x v="1"/>
    <n v="8282.4599999999991"/>
    <x v="309"/>
    <x v="2"/>
    <x v="0"/>
    <n v="1455.81"/>
  </r>
  <r>
    <n v="1921"/>
    <x v="913"/>
    <x v="3"/>
    <x v="21"/>
    <n v="2"/>
    <n v="4224.3100000000004"/>
    <n v="8448.6200000000008"/>
    <x v="1"/>
    <n v="8448.6200000000008"/>
    <x v="4"/>
    <x v="4"/>
    <x v="1"/>
    <n v="2660.84"/>
  </r>
  <r>
    <n v="1922"/>
    <x v="914"/>
    <x v="5"/>
    <x v="12"/>
    <n v="2"/>
    <m/>
    <n v="0"/>
    <x v="1"/>
    <n v="0"/>
    <x v="204"/>
    <x v="0"/>
    <x v="0"/>
    <n v="-616.36"/>
  </r>
  <r>
    <n v="1923"/>
    <x v="915"/>
    <x v="1"/>
    <x v="1"/>
    <n v="2"/>
    <n v="3865.62"/>
    <n v="7731.24"/>
    <x v="1"/>
    <n v="7731.24"/>
    <x v="393"/>
    <x v="3"/>
    <x v="0"/>
    <n v="-56.4"/>
  </r>
  <r>
    <n v="1924"/>
    <x v="916"/>
    <x v="0"/>
    <x v="5"/>
    <n v="2"/>
    <n v="2999.49"/>
    <n v="5998.98"/>
    <x v="1"/>
    <n v="5998.98"/>
    <x v="352"/>
    <x v="1"/>
    <x v="0"/>
    <n v="-988.45"/>
  </r>
  <r>
    <n v="1925"/>
    <x v="917"/>
    <x v="3"/>
    <x v="23"/>
    <n v="2"/>
    <n v="1429.24"/>
    <n v="2858.48"/>
    <x v="1"/>
    <n v="2858.48"/>
    <x v="101"/>
    <x v="0"/>
    <x v="0"/>
    <n v="2081.7800000000002"/>
  </r>
  <r>
    <n v="1926"/>
    <x v="918"/>
    <x v="2"/>
    <x v="13"/>
    <n v="-2"/>
    <n v="2533.37"/>
    <n v="-5066.74"/>
    <x v="1"/>
    <n v="-5066.74"/>
    <x v="188"/>
    <x v="3"/>
    <x v="0"/>
    <n v="-490.96"/>
  </r>
  <r>
    <n v="1927"/>
    <x v="919"/>
    <x v="4"/>
    <x v="14"/>
    <n v="5"/>
    <m/>
    <n v="0"/>
    <x v="1"/>
    <n v="0"/>
    <x v="281"/>
    <x v="4"/>
    <x v="1"/>
    <n v="1844.54"/>
  </r>
  <r>
    <n v="1928"/>
    <x v="920"/>
    <x v="5"/>
    <x v="6"/>
    <n v="-2"/>
    <m/>
    <n v="0"/>
    <x v="1"/>
    <n v="0"/>
    <x v="394"/>
    <x v="0"/>
    <x v="1"/>
    <n v="2676.77"/>
  </r>
  <r>
    <n v="1929"/>
    <x v="921"/>
    <x v="3"/>
    <x v="21"/>
    <n v="-2"/>
    <n v="3618.48"/>
    <n v="-7236.96"/>
    <x v="1"/>
    <n v="-7236.96"/>
    <x v="4"/>
    <x v="0"/>
    <x v="1"/>
    <n v="1383.46"/>
  </r>
  <r>
    <n v="1930"/>
    <x v="922"/>
    <x v="0"/>
    <x v="5"/>
    <n v="2"/>
    <n v="3017.82"/>
    <n v="6035.64"/>
    <x v="1"/>
    <n v="6035.64"/>
    <x v="4"/>
    <x v="1"/>
    <x v="1"/>
    <n v="1257.0999999999999"/>
  </r>
  <r>
    <n v="1931"/>
    <x v="923"/>
    <x v="0"/>
    <x v="5"/>
    <n v="-1"/>
    <m/>
    <n v="0"/>
    <x v="1"/>
    <n v="0"/>
    <x v="4"/>
    <x v="5"/>
    <x v="0"/>
    <n v="1820.4"/>
  </r>
  <r>
    <n v="1932"/>
    <x v="924"/>
    <x v="4"/>
    <x v="4"/>
    <n v="2"/>
    <n v="436.31"/>
    <n v="872.62"/>
    <x v="1"/>
    <n v="872.62"/>
    <x v="328"/>
    <x v="5"/>
    <x v="1"/>
    <n v="1632.83"/>
  </r>
  <r>
    <n v="1933"/>
    <x v="925"/>
    <x v="1"/>
    <x v="22"/>
    <n v="2"/>
    <n v="1403.41"/>
    <n v="2806.82"/>
    <x v="1"/>
    <n v="2806.82"/>
    <x v="4"/>
    <x v="5"/>
    <x v="1"/>
    <n v="635.85"/>
  </r>
  <r>
    <n v="1934"/>
    <x v="926"/>
    <x v="0"/>
    <x v="9"/>
    <n v="2"/>
    <n v="3369.03"/>
    <n v="6738.06"/>
    <x v="1"/>
    <n v="6738.06"/>
    <x v="309"/>
    <x v="4"/>
    <x v="0"/>
    <n v="-144.96"/>
  </r>
  <r>
    <n v="1935"/>
    <x v="927"/>
    <x v="1"/>
    <x v="1"/>
    <n v="6"/>
    <m/>
    <n v="0"/>
    <x v="1"/>
    <n v="0"/>
    <x v="332"/>
    <x v="2"/>
    <x v="0"/>
    <n v="2390.71"/>
  </r>
  <r>
    <n v="1936"/>
    <x v="928"/>
    <x v="0"/>
    <x v="20"/>
    <n v="5"/>
    <n v="804.78"/>
    <n v="4023.8999999999996"/>
    <x v="1"/>
    <n v="4023.8999999999996"/>
    <x v="123"/>
    <x v="1"/>
    <x v="0"/>
    <n v="1109.21"/>
  </r>
  <r>
    <n v="1937"/>
    <x v="929"/>
    <x v="3"/>
    <x v="21"/>
    <n v="4"/>
    <n v="643.24"/>
    <n v="2572.96"/>
    <x v="1"/>
    <n v="2572.96"/>
    <x v="270"/>
    <x v="1"/>
    <x v="0"/>
    <n v="1670.97"/>
  </r>
  <r>
    <n v="1938"/>
    <x v="930"/>
    <x v="1"/>
    <x v="1"/>
    <n v="4"/>
    <m/>
    <n v="0"/>
    <x v="94"/>
    <n v="0"/>
    <x v="183"/>
    <x v="4"/>
    <x v="0"/>
    <n v="-528.58000000000004"/>
  </r>
  <r>
    <n v="1939"/>
    <x v="931"/>
    <x v="1"/>
    <x v="22"/>
    <n v="2"/>
    <m/>
    <n v="0"/>
    <x v="38"/>
    <n v="0"/>
    <x v="321"/>
    <x v="3"/>
    <x v="1"/>
    <n v="693.96"/>
  </r>
  <r>
    <n v="1940"/>
    <x v="932"/>
    <x v="5"/>
    <x v="19"/>
    <n v="2"/>
    <n v="3428.02"/>
    <n v="6856.04"/>
    <x v="1"/>
    <n v="6856.04"/>
    <x v="98"/>
    <x v="2"/>
    <x v="1"/>
    <n v="-881.03"/>
  </r>
  <r>
    <n v="1941"/>
    <x v="933"/>
    <x v="2"/>
    <x v="2"/>
    <n v="4"/>
    <m/>
    <n v="0"/>
    <x v="1"/>
    <n v="0"/>
    <x v="107"/>
    <x v="1"/>
    <x v="0"/>
    <n v="-298.48"/>
  </r>
  <r>
    <n v="1942"/>
    <x v="934"/>
    <x v="1"/>
    <x v="1"/>
    <n v="2"/>
    <n v="3710.07"/>
    <n v="7420.14"/>
    <x v="116"/>
    <n v="1261.4238000000003"/>
    <x v="395"/>
    <x v="2"/>
    <x v="0"/>
    <n v="2682.86"/>
  </r>
  <r>
    <n v="1943"/>
    <x v="935"/>
    <x v="2"/>
    <x v="10"/>
    <n v="4"/>
    <n v="3153.49"/>
    <n v="12613.96"/>
    <x v="1"/>
    <n v="12613.96"/>
    <x v="4"/>
    <x v="1"/>
    <x v="0"/>
    <n v="763.19"/>
  </r>
  <r>
    <n v="1944"/>
    <x v="936"/>
    <x v="0"/>
    <x v="5"/>
    <n v="-1"/>
    <n v="3227.22"/>
    <n v="-3227.22"/>
    <x v="1"/>
    <n v="-3227.22"/>
    <x v="4"/>
    <x v="2"/>
    <x v="0"/>
    <n v="597.80999999999995"/>
  </r>
  <r>
    <n v="1945"/>
    <x v="937"/>
    <x v="0"/>
    <x v="20"/>
    <n v="2"/>
    <n v="2803.56"/>
    <n v="5607.12"/>
    <x v="65"/>
    <n v="-280.35600000000022"/>
    <x v="396"/>
    <x v="0"/>
    <x v="0"/>
    <n v="-624.79"/>
  </r>
  <r>
    <n v="1946"/>
    <x v="938"/>
    <x v="0"/>
    <x v="20"/>
    <n v="2"/>
    <n v="2355.36"/>
    <n v="4710.72"/>
    <x v="1"/>
    <n v="4710.72"/>
    <x v="236"/>
    <x v="0"/>
    <x v="1"/>
    <n v="2397.33"/>
  </r>
  <r>
    <n v="1947"/>
    <x v="939"/>
    <x v="0"/>
    <x v="9"/>
    <n v="2"/>
    <m/>
    <n v="0"/>
    <x v="31"/>
    <n v="0"/>
    <x v="73"/>
    <x v="2"/>
    <x v="0"/>
    <n v="1608.36"/>
  </r>
  <r>
    <n v="1948"/>
    <x v="940"/>
    <x v="0"/>
    <x v="0"/>
    <n v="2"/>
    <n v="2755.59"/>
    <n v="5511.18"/>
    <x v="22"/>
    <n v="-330.67080000000033"/>
    <x v="357"/>
    <x v="1"/>
    <x v="0"/>
    <n v="1058.83"/>
  </r>
  <r>
    <n v="1949"/>
    <x v="941"/>
    <x v="2"/>
    <x v="13"/>
    <n v="2"/>
    <n v="4000.18"/>
    <n v="8000.36"/>
    <x v="106"/>
    <n v="880.03959999999984"/>
    <x v="4"/>
    <x v="2"/>
    <x v="0"/>
    <n v="713.58"/>
  </r>
  <r>
    <n v="1950"/>
    <x v="942"/>
    <x v="5"/>
    <x v="11"/>
    <n v="0"/>
    <n v="2270.65"/>
    <n v="0"/>
    <x v="80"/>
    <n v="0"/>
    <x v="397"/>
    <x v="1"/>
    <x v="0"/>
    <n v="2324.34"/>
  </r>
  <r>
    <n v="1951"/>
    <x v="943"/>
    <x v="2"/>
    <x v="2"/>
    <n v="2"/>
    <n v="2390.4299999999998"/>
    <n v="4780.8599999999997"/>
    <x v="90"/>
    <n v="3107.5589999999997"/>
    <x v="95"/>
    <x v="0"/>
    <x v="0"/>
    <n v="-634.86"/>
  </r>
  <r>
    <n v="1952"/>
    <x v="944"/>
    <x v="0"/>
    <x v="20"/>
    <n v="5"/>
    <m/>
    <n v="0"/>
    <x v="1"/>
    <n v="0"/>
    <x v="398"/>
    <x v="5"/>
    <x v="0"/>
    <n v="2835.63"/>
  </r>
  <r>
    <n v="1953"/>
    <x v="945"/>
    <x v="1"/>
    <x v="15"/>
    <n v="2"/>
    <m/>
    <n v="0"/>
    <x v="1"/>
    <n v="0"/>
    <x v="73"/>
    <x v="2"/>
    <x v="1"/>
    <n v="1996.25"/>
  </r>
  <r>
    <n v="1954"/>
    <x v="946"/>
    <x v="0"/>
    <x v="20"/>
    <n v="-2"/>
    <n v="2315.7800000000002"/>
    <n v="-4631.5600000000004"/>
    <x v="1"/>
    <n v="-4631.5600000000004"/>
    <x v="129"/>
    <x v="1"/>
    <x v="0"/>
    <n v="2501.64"/>
  </r>
  <r>
    <n v="1955"/>
    <x v="947"/>
    <x v="2"/>
    <x v="10"/>
    <n v="1"/>
    <n v="2787.46"/>
    <n v="2787.46"/>
    <x v="11"/>
    <n v="222.99679999999989"/>
    <x v="297"/>
    <x v="2"/>
    <x v="1"/>
    <n v="2909.73"/>
  </r>
  <r>
    <n v="1956"/>
    <x v="948"/>
    <x v="1"/>
    <x v="1"/>
    <n v="2"/>
    <m/>
    <n v="0"/>
    <x v="1"/>
    <n v="0"/>
    <x v="63"/>
    <x v="3"/>
    <x v="1"/>
    <n v="-850.76"/>
  </r>
  <r>
    <n v="1957"/>
    <x v="949"/>
    <x v="3"/>
    <x v="21"/>
    <n v="2"/>
    <n v="494.81"/>
    <n v="989.62"/>
    <x v="1"/>
    <n v="989.62"/>
    <x v="399"/>
    <x v="4"/>
    <x v="0"/>
    <n v="-35.32"/>
  </r>
  <r>
    <n v="1958"/>
    <x v="950"/>
    <x v="4"/>
    <x v="4"/>
    <n v="2"/>
    <n v="3068.38"/>
    <n v="6136.76"/>
    <x v="1"/>
    <n v="6136.76"/>
    <x v="337"/>
    <x v="3"/>
    <x v="0"/>
    <n v="2376.6799999999998"/>
  </r>
  <r>
    <n v="1959"/>
    <x v="951"/>
    <x v="1"/>
    <x v="18"/>
    <n v="2"/>
    <n v="3805.09"/>
    <n v="7610.18"/>
    <x v="1"/>
    <n v="7610.18"/>
    <x v="4"/>
    <x v="1"/>
    <x v="0"/>
    <n v="-476"/>
  </r>
  <r>
    <n v="1960"/>
    <x v="952"/>
    <x v="2"/>
    <x v="13"/>
    <n v="2"/>
    <n v="1369.81"/>
    <n v="2739.62"/>
    <x v="93"/>
    <n v="904.0745999999998"/>
    <x v="364"/>
    <x v="5"/>
    <x v="1"/>
    <n v="1179.44"/>
  </r>
  <r>
    <n v="1961"/>
    <x v="953"/>
    <x v="1"/>
    <x v="18"/>
    <n v="2"/>
    <n v="2204.39"/>
    <n v="4408.78"/>
    <x v="1"/>
    <n v="4408.78"/>
    <x v="400"/>
    <x v="5"/>
    <x v="1"/>
    <n v="-546.19000000000005"/>
  </r>
  <r>
    <n v="1962"/>
    <x v="954"/>
    <x v="2"/>
    <x v="10"/>
    <n v="-2"/>
    <m/>
    <n v="0"/>
    <x v="1"/>
    <n v="0"/>
    <x v="401"/>
    <x v="0"/>
    <x v="1"/>
    <n v="1408.3"/>
  </r>
  <r>
    <n v="1963"/>
    <x v="955"/>
    <x v="2"/>
    <x v="17"/>
    <n v="2"/>
    <n v="1935.29"/>
    <n v="3870.58"/>
    <x v="1"/>
    <n v="3870.58"/>
    <x v="169"/>
    <x v="2"/>
    <x v="1"/>
    <n v="-114.47"/>
  </r>
  <r>
    <n v="1964"/>
    <x v="956"/>
    <x v="4"/>
    <x v="8"/>
    <n v="-2"/>
    <m/>
    <n v="0"/>
    <x v="1"/>
    <n v="0"/>
    <x v="4"/>
    <x v="3"/>
    <x v="1"/>
    <n v="2202.2800000000002"/>
  </r>
  <r>
    <n v="1965"/>
    <x v="957"/>
    <x v="5"/>
    <x v="19"/>
    <n v="0"/>
    <m/>
    <n v="0"/>
    <x v="1"/>
    <n v="0"/>
    <x v="402"/>
    <x v="5"/>
    <x v="1"/>
    <n v="2663.36"/>
  </r>
  <r>
    <n v="1966"/>
    <x v="958"/>
    <x v="2"/>
    <x v="2"/>
    <n v="2"/>
    <m/>
    <n v="0"/>
    <x v="1"/>
    <n v="0"/>
    <x v="4"/>
    <x v="5"/>
    <x v="1"/>
    <n v="2887.5"/>
  </r>
  <r>
    <n v="1967"/>
    <x v="959"/>
    <x v="4"/>
    <x v="16"/>
    <n v="2"/>
    <m/>
    <n v="0"/>
    <x v="1"/>
    <n v="0"/>
    <x v="4"/>
    <x v="1"/>
    <x v="1"/>
    <n v="1310.86"/>
  </r>
  <r>
    <n v="1968"/>
    <x v="960"/>
    <x v="1"/>
    <x v="1"/>
    <n v="5"/>
    <m/>
    <n v="0"/>
    <x v="1"/>
    <n v="0"/>
    <x v="97"/>
    <x v="3"/>
    <x v="0"/>
    <n v="-168.76"/>
  </r>
  <r>
    <n v="1969"/>
    <x v="961"/>
    <x v="0"/>
    <x v="0"/>
    <n v="2"/>
    <n v="2153.5700000000002"/>
    <n v="4307.1400000000003"/>
    <x v="1"/>
    <n v="4307.1400000000003"/>
    <x v="364"/>
    <x v="2"/>
    <x v="0"/>
    <n v="1200.02"/>
  </r>
  <r>
    <n v="1970"/>
    <x v="962"/>
    <x v="1"/>
    <x v="18"/>
    <n v="6"/>
    <m/>
    <n v="0"/>
    <x v="1"/>
    <n v="0"/>
    <x v="4"/>
    <x v="5"/>
    <x v="0"/>
    <n v="1016.11"/>
  </r>
  <r>
    <n v="1971"/>
    <x v="963"/>
    <x v="3"/>
    <x v="7"/>
    <n v="0"/>
    <n v="4746.5200000000004"/>
    <n v="0"/>
    <x v="1"/>
    <n v="0"/>
    <x v="62"/>
    <x v="2"/>
    <x v="1"/>
    <n v="1981.22"/>
  </r>
  <r>
    <n v="1972"/>
    <x v="964"/>
    <x v="1"/>
    <x v="15"/>
    <n v="-1"/>
    <m/>
    <n v="0"/>
    <x v="1"/>
    <n v="0"/>
    <x v="169"/>
    <x v="0"/>
    <x v="0"/>
    <n v="-161.86000000000001"/>
  </r>
  <r>
    <n v="1973"/>
    <x v="965"/>
    <x v="3"/>
    <x v="23"/>
    <n v="2"/>
    <m/>
    <n v="0"/>
    <x v="1"/>
    <n v="0"/>
    <x v="292"/>
    <x v="5"/>
    <x v="0"/>
    <n v="838.06"/>
  </r>
  <r>
    <n v="1974"/>
    <x v="966"/>
    <x v="0"/>
    <x v="20"/>
    <n v="2"/>
    <n v="3286.66"/>
    <n v="6573.32"/>
    <x v="1"/>
    <n v="6573.32"/>
    <x v="4"/>
    <x v="1"/>
    <x v="1"/>
    <n v="1019.91"/>
  </r>
  <r>
    <n v="1975"/>
    <x v="967"/>
    <x v="4"/>
    <x v="14"/>
    <n v="2"/>
    <n v="3853.49"/>
    <n v="7706.98"/>
    <x v="1"/>
    <n v="7706.98"/>
    <x v="4"/>
    <x v="2"/>
    <x v="1"/>
    <n v="77.2"/>
  </r>
  <r>
    <n v="1976"/>
    <x v="968"/>
    <x v="0"/>
    <x v="20"/>
    <n v="2"/>
    <n v="4363.08"/>
    <n v="8726.16"/>
    <x v="1"/>
    <n v="8726.16"/>
    <x v="129"/>
    <x v="0"/>
    <x v="0"/>
    <n v="-16.09"/>
  </r>
  <r>
    <n v="1977"/>
    <x v="969"/>
    <x v="4"/>
    <x v="8"/>
    <n v="2"/>
    <n v="4126.29"/>
    <n v="8252.58"/>
    <x v="1"/>
    <n v="8252.58"/>
    <x v="4"/>
    <x v="2"/>
    <x v="0"/>
    <n v="-578.63"/>
  </r>
  <r>
    <n v="1978"/>
    <x v="970"/>
    <x v="4"/>
    <x v="14"/>
    <n v="4"/>
    <m/>
    <n v="0"/>
    <x v="1"/>
    <n v="0"/>
    <x v="403"/>
    <x v="2"/>
    <x v="0"/>
    <n v="-120.11"/>
  </r>
  <r>
    <n v="1979"/>
    <x v="971"/>
    <x v="5"/>
    <x v="19"/>
    <n v="-2"/>
    <n v="4375.7"/>
    <n v="-8751.4"/>
    <x v="53"/>
    <n v="-787.62599999999975"/>
    <x v="272"/>
    <x v="3"/>
    <x v="1"/>
    <n v="250.46"/>
  </r>
  <r>
    <n v="1980"/>
    <x v="972"/>
    <x v="3"/>
    <x v="23"/>
    <n v="1"/>
    <n v="1426.73"/>
    <n v="1426.73"/>
    <x v="1"/>
    <n v="1426.73"/>
    <x v="310"/>
    <x v="5"/>
    <x v="0"/>
    <n v="2451.9899999999998"/>
  </r>
  <r>
    <n v="1981"/>
    <x v="973"/>
    <x v="5"/>
    <x v="11"/>
    <n v="0"/>
    <m/>
    <n v="0"/>
    <x v="1"/>
    <n v="0"/>
    <x v="4"/>
    <x v="0"/>
    <x v="1"/>
    <n v="1171.6500000000001"/>
  </r>
  <r>
    <n v="1982"/>
    <x v="974"/>
    <x v="5"/>
    <x v="12"/>
    <n v="2"/>
    <n v="3701.72"/>
    <n v="7403.44"/>
    <x v="1"/>
    <n v="7403.44"/>
    <x v="4"/>
    <x v="1"/>
    <x v="0"/>
    <n v="1936.33"/>
  </r>
  <r>
    <n v="1983"/>
    <x v="975"/>
    <x v="1"/>
    <x v="15"/>
    <n v="2"/>
    <n v="2348.2600000000002"/>
    <n v="4696.5200000000004"/>
    <x v="1"/>
    <n v="4696.5200000000004"/>
    <x v="404"/>
    <x v="3"/>
    <x v="1"/>
    <n v="358.59"/>
  </r>
  <r>
    <n v="1984"/>
    <x v="976"/>
    <x v="5"/>
    <x v="11"/>
    <n v="2"/>
    <m/>
    <n v="0"/>
    <x v="120"/>
    <n v="0"/>
    <x v="53"/>
    <x v="3"/>
    <x v="1"/>
    <n v="881.47"/>
  </r>
  <r>
    <n v="1985"/>
    <x v="977"/>
    <x v="2"/>
    <x v="17"/>
    <n v="2"/>
    <n v="1668.18"/>
    <n v="3336.36"/>
    <x v="60"/>
    <n v="1234.4531999999999"/>
    <x v="192"/>
    <x v="0"/>
    <x v="0"/>
    <n v="-553.53"/>
  </r>
  <r>
    <n v="1986"/>
    <x v="978"/>
    <x v="5"/>
    <x v="6"/>
    <n v="0"/>
    <m/>
    <n v="0"/>
    <x v="82"/>
    <n v="0"/>
    <x v="48"/>
    <x v="4"/>
    <x v="0"/>
    <n v="2806.51"/>
  </r>
  <r>
    <n v="1987"/>
    <x v="979"/>
    <x v="3"/>
    <x v="3"/>
    <n v="2"/>
    <m/>
    <n v="0"/>
    <x v="121"/>
    <n v="0"/>
    <x v="123"/>
    <x v="4"/>
    <x v="0"/>
    <n v="2732.84"/>
  </r>
  <r>
    <n v="1988"/>
    <x v="980"/>
    <x v="2"/>
    <x v="17"/>
    <n v="2"/>
    <m/>
    <n v="0"/>
    <x v="1"/>
    <n v="0"/>
    <x v="157"/>
    <x v="3"/>
    <x v="1"/>
    <n v="-298.07"/>
  </r>
  <r>
    <n v="1989"/>
    <x v="981"/>
    <x v="4"/>
    <x v="4"/>
    <n v="2"/>
    <m/>
    <n v="0"/>
    <x v="1"/>
    <n v="0"/>
    <x v="160"/>
    <x v="1"/>
    <x v="0"/>
    <n v="2646.08"/>
  </r>
  <r>
    <n v="1990"/>
    <x v="982"/>
    <x v="0"/>
    <x v="5"/>
    <n v="-1"/>
    <n v="1203.45"/>
    <n v="-1203.45"/>
    <x v="1"/>
    <n v="-1203.45"/>
    <x v="266"/>
    <x v="0"/>
    <x v="0"/>
    <n v="1184.3599999999999"/>
  </r>
  <r>
    <n v="1991"/>
    <x v="983"/>
    <x v="1"/>
    <x v="22"/>
    <n v="2"/>
    <n v="2808.46"/>
    <n v="5616.92"/>
    <x v="93"/>
    <n v="1853.5835999999997"/>
    <x v="4"/>
    <x v="2"/>
    <x v="0"/>
    <n v="1592.37"/>
  </r>
  <r>
    <n v="1992"/>
    <x v="984"/>
    <x v="4"/>
    <x v="14"/>
    <n v="2"/>
    <m/>
    <n v="0"/>
    <x v="122"/>
    <n v="0"/>
    <x v="4"/>
    <x v="3"/>
    <x v="1"/>
    <n v="2416.37"/>
  </r>
  <r>
    <n v="1993"/>
    <x v="985"/>
    <x v="2"/>
    <x v="17"/>
    <n v="0"/>
    <m/>
    <n v="0"/>
    <x v="1"/>
    <n v="0"/>
    <x v="405"/>
    <x v="5"/>
    <x v="0"/>
    <n v="937.22"/>
  </r>
  <r>
    <n v="1994"/>
    <x v="986"/>
    <x v="0"/>
    <x v="20"/>
    <n v="-1"/>
    <n v="1010.48"/>
    <n v="-1010.48"/>
    <x v="1"/>
    <n v="-1010.48"/>
    <x v="176"/>
    <x v="4"/>
    <x v="0"/>
    <n v="2321.5300000000002"/>
  </r>
  <r>
    <n v="1995"/>
    <x v="987"/>
    <x v="1"/>
    <x v="22"/>
    <n v="4"/>
    <m/>
    <n v="0"/>
    <x v="1"/>
    <n v="0"/>
    <x v="306"/>
    <x v="0"/>
    <x v="0"/>
    <n v="1815.94"/>
  </r>
  <r>
    <n v="1996"/>
    <x v="988"/>
    <x v="3"/>
    <x v="21"/>
    <n v="2"/>
    <m/>
    <n v="0"/>
    <x v="1"/>
    <n v="0"/>
    <x v="281"/>
    <x v="2"/>
    <x v="0"/>
    <n v="1145.05"/>
  </r>
  <r>
    <n v="1997"/>
    <x v="989"/>
    <x v="1"/>
    <x v="1"/>
    <n v="4"/>
    <m/>
    <n v="0"/>
    <x v="26"/>
    <n v="0"/>
    <x v="236"/>
    <x v="0"/>
    <x v="0"/>
    <n v="141.76"/>
  </r>
  <r>
    <n v="1998"/>
    <x v="990"/>
    <x v="4"/>
    <x v="14"/>
    <n v="5"/>
    <n v="2567.59"/>
    <n v="12837.95"/>
    <x v="1"/>
    <n v="12837.95"/>
    <x v="406"/>
    <x v="0"/>
    <x v="0"/>
    <n v="-702.7"/>
  </r>
  <r>
    <n v="1999"/>
    <x v="991"/>
    <x v="2"/>
    <x v="13"/>
    <n v="2"/>
    <m/>
    <n v="0"/>
    <x v="24"/>
    <n v="0"/>
    <x v="36"/>
    <x v="4"/>
    <x v="0"/>
    <n v="938.71"/>
  </r>
  <r>
    <n v="2000"/>
    <x v="992"/>
    <x v="1"/>
    <x v="22"/>
    <n v="-1"/>
    <n v="1966.21"/>
    <n v="-1966.21"/>
    <x v="1"/>
    <n v="-1966.21"/>
    <x v="320"/>
    <x v="3"/>
    <x v="0"/>
    <n v="2035.1"/>
  </r>
  <r>
    <n v="2001"/>
    <x v="993"/>
    <x v="5"/>
    <x v="12"/>
    <n v="1"/>
    <m/>
    <n v="0"/>
    <x v="1"/>
    <n v="0"/>
    <x v="4"/>
    <x v="2"/>
    <x v="0"/>
    <n v="1592.62"/>
  </r>
  <r>
    <n v="2002"/>
    <x v="994"/>
    <x v="4"/>
    <x v="4"/>
    <n v="2"/>
    <n v="1335.29"/>
    <n v="2670.58"/>
    <x v="1"/>
    <n v="2670.58"/>
    <x v="372"/>
    <x v="1"/>
    <x v="0"/>
    <n v="1372.9"/>
  </r>
  <r>
    <n v="2003"/>
    <x v="995"/>
    <x v="1"/>
    <x v="18"/>
    <n v="2"/>
    <n v="2910.84"/>
    <n v="5821.68"/>
    <x v="1"/>
    <n v="5821.68"/>
    <x v="253"/>
    <x v="1"/>
    <x v="0"/>
    <n v="-304.63"/>
  </r>
  <r>
    <n v="2004"/>
    <x v="996"/>
    <x v="1"/>
    <x v="15"/>
    <n v="-1"/>
    <m/>
    <n v="0"/>
    <x v="1"/>
    <n v="0"/>
    <x v="60"/>
    <x v="2"/>
    <x v="1"/>
    <n v="1452.85"/>
  </r>
  <r>
    <n v="2005"/>
    <x v="997"/>
    <x v="0"/>
    <x v="9"/>
    <n v="2"/>
    <m/>
    <n v="0"/>
    <x v="1"/>
    <n v="0"/>
    <x v="322"/>
    <x v="0"/>
    <x v="0"/>
    <n v="559.6"/>
  </r>
  <r>
    <n v="2006"/>
    <x v="998"/>
    <x v="3"/>
    <x v="23"/>
    <n v="2"/>
    <n v="1283.6199999999999"/>
    <n v="2567.2399999999998"/>
    <x v="1"/>
    <n v="2567.2399999999998"/>
    <x v="4"/>
    <x v="1"/>
    <x v="0"/>
    <n v="541.27"/>
  </r>
  <r>
    <n v="2007"/>
    <x v="999"/>
    <x v="1"/>
    <x v="22"/>
    <n v="3"/>
    <n v="3413.11"/>
    <n v="10239.33"/>
    <x v="55"/>
    <n v="1023.9329999999998"/>
    <x v="4"/>
    <x v="4"/>
    <x v="1"/>
    <n v="-440.8"/>
  </r>
  <r>
    <n v="2008"/>
    <x v="1000"/>
    <x v="5"/>
    <x v="11"/>
    <n v="3"/>
    <n v="1284.3599999999999"/>
    <n v="3853.08"/>
    <x v="1"/>
    <n v="3853.08"/>
    <x v="4"/>
    <x v="1"/>
    <x v="0"/>
    <n v="108.58"/>
  </r>
  <r>
    <n v="2009"/>
    <x v="1001"/>
    <x v="0"/>
    <x v="9"/>
    <n v="2"/>
    <n v="3385.59"/>
    <n v="6771.18"/>
    <x v="27"/>
    <n v="6635.7564000000002"/>
    <x v="320"/>
    <x v="3"/>
    <x v="1"/>
    <n v="-927.71"/>
  </r>
  <r>
    <n v="2010"/>
    <x v="1002"/>
    <x v="4"/>
    <x v="16"/>
    <n v="-1"/>
    <n v="3630.24"/>
    <n v="-3630.24"/>
    <x v="1"/>
    <n v="-3630.24"/>
    <x v="96"/>
    <x v="1"/>
    <x v="0"/>
    <n v="-194.42"/>
  </r>
  <r>
    <n v="2011"/>
    <x v="1003"/>
    <x v="2"/>
    <x v="13"/>
    <n v="1"/>
    <n v="3989.68"/>
    <n v="3989.68"/>
    <x v="1"/>
    <n v="3989.68"/>
    <x v="127"/>
    <x v="2"/>
    <x v="0"/>
    <n v="999.35"/>
  </r>
  <r>
    <n v="2012"/>
    <x v="1004"/>
    <x v="4"/>
    <x v="8"/>
    <n v="2"/>
    <n v="2674.79"/>
    <n v="5349.58"/>
    <x v="121"/>
    <n v="1069.9159999999997"/>
    <x v="136"/>
    <x v="1"/>
    <x v="0"/>
    <n v="537.29999999999995"/>
  </r>
  <r>
    <n v="2013"/>
    <x v="1005"/>
    <x v="2"/>
    <x v="10"/>
    <n v="2"/>
    <m/>
    <n v="0"/>
    <x v="1"/>
    <n v="0"/>
    <x v="342"/>
    <x v="2"/>
    <x v="0"/>
    <n v="644.41999999999996"/>
  </r>
  <r>
    <n v="2014"/>
    <x v="1006"/>
    <x v="1"/>
    <x v="22"/>
    <n v="2"/>
    <m/>
    <n v="0"/>
    <x v="1"/>
    <n v="0"/>
    <x v="4"/>
    <x v="0"/>
    <x v="0"/>
    <n v="763.62"/>
  </r>
  <r>
    <n v="2015"/>
    <x v="1007"/>
    <x v="5"/>
    <x v="6"/>
    <n v="2"/>
    <m/>
    <n v="0"/>
    <x v="1"/>
    <n v="0"/>
    <x v="14"/>
    <x v="0"/>
    <x v="1"/>
    <n v="182.23"/>
  </r>
  <r>
    <n v="2016"/>
    <x v="1008"/>
    <x v="2"/>
    <x v="17"/>
    <n v="-2"/>
    <n v="1435.85"/>
    <n v="-2871.7"/>
    <x v="1"/>
    <n v="-2871.7"/>
    <x v="407"/>
    <x v="4"/>
    <x v="1"/>
    <n v="317.58"/>
  </r>
  <r>
    <n v="2017"/>
    <x v="1009"/>
    <x v="0"/>
    <x v="20"/>
    <n v="2"/>
    <n v="3549.93"/>
    <n v="7099.86"/>
    <x v="1"/>
    <n v="7099.86"/>
    <x v="4"/>
    <x v="1"/>
    <x v="0"/>
    <n v="652.09"/>
  </r>
  <r>
    <n v="2018"/>
    <x v="1010"/>
    <x v="0"/>
    <x v="20"/>
    <n v="5"/>
    <m/>
    <n v="0"/>
    <x v="53"/>
    <n v="0"/>
    <x v="269"/>
    <x v="2"/>
    <x v="0"/>
    <n v="-730.39"/>
  </r>
  <r>
    <n v="2019"/>
    <x v="1011"/>
    <x v="0"/>
    <x v="9"/>
    <n v="2"/>
    <n v="1797.91"/>
    <n v="3595.82"/>
    <x v="1"/>
    <n v="3595.82"/>
    <x v="94"/>
    <x v="1"/>
    <x v="0"/>
    <n v="2132.08"/>
  </r>
  <r>
    <n v="2020"/>
    <x v="1012"/>
    <x v="0"/>
    <x v="9"/>
    <n v="-2"/>
    <n v="3954.73"/>
    <n v="-7909.46"/>
    <x v="118"/>
    <n v="-5536.6219999999994"/>
    <x v="196"/>
    <x v="3"/>
    <x v="0"/>
    <n v="-78.22"/>
  </r>
  <r>
    <n v="2021"/>
    <x v="1013"/>
    <x v="2"/>
    <x v="10"/>
    <n v="2"/>
    <n v="4178.18"/>
    <n v="8356.36"/>
    <x v="81"/>
    <n v="-2256.2172000000005"/>
    <x v="259"/>
    <x v="2"/>
    <x v="0"/>
    <n v="2952.52"/>
  </r>
  <r>
    <n v="2022"/>
    <x v="1014"/>
    <x v="2"/>
    <x v="2"/>
    <n v="2"/>
    <n v="3094.77"/>
    <n v="6189.54"/>
    <x v="1"/>
    <n v="6189.54"/>
    <x v="143"/>
    <x v="5"/>
    <x v="1"/>
    <n v="2340.79"/>
  </r>
  <r>
    <n v="2023"/>
    <x v="1015"/>
    <x v="2"/>
    <x v="17"/>
    <n v="3"/>
    <n v="618.17999999999995"/>
    <n v="1854.54"/>
    <x v="1"/>
    <n v="1854.54"/>
    <x v="4"/>
    <x v="1"/>
    <x v="0"/>
    <n v="404.9"/>
  </r>
  <r>
    <n v="2024"/>
    <x v="1016"/>
    <x v="5"/>
    <x v="6"/>
    <n v="4"/>
    <n v="4220.2"/>
    <n v="16880.8"/>
    <x v="1"/>
    <n v="16880.8"/>
    <x v="408"/>
    <x v="0"/>
    <x v="0"/>
    <n v="2488.92"/>
  </r>
  <r>
    <n v="2025"/>
    <x v="1017"/>
    <x v="3"/>
    <x v="21"/>
    <n v="4"/>
    <m/>
    <n v="0"/>
    <x v="1"/>
    <n v="0"/>
    <x v="307"/>
    <x v="0"/>
    <x v="1"/>
    <n v="1259.95"/>
  </r>
  <r>
    <n v="2026"/>
    <x v="1018"/>
    <x v="2"/>
    <x v="10"/>
    <n v="2"/>
    <m/>
    <n v="0"/>
    <x v="1"/>
    <n v="0"/>
    <x v="232"/>
    <x v="1"/>
    <x v="0"/>
    <n v="83.33"/>
  </r>
  <r>
    <n v="2027"/>
    <x v="1019"/>
    <x v="2"/>
    <x v="13"/>
    <n v="5"/>
    <n v="2734.95"/>
    <n v="13674.75"/>
    <x v="91"/>
    <n v="11350.0425"/>
    <x v="63"/>
    <x v="2"/>
    <x v="0"/>
    <n v="-657.03"/>
  </r>
  <r>
    <n v="2028"/>
    <x v="1020"/>
    <x v="1"/>
    <x v="22"/>
    <n v="2"/>
    <m/>
    <n v="0"/>
    <x v="1"/>
    <n v="0"/>
    <x v="220"/>
    <x v="3"/>
    <x v="1"/>
    <n v="2393.48"/>
  </r>
  <r>
    <n v="2029"/>
    <x v="1021"/>
    <x v="1"/>
    <x v="15"/>
    <n v="6"/>
    <m/>
    <n v="0"/>
    <x v="1"/>
    <n v="0"/>
    <x v="409"/>
    <x v="3"/>
    <x v="1"/>
    <n v="2374.9"/>
  </r>
  <r>
    <n v="2030"/>
    <x v="1022"/>
    <x v="5"/>
    <x v="12"/>
    <n v="1"/>
    <n v="1354.69"/>
    <n v="1354.69"/>
    <x v="1"/>
    <n v="1354.69"/>
    <x v="288"/>
    <x v="4"/>
    <x v="0"/>
    <n v="-710.56"/>
  </r>
  <r>
    <n v="2031"/>
    <x v="1023"/>
    <x v="5"/>
    <x v="11"/>
    <n v="2"/>
    <m/>
    <n v="0"/>
    <x v="1"/>
    <n v="0"/>
    <x v="141"/>
    <x v="0"/>
    <x v="0"/>
    <n v="2655.01"/>
  </r>
  <r>
    <n v="2032"/>
    <x v="1024"/>
    <x v="3"/>
    <x v="7"/>
    <n v="2"/>
    <n v="4910.91"/>
    <n v="9821.82"/>
    <x v="74"/>
    <n v="-1178.618400000001"/>
    <x v="259"/>
    <x v="4"/>
    <x v="1"/>
    <n v="1419.21"/>
  </r>
  <r>
    <n v="2033"/>
    <x v="1025"/>
    <x v="5"/>
    <x v="6"/>
    <n v="6"/>
    <m/>
    <n v="0"/>
    <x v="1"/>
    <n v="0"/>
    <x v="4"/>
    <x v="4"/>
    <x v="1"/>
    <n v="63.41"/>
  </r>
  <r>
    <n v="2034"/>
    <x v="1026"/>
    <x v="3"/>
    <x v="7"/>
    <n v="6"/>
    <n v="3080.12"/>
    <n v="18480.72"/>
    <x v="42"/>
    <n v="13675.732800000002"/>
    <x v="280"/>
    <x v="4"/>
    <x v="0"/>
    <n v="-678.89"/>
  </r>
  <r>
    <n v="2035"/>
    <x v="1027"/>
    <x v="5"/>
    <x v="11"/>
    <n v="0"/>
    <n v="2516.6"/>
    <n v="0"/>
    <x v="1"/>
    <n v="0"/>
    <x v="187"/>
    <x v="1"/>
    <x v="0"/>
    <n v="2860.05"/>
  </r>
  <r>
    <n v="2036"/>
    <x v="1028"/>
    <x v="4"/>
    <x v="16"/>
    <n v="-2"/>
    <m/>
    <n v="0"/>
    <x v="122"/>
    <n v="0"/>
    <x v="4"/>
    <x v="1"/>
    <x v="0"/>
    <n v="106.67"/>
  </r>
  <r>
    <n v="2037"/>
    <x v="1029"/>
    <x v="2"/>
    <x v="17"/>
    <n v="1"/>
    <n v="1120.52"/>
    <n v="1120.52"/>
    <x v="1"/>
    <n v="1120.52"/>
    <x v="41"/>
    <x v="4"/>
    <x v="1"/>
    <n v="-523.32000000000005"/>
  </r>
  <r>
    <n v="2038"/>
    <x v="1030"/>
    <x v="4"/>
    <x v="8"/>
    <n v="2"/>
    <m/>
    <n v="0"/>
    <x v="1"/>
    <n v="0"/>
    <x v="391"/>
    <x v="4"/>
    <x v="0"/>
    <n v="2548.6"/>
  </r>
  <r>
    <n v="2039"/>
    <x v="1031"/>
    <x v="1"/>
    <x v="1"/>
    <n v="2"/>
    <n v="1802.43"/>
    <n v="3604.86"/>
    <x v="1"/>
    <n v="3604.86"/>
    <x v="4"/>
    <x v="4"/>
    <x v="1"/>
    <n v="644.27"/>
  </r>
  <r>
    <n v="2040"/>
    <x v="1032"/>
    <x v="5"/>
    <x v="19"/>
    <n v="2"/>
    <m/>
    <n v="0"/>
    <x v="94"/>
    <n v="0"/>
    <x v="117"/>
    <x v="4"/>
    <x v="0"/>
    <n v="-838.24"/>
  </r>
  <r>
    <n v="2041"/>
    <x v="1033"/>
    <x v="5"/>
    <x v="19"/>
    <n v="2"/>
    <n v="854.8"/>
    <n v="1709.6"/>
    <x v="1"/>
    <n v="1709.6"/>
    <x v="410"/>
    <x v="0"/>
    <x v="0"/>
    <n v="400.41"/>
  </r>
  <r>
    <n v="2042"/>
    <x v="1034"/>
    <x v="4"/>
    <x v="14"/>
    <n v="3"/>
    <m/>
    <n v="0"/>
    <x v="1"/>
    <n v="0"/>
    <x v="4"/>
    <x v="2"/>
    <x v="0"/>
    <n v="80.86"/>
  </r>
  <r>
    <n v="2043"/>
    <x v="1035"/>
    <x v="4"/>
    <x v="4"/>
    <n v="2"/>
    <m/>
    <n v="0"/>
    <x v="123"/>
    <n v="0"/>
    <x v="251"/>
    <x v="3"/>
    <x v="0"/>
    <n v="647.80999999999995"/>
  </r>
  <r>
    <n v="2044"/>
    <x v="1036"/>
    <x v="3"/>
    <x v="3"/>
    <n v="2"/>
    <n v="2912.48"/>
    <n v="5824.96"/>
    <x v="84"/>
    <n v="3553.2255999999998"/>
    <x v="407"/>
    <x v="2"/>
    <x v="0"/>
    <n v="565.53"/>
  </r>
  <r>
    <n v="2045"/>
    <x v="1037"/>
    <x v="1"/>
    <x v="1"/>
    <n v="-1"/>
    <n v="473.68"/>
    <n v="-473.68"/>
    <x v="1"/>
    <n v="-473.68"/>
    <x v="4"/>
    <x v="4"/>
    <x v="0"/>
    <n v="-108.72"/>
  </r>
  <r>
    <n v="2046"/>
    <x v="1038"/>
    <x v="3"/>
    <x v="21"/>
    <n v="6"/>
    <m/>
    <n v="0"/>
    <x v="0"/>
    <n v="0"/>
    <x v="411"/>
    <x v="2"/>
    <x v="0"/>
    <n v="1657.74"/>
  </r>
  <r>
    <n v="2047"/>
    <x v="1039"/>
    <x v="0"/>
    <x v="5"/>
    <n v="2"/>
    <m/>
    <n v="0"/>
    <x v="1"/>
    <n v="0"/>
    <x v="412"/>
    <x v="2"/>
    <x v="0"/>
    <n v="238.33"/>
  </r>
  <r>
    <n v="2048"/>
    <x v="1040"/>
    <x v="2"/>
    <x v="13"/>
    <n v="2"/>
    <n v="1469.13"/>
    <n v="2938.26"/>
    <x v="112"/>
    <n v="2615.0514000000003"/>
    <x v="108"/>
    <x v="1"/>
    <x v="0"/>
    <n v="665.1"/>
  </r>
  <r>
    <n v="2049"/>
    <x v="1041"/>
    <x v="2"/>
    <x v="2"/>
    <n v="-1"/>
    <n v="2462.92"/>
    <n v="-2462.92"/>
    <x v="1"/>
    <n v="-2462.92"/>
    <x v="4"/>
    <x v="0"/>
    <x v="1"/>
    <n v="825.06"/>
  </r>
  <r>
    <n v="2050"/>
    <x v="1042"/>
    <x v="4"/>
    <x v="8"/>
    <n v="1"/>
    <n v="4234.28"/>
    <n v="4234.28"/>
    <x v="75"/>
    <n v="-127.0284000000001"/>
    <x v="413"/>
    <x v="2"/>
    <x v="1"/>
    <n v="2931.9"/>
  </r>
  <r>
    <n v="2051"/>
    <x v="1043"/>
    <x v="3"/>
    <x v="7"/>
    <n v="2"/>
    <n v="1234.27"/>
    <n v="2468.54"/>
    <x v="1"/>
    <n v="2468.54"/>
    <x v="414"/>
    <x v="5"/>
    <x v="1"/>
    <n v="-911.71"/>
  </r>
  <r>
    <n v="2052"/>
    <x v="1044"/>
    <x v="5"/>
    <x v="11"/>
    <n v="3"/>
    <n v="4971.74"/>
    <n v="14915.22"/>
    <x v="1"/>
    <n v="14915.22"/>
    <x v="415"/>
    <x v="3"/>
    <x v="0"/>
    <n v="1386.13"/>
  </r>
  <r>
    <n v="2053"/>
    <x v="1045"/>
    <x v="3"/>
    <x v="3"/>
    <n v="2"/>
    <m/>
    <n v="0"/>
    <x v="1"/>
    <n v="0"/>
    <x v="416"/>
    <x v="5"/>
    <x v="1"/>
    <n v="-940.51"/>
  </r>
  <r>
    <n v="2054"/>
    <x v="1046"/>
    <x v="0"/>
    <x v="5"/>
    <n v="1"/>
    <n v="1254.77"/>
    <n v="1254.77"/>
    <x v="4"/>
    <n v="476.81259999999997"/>
    <x v="4"/>
    <x v="4"/>
    <x v="1"/>
    <n v="2605.15"/>
  </r>
  <r>
    <n v="2055"/>
    <x v="1047"/>
    <x v="0"/>
    <x v="0"/>
    <n v="2"/>
    <n v="677.9"/>
    <n v="1355.8"/>
    <x v="6"/>
    <n v="1152.4299999999998"/>
    <x v="4"/>
    <x v="4"/>
    <x v="0"/>
    <n v="-503.02"/>
  </r>
  <r>
    <n v="2056"/>
    <x v="1048"/>
    <x v="5"/>
    <x v="12"/>
    <n v="0"/>
    <m/>
    <n v="0"/>
    <x v="5"/>
    <n v="0"/>
    <x v="379"/>
    <x v="1"/>
    <x v="1"/>
    <n v="2544.92"/>
  </r>
  <r>
    <n v="2057"/>
    <x v="1049"/>
    <x v="0"/>
    <x v="20"/>
    <n v="-1"/>
    <m/>
    <n v="0"/>
    <x v="1"/>
    <n v="0"/>
    <x v="226"/>
    <x v="2"/>
    <x v="1"/>
    <n v="17.96"/>
  </r>
  <r>
    <n v="2058"/>
    <x v="1050"/>
    <x v="4"/>
    <x v="14"/>
    <n v="6"/>
    <m/>
    <n v="0"/>
    <x v="1"/>
    <n v="0"/>
    <x v="363"/>
    <x v="1"/>
    <x v="1"/>
    <n v="-248.49"/>
  </r>
  <r>
    <n v="2059"/>
    <x v="1051"/>
    <x v="3"/>
    <x v="7"/>
    <n v="3"/>
    <n v="1193.03"/>
    <n v="3579.09"/>
    <x v="1"/>
    <n v="3579.09"/>
    <x v="28"/>
    <x v="2"/>
    <x v="1"/>
    <n v="-876.83"/>
  </r>
  <r>
    <n v="2060"/>
    <x v="1052"/>
    <x v="4"/>
    <x v="8"/>
    <n v="2"/>
    <n v="3725.58"/>
    <n v="7451.16"/>
    <x v="1"/>
    <n v="7451.16"/>
    <x v="34"/>
    <x v="5"/>
    <x v="0"/>
    <n v="2544.5500000000002"/>
  </r>
  <r>
    <n v="2061"/>
    <x v="1053"/>
    <x v="2"/>
    <x v="17"/>
    <n v="2"/>
    <n v="2077.8200000000002"/>
    <n v="4155.6400000000003"/>
    <x v="1"/>
    <n v="4155.6400000000003"/>
    <x v="357"/>
    <x v="5"/>
    <x v="0"/>
    <n v="2769.01"/>
  </r>
  <r>
    <n v="2062"/>
    <x v="1054"/>
    <x v="5"/>
    <x v="6"/>
    <n v="4"/>
    <n v="2975.64"/>
    <n v="11902.56"/>
    <x v="1"/>
    <n v="11902.56"/>
    <x v="337"/>
    <x v="4"/>
    <x v="0"/>
    <n v="-644.20000000000005"/>
  </r>
  <r>
    <n v="2063"/>
    <x v="1055"/>
    <x v="4"/>
    <x v="8"/>
    <n v="5"/>
    <m/>
    <n v="0"/>
    <x v="1"/>
    <n v="0"/>
    <x v="13"/>
    <x v="5"/>
    <x v="0"/>
    <n v="2549.09"/>
  </r>
  <r>
    <n v="2064"/>
    <x v="1056"/>
    <x v="3"/>
    <x v="7"/>
    <n v="2"/>
    <n v="702.86"/>
    <n v="1405.72"/>
    <x v="1"/>
    <n v="1405.72"/>
    <x v="226"/>
    <x v="5"/>
    <x v="0"/>
    <n v="577.70000000000005"/>
  </r>
  <r>
    <n v="2065"/>
    <x v="1057"/>
    <x v="4"/>
    <x v="4"/>
    <n v="4"/>
    <n v="3590.4"/>
    <n v="14361.6"/>
    <x v="1"/>
    <n v="14361.6"/>
    <x v="9"/>
    <x v="3"/>
    <x v="0"/>
    <n v="-86.57"/>
  </r>
  <r>
    <n v="2066"/>
    <x v="1058"/>
    <x v="0"/>
    <x v="9"/>
    <n v="0"/>
    <m/>
    <n v="0"/>
    <x v="1"/>
    <n v="0"/>
    <x v="4"/>
    <x v="2"/>
    <x v="0"/>
    <n v="2532.65"/>
  </r>
  <r>
    <n v="2067"/>
    <x v="506"/>
    <x v="5"/>
    <x v="12"/>
    <n v="2"/>
    <n v="2975.33"/>
    <n v="5950.66"/>
    <x v="1"/>
    <n v="5950.66"/>
    <x v="153"/>
    <x v="4"/>
    <x v="0"/>
    <n v="1035.45"/>
  </r>
  <r>
    <n v="2068"/>
    <x v="1059"/>
    <x v="2"/>
    <x v="13"/>
    <n v="2"/>
    <m/>
    <n v="0"/>
    <x v="111"/>
    <n v="0"/>
    <x v="417"/>
    <x v="0"/>
    <x v="0"/>
    <n v="999.95"/>
  </r>
  <r>
    <n v="2069"/>
    <x v="1060"/>
    <x v="4"/>
    <x v="16"/>
    <n v="2"/>
    <n v="3266.05"/>
    <n v="6532.1"/>
    <x v="1"/>
    <n v="6532.1"/>
    <x v="216"/>
    <x v="2"/>
    <x v="0"/>
    <n v="1188.8900000000001"/>
  </r>
  <r>
    <n v="2070"/>
    <x v="1061"/>
    <x v="3"/>
    <x v="7"/>
    <n v="-1"/>
    <m/>
    <n v="0"/>
    <x v="1"/>
    <n v="0"/>
    <x v="236"/>
    <x v="2"/>
    <x v="1"/>
    <n v="614.38"/>
  </r>
  <r>
    <n v="2071"/>
    <x v="1062"/>
    <x v="2"/>
    <x v="13"/>
    <n v="2"/>
    <m/>
    <n v="0"/>
    <x v="98"/>
    <n v="0"/>
    <x v="75"/>
    <x v="2"/>
    <x v="0"/>
    <n v="1522.69"/>
  </r>
  <r>
    <n v="2072"/>
    <x v="1063"/>
    <x v="5"/>
    <x v="6"/>
    <n v="2"/>
    <m/>
    <n v="0"/>
    <x v="1"/>
    <n v="0"/>
    <x v="78"/>
    <x v="4"/>
    <x v="0"/>
    <n v="-670.22"/>
  </r>
  <r>
    <n v="2073"/>
    <x v="1064"/>
    <x v="2"/>
    <x v="13"/>
    <n v="3"/>
    <n v="1596.02"/>
    <n v="4788.0599999999995"/>
    <x v="1"/>
    <n v="4788.0599999999995"/>
    <x v="4"/>
    <x v="1"/>
    <x v="0"/>
    <n v="-217.87"/>
  </r>
  <r>
    <n v="2074"/>
    <x v="1065"/>
    <x v="3"/>
    <x v="23"/>
    <n v="4"/>
    <m/>
    <n v="0"/>
    <x v="1"/>
    <n v="0"/>
    <x v="363"/>
    <x v="3"/>
    <x v="0"/>
    <n v="2628.09"/>
  </r>
  <r>
    <n v="2075"/>
    <x v="1066"/>
    <x v="1"/>
    <x v="1"/>
    <n v="0"/>
    <m/>
    <n v="0"/>
    <x v="1"/>
    <n v="0"/>
    <x v="4"/>
    <x v="3"/>
    <x v="1"/>
    <n v="1501.9"/>
  </r>
  <r>
    <n v="2076"/>
    <x v="1067"/>
    <x v="2"/>
    <x v="10"/>
    <n v="2"/>
    <n v="1151.07"/>
    <n v="2302.14"/>
    <x v="1"/>
    <n v="2302.14"/>
    <x v="418"/>
    <x v="3"/>
    <x v="1"/>
    <n v="854.02"/>
  </r>
  <r>
    <n v="2077"/>
    <x v="1068"/>
    <x v="4"/>
    <x v="8"/>
    <n v="2"/>
    <m/>
    <n v="0"/>
    <x v="1"/>
    <n v="0"/>
    <x v="4"/>
    <x v="5"/>
    <x v="0"/>
    <n v="1082.3599999999999"/>
  </r>
  <r>
    <n v="2078"/>
    <x v="1069"/>
    <x v="4"/>
    <x v="14"/>
    <n v="2"/>
    <n v="1760.85"/>
    <n v="3521.7"/>
    <x v="1"/>
    <n v="3521.7"/>
    <x v="305"/>
    <x v="5"/>
    <x v="0"/>
    <n v="-542.71"/>
  </r>
  <r>
    <n v="2079"/>
    <x v="1070"/>
    <x v="3"/>
    <x v="3"/>
    <n v="2"/>
    <n v="2778.14"/>
    <n v="5556.28"/>
    <x v="124"/>
    <n v="-1166.8187999999998"/>
    <x v="4"/>
    <x v="1"/>
    <x v="1"/>
    <n v="516.66"/>
  </r>
  <r>
    <n v="2080"/>
    <x v="1071"/>
    <x v="3"/>
    <x v="21"/>
    <n v="3"/>
    <n v="4672.3500000000004"/>
    <n v="14017.050000000001"/>
    <x v="1"/>
    <n v="14017.050000000001"/>
    <x v="4"/>
    <x v="0"/>
    <x v="1"/>
    <n v="991.5"/>
  </r>
  <r>
    <n v="2081"/>
    <x v="1072"/>
    <x v="4"/>
    <x v="4"/>
    <n v="2"/>
    <n v="2809.88"/>
    <n v="5619.76"/>
    <x v="1"/>
    <n v="5619.76"/>
    <x v="334"/>
    <x v="1"/>
    <x v="1"/>
    <n v="1063.07"/>
  </r>
  <r>
    <n v="2082"/>
    <x v="1073"/>
    <x v="1"/>
    <x v="22"/>
    <n v="5"/>
    <m/>
    <n v="0"/>
    <x v="23"/>
    <n v="0"/>
    <x v="419"/>
    <x v="2"/>
    <x v="0"/>
    <n v="-208.43"/>
  </r>
  <r>
    <n v="2083"/>
    <x v="1074"/>
    <x v="2"/>
    <x v="13"/>
    <n v="2"/>
    <n v="2105.7399999999998"/>
    <n v="4211.4799999999996"/>
    <x v="94"/>
    <n v="2779.5767999999994"/>
    <x v="59"/>
    <x v="0"/>
    <x v="0"/>
    <n v="-907.84"/>
  </r>
  <r>
    <n v="2084"/>
    <x v="1075"/>
    <x v="1"/>
    <x v="1"/>
    <n v="6"/>
    <n v="4068.82"/>
    <n v="24412.920000000002"/>
    <x v="1"/>
    <n v="24412.920000000002"/>
    <x v="307"/>
    <x v="1"/>
    <x v="1"/>
    <n v="719.55"/>
  </r>
  <r>
    <n v="2085"/>
    <x v="1076"/>
    <x v="1"/>
    <x v="18"/>
    <n v="2"/>
    <m/>
    <n v="0"/>
    <x v="1"/>
    <n v="0"/>
    <x v="420"/>
    <x v="4"/>
    <x v="0"/>
    <n v="212.87"/>
  </r>
  <r>
    <n v="1015"/>
    <x v="1077"/>
    <x v="4"/>
    <x v="14"/>
    <n v="2"/>
    <m/>
    <n v="0"/>
    <x v="1"/>
    <n v="0"/>
    <x v="4"/>
    <x v="5"/>
    <x v="0"/>
    <n v="2811.88"/>
  </r>
  <r>
    <n v="2087"/>
    <x v="1078"/>
    <x v="5"/>
    <x v="12"/>
    <n v="2"/>
    <n v="2610.84"/>
    <n v="5221.68"/>
    <x v="1"/>
    <n v="5221.68"/>
    <x v="416"/>
    <x v="3"/>
    <x v="0"/>
    <n v="-904.51"/>
  </r>
  <r>
    <n v="2088"/>
    <x v="1079"/>
    <x v="2"/>
    <x v="10"/>
    <n v="2"/>
    <m/>
    <n v="0"/>
    <x v="1"/>
    <n v="0"/>
    <x v="395"/>
    <x v="2"/>
    <x v="0"/>
    <n v="1353.01"/>
  </r>
  <r>
    <n v="2089"/>
    <x v="1080"/>
    <x v="3"/>
    <x v="23"/>
    <n v="2"/>
    <n v="1571.58"/>
    <n v="3143.16"/>
    <x v="64"/>
    <n v="-534.33719999999971"/>
    <x v="421"/>
    <x v="4"/>
    <x v="1"/>
    <n v="1195.3399999999999"/>
  </r>
  <r>
    <n v="2090"/>
    <x v="1081"/>
    <x v="3"/>
    <x v="23"/>
    <n v="2"/>
    <n v="940.71"/>
    <n v="1881.42"/>
    <x v="1"/>
    <n v="1881.42"/>
    <x v="422"/>
    <x v="0"/>
    <x v="0"/>
    <n v="1317.26"/>
  </r>
  <r>
    <n v="2091"/>
    <x v="1082"/>
    <x v="5"/>
    <x v="6"/>
    <n v="2"/>
    <n v="1323.61"/>
    <n v="2647.22"/>
    <x v="1"/>
    <n v="2647.22"/>
    <x v="276"/>
    <x v="0"/>
    <x v="0"/>
    <n v="-63.42"/>
  </r>
  <r>
    <n v="2092"/>
    <x v="1083"/>
    <x v="2"/>
    <x v="17"/>
    <n v="2"/>
    <n v="4459.2"/>
    <n v="8918.4"/>
    <x v="1"/>
    <n v="8918.4"/>
    <x v="124"/>
    <x v="0"/>
    <x v="0"/>
    <n v="1008.2"/>
  </r>
  <r>
    <n v="2093"/>
    <x v="1084"/>
    <x v="4"/>
    <x v="14"/>
    <n v="2"/>
    <n v="3163.95"/>
    <n v="6327.9"/>
    <x v="1"/>
    <n v="6327.9"/>
    <x v="423"/>
    <x v="2"/>
    <x v="0"/>
    <n v="1267.01"/>
  </r>
  <r>
    <n v="2094"/>
    <x v="1085"/>
    <x v="5"/>
    <x v="19"/>
    <n v="5"/>
    <m/>
    <n v="0"/>
    <x v="1"/>
    <n v="0"/>
    <x v="4"/>
    <x v="2"/>
    <x v="0"/>
    <n v="-769.25"/>
  </r>
  <r>
    <n v="2095"/>
    <x v="1086"/>
    <x v="4"/>
    <x v="14"/>
    <n v="2"/>
    <n v="3809.95"/>
    <n v="7619.9"/>
    <x v="14"/>
    <n v="-2209.7710000000002"/>
    <x v="424"/>
    <x v="3"/>
    <x v="1"/>
    <n v="1252.0999999999999"/>
  </r>
  <r>
    <n v="2096"/>
    <x v="1087"/>
    <x v="0"/>
    <x v="20"/>
    <n v="2"/>
    <n v="3906.15"/>
    <n v="7812.3"/>
    <x v="7"/>
    <n v="-1484.3369999999995"/>
    <x v="4"/>
    <x v="3"/>
    <x v="1"/>
    <n v="2500.02"/>
  </r>
  <r>
    <n v="2097"/>
    <x v="1088"/>
    <x v="4"/>
    <x v="14"/>
    <n v="3"/>
    <m/>
    <n v="0"/>
    <x v="46"/>
    <n v="0"/>
    <x v="404"/>
    <x v="2"/>
    <x v="0"/>
    <n v="2870.13"/>
  </r>
  <r>
    <n v="2098"/>
    <x v="1089"/>
    <x v="1"/>
    <x v="15"/>
    <n v="2"/>
    <n v="431.18"/>
    <n v="862.36"/>
    <x v="1"/>
    <n v="862.36"/>
    <x v="257"/>
    <x v="5"/>
    <x v="0"/>
    <n v="-183.75"/>
  </r>
  <r>
    <n v="2099"/>
    <x v="1090"/>
    <x v="4"/>
    <x v="4"/>
    <n v="2"/>
    <n v="1806.81"/>
    <n v="3613.62"/>
    <x v="9"/>
    <n v="-361.36200000000031"/>
    <x v="34"/>
    <x v="1"/>
    <x v="0"/>
    <n v="591.13"/>
  </r>
  <r>
    <n v="2100"/>
    <x v="1091"/>
    <x v="2"/>
    <x v="13"/>
    <n v="-1"/>
    <n v="1528.94"/>
    <n v="-1528.94"/>
    <x v="93"/>
    <n v="-504.55019999999996"/>
    <x v="369"/>
    <x v="0"/>
    <x v="1"/>
    <n v="2294.33"/>
  </r>
  <r>
    <n v="2101"/>
    <x v="1092"/>
    <x v="0"/>
    <x v="5"/>
    <n v="2"/>
    <n v="1020.85"/>
    <n v="2041.7"/>
    <x v="1"/>
    <n v="2041.7"/>
    <x v="146"/>
    <x v="1"/>
    <x v="1"/>
    <n v="-881.4"/>
  </r>
  <r>
    <n v="2102"/>
    <x v="1093"/>
    <x v="5"/>
    <x v="11"/>
    <n v="2"/>
    <n v="2581.29"/>
    <n v="5162.58"/>
    <x v="1"/>
    <n v="5162.58"/>
    <x v="199"/>
    <x v="4"/>
    <x v="1"/>
    <n v="2300.14"/>
  </r>
  <r>
    <n v="2103"/>
    <x v="1094"/>
    <x v="0"/>
    <x v="0"/>
    <n v="3"/>
    <m/>
    <n v="0"/>
    <x v="10"/>
    <n v="0"/>
    <x v="4"/>
    <x v="1"/>
    <x v="0"/>
    <n v="-244.29"/>
  </r>
  <r>
    <n v="2104"/>
    <x v="1095"/>
    <x v="4"/>
    <x v="16"/>
    <n v="2"/>
    <n v="2211.06"/>
    <n v="4422.12"/>
    <x v="42"/>
    <n v="3272.3687999999997"/>
    <x v="163"/>
    <x v="4"/>
    <x v="0"/>
    <n v="2143.54"/>
  </r>
  <r>
    <n v="2105"/>
    <x v="1096"/>
    <x v="2"/>
    <x v="13"/>
    <n v="-1"/>
    <n v="3643.63"/>
    <n v="-3643.63"/>
    <x v="17"/>
    <n v="-2951.3403000000003"/>
    <x v="425"/>
    <x v="2"/>
    <x v="0"/>
    <n v="375.4"/>
  </r>
  <r>
    <n v="2106"/>
    <x v="1097"/>
    <x v="5"/>
    <x v="12"/>
    <n v="4"/>
    <n v="4312.21"/>
    <n v="17248.84"/>
    <x v="1"/>
    <n v="17248.84"/>
    <x v="426"/>
    <x v="0"/>
    <x v="0"/>
    <n v="552.97"/>
  </r>
  <r>
    <n v="2107"/>
    <x v="1098"/>
    <x v="5"/>
    <x v="12"/>
    <n v="2"/>
    <n v="2686.05"/>
    <n v="5372.1"/>
    <x v="1"/>
    <n v="5372.1"/>
    <x v="63"/>
    <x v="4"/>
    <x v="0"/>
    <n v="2643.46"/>
  </r>
  <r>
    <n v="2108"/>
    <x v="1099"/>
    <x v="0"/>
    <x v="9"/>
    <n v="0"/>
    <n v="2538.3000000000002"/>
    <n v="0"/>
    <x v="1"/>
    <n v="0"/>
    <x v="270"/>
    <x v="2"/>
    <x v="1"/>
    <n v="-820.5"/>
  </r>
  <r>
    <n v="2109"/>
    <x v="1100"/>
    <x v="0"/>
    <x v="5"/>
    <n v="2"/>
    <n v="1901.86"/>
    <n v="3803.72"/>
    <x v="1"/>
    <n v="3803.72"/>
    <x v="4"/>
    <x v="5"/>
    <x v="0"/>
    <n v="-906.34"/>
  </r>
  <r>
    <n v="2110"/>
    <x v="1101"/>
    <x v="4"/>
    <x v="14"/>
    <n v="2"/>
    <m/>
    <n v="0"/>
    <x v="124"/>
    <n v="0"/>
    <x v="4"/>
    <x v="2"/>
    <x v="0"/>
    <n v="2891.52"/>
  </r>
  <r>
    <n v="2111"/>
    <x v="1102"/>
    <x v="2"/>
    <x v="17"/>
    <n v="2"/>
    <n v="1934.02"/>
    <n v="3868.04"/>
    <x v="1"/>
    <n v="3868.04"/>
    <x v="427"/>
    <x v="0"/>
    <x v="1"/>
    <n v="897.11"/>
  </r>
  <r>
    <n v="2112"/>
    <x v="1103"/>
    <x v="0"/>
    <x v="20"/>
    <n v="0"/>
    <n v="3248.14"/>
    <n v="0"/>
    <x v="21"/>
    <n v="0"/>
    <x v="4"/>
    <x v="5"/>
    <x v="1"/>
    <n v="1536.06"/>
  </r>
  <r>
    <n v="2113"/>
    <x v="1104"/>
    <x v="5"/>
    <x v="6"/>
    <n v="2"/>
    <m/>
    <n v="0"/>
    <x v="1"/>
    <n v="0"/>
    <x v="4"/>
    <x v="0"/>
    <x v="1"/>
    <n v="2500.56"/>
  </r>
  <r>
    <n v="2114"/>
    <x v="1105"/>
    <x v="5"/>
    <x v="11"/>
    <n v="2"/>
    <m/>
    <n v="0"/>
    <x v="1"/>
    <n v="0"/>
    <x v="92"/>
    <x v="2"/>
    <x v="0"/>
    <n v="1393.12"/>
  </r>
  <r>
    <n v="2115"/>
    <x v="1106"/>
    <x v="0"/>
    <x v="9"/>
    <n v="2"/>
    <m/>
    <n v="0"/>
    <x v="1"/>
    <n v="0"/>
    <x v="59"/>
    <x v="1"/>
    <x v="0"/>
    <n v="2100.4"/>
  </r>
  <r>
    <n v="2116"/>
    <x v="1107"/>
    <x v="3"/>
    <x v="23"/>
    <n v="2"/>
    <m/>
    <n v="0"/>
    <x v="1"/>
    <n v="0"/>
    <x v="428"/>
    <x v="1"/>
    <x v="1"/>
    <n v="87.1"/>
  </r>
  <r>
    <n v="2117"/>
    <x v="1108"/>
    <x v="5"/>
    <x v="11"/>
    <n v="2"/>
    <n v="4767.37"/>
    <n v="9534.74"/>
    <x v="1"/>
    <n v="9534.74"/>
    <x v="429"/>
    <x v="0"/>
    <x v="1"/>
    <n v="2319.14"/>
  </r>
  <r>
    <n v="2118"/>
    <x v="527"/>
    <x v="5"/>
    <x v="12"/>
    <n v="3"/>
    <n v="3952.46"/>
    <n v="11857.380000000001"/>
    <x v="83"/>
    <n v="2134.3284000000008"/>
    <x v="412"/>
    <x v="3"/>
    <x v="0"/>
    <n v="836.99"/>
  </r>
  <r>
    <n v="2119"/>
    <x v="1109"/>
    <x v="2"/>
    <x v="2"/>
    <n v="2"/>
    <n v="537.77"/>
    <n v="1075.54"/>
    <x v="67"/>
    <n v="1021.7629999999999"/>
    <x v="364"/>
    <x v="3"/>
    <x v="0"/>
    <n v="2205.16"/>
  </r>
  <r>
    <n v="2120"/>
    <x v="1110"/>
    <x v="3"/>
    <x v="21"/>
    <n v="2"/>
    <n v="3321.05"/>
    <n v="6642.1"/>
    <x v="65"/>
    <n v="-332.1050000000003"/>
    <x v="382"/>
    <x v="4"/>
    <x v="0"/>
    <n v="-196.89"/>
  </r>
  <r>
    <n v="2121"/>
    <x v="1111"/>
    <x v="0"/>
    <x v="5"/>
    <n v="2"/>
    <n v="1209.8"/>
    <n v="2419.6"/>
    <x v="1"/>
    <n v="2419.6"/>
    <x v="430"/>
    <x v="3"/>
    <x v="0"/>
    <n v="959.68"/>
  </r>
  <r>
    <n v="2122"/>
    <x v="1112"/>
    <x v="0"/>
    <x v="9"/>
    <n v="0"/>
    <m/>
    <n v="0"/>
    <x v="91"/>
    <n v="0"/>
    <x v="4"/>
    <x v="0"/>
    <x v="0"/>
    <n v="1823.39"/>
  </r>
  <r>
    <n v="2123"/>
    <x v="1113"/>
    <x v="1"/>
    <x v="15"/>
    <n v="2"/>
    <m/>
    <n v="0"/>
    <x v="65"/>
    <n v="0"/>
    <x v="257"/>
    <x v="0"/>
    <x v="0"/>
    <n v="36.15"/>
  </r>
  <r>
    <n v="2124"/>
    <x v="1114"/>
    <x v="4"/>
    <x v="16"/>
    <n v="2"/>
    <n v="3881.17"/>
    <n v="7762.34"/>
    <x v="1"/>
    <n v="7762.34"/>
    <x v="184"/>
    <x v="2"/>
    <x v="1"/>
    <n v="339.88"/>
  </r>
  <r>
    <n v="2125"/>
    <x v="1115"/>
    <x v="0"/>
    <x v="0"/>
    <n v="2"/>
    <m/>
    <n v="0"/>
    <x v="47"/>
    <n v="0"/>
    <x v="253"/>
    <x v="4"/>
    <x v="1"/>
    <n v="301.27999999999997"/>
  </r>
  <r>
    <n v="2126"/>
    <x v="1116"/>
    <x v="3"/>
    <x v="7"/>
    <n v="2"/>
    <n v="820.88"/>
    <n v="1641.76"/>
    <x v="86"/>
    <n v="1625.3424"/>
    <x v="4"/>
    <x v="1"/>
    <x v="0"/>
    <n v="597.78"/>
  </r>
  <r>
    <n v="2127"/>
    <x v="1117"/>
    <x v="3"/>
    <x v="7"/>
    <n v="6"/>
    <m/>
    <n v="0"/>
    <x v="8"/>
    <n v="0"/>
    <x v="4"/>
    <x v="0"/>
    <x v="1"/>
    <n v="2427.9499999999998"/>
  </r>
  <r>
    <n v="2128"/>
    <x v="1118"/>
    <x v="3"/>
    <x v="21"/>
    <n v="2"/>
    <m/>
    <n v="0"/>
    <x v="52"/>
    <n v="0"/>
    <x v="335"/>
    <x v="3"/>
    <x v="0"/>
    <n v="-237.66"/>
  </r>
  <r>
    <n v="1003"/>
    <x v="1119"/>
    <x v="1"/>
    <x v="1"/>
    <n v="2"/>
    <n v="1685.85"/>
    <n v="3371.7"/>
    <x v="1"/>
    <n v="3371.7"/>
    <x v="4"/>
    <x v="4"/>
    <x v="0"/>
    <n v="-298.61"/>
  </r>
  <r>
    <n v="2130"/>
    <x v="1120"/>
    <x v="1"/>
    <x v="15"/>
    <n v="2"/>
    <m/>
    <n v="0"/>
    <x v="125"/>
    <n v="0"/>
    <x v="180"/>
    <x v="5"/>
    <x v="0"/>
    <n v="1132.58"/>
  </r>
  <r>
    <n v="2131"/>
    <x v="1121"/>
    <x v="2"/>
    <x v="13"/>
    <n v="1"/>
    <m/>
    <n v="0"/>
    <x v="1"/>
    <n v="0"/>
    <x v="70"/>
    <x v="5"/>
    <x v="0"/>
    <n v="1004.43"/>
  </r>
  <r>
    <n v="2132"/>
    <x v="1122"/>
    <x v="0"/>
    <x v="0"/>
    <n v="4"/>
    <m/>
    <n v="0"/>
    <x v="1"/>
    <n v="0"/>
    <x v="300"/>
    <x v="2"/>
    <x v="1"/>
    <n v="680.91"/>
  </r>
  <r>
    <n v="2133"/>
    <x v="1123"/>
    <x v="4"/>
    <x v="14"/>
    <n v="5"/>
    <m/>
    <n v="0"/>
    <x v="1"/>
    <n v="0"/>
    <x v="4"/>
    <x v="5"/>
    <x v="1"/>
    <n v="1700.16"/>
  </r>
  <r>
    <n v="2134"/>
    <x v="1124"/>
    <x v="3"/>
    <x v="7"/>
    <n v="2"/>
    <m/>
    <n v="0"/>
    <x v="69"/>
    <n v="0"/>
    <x v="67"/>
    <x v="3"/>
    <x v="0"/>
    <n v="-986.66"/>
  </r>
  <r>
    <n v="2135"/>
    <x v="1125"/>
    <x v="5"/>
    <x v="6"/>
    <n v="2"/>
    <n v="857.22"/>
    <n v="1714.44"/>
    <x v="1"/>
    <n v="1714.44"/>
    <x v="431"/>
    <x v="0"/>
    <x v="1"/>
    <n v="-806.63"/>
  </r>
  <r>
    <n v="2136"/>
    <x v="1126"/>
    <x v="4"/>
    <x v="16"/>
    <n v="2"/>
    <m/>
    <n v="0"/>
    <x v="1"/>
    <n v="0"/>
    <x v="141"/>
    <x v="4"/>
    <x v="0"/>
    <n v="1627.8"/>
  </r>
  <r>
    <n v="2137"/>
    <x v="1127"/>
    <x v="4"/>
    <x v="14"/>
    <n v="2"/>
    <m/>
    <n v="0"/>
    <x v="100"/>
    <n v="0"/>
    <x v="140"/>
    <x v="5"/>
    <x v="0"/>
    <n v="1626.26"/>
  </r>
  <r>
    <n v="2138"/>
    <x v="1128"/>
    <x v="2"/>
    <x v="17"/>
    <n v="-2"/>
    <n v="2426.77"/>
    <n v="-4853.54"/>
    <x v="1"/>
    <n v="-4853.54"/>
    <x v="4"/>
    <x v="0"/>
    <x v="1"/>
    <n v="1446.08"/>
  </r>
  <r>
    <n v="1028"/>
    <x v="1129"/>
    <x v="3"/>
    <x v="3"/>
    <n v="2"/>
    <n v="4142.54"/>
    <n v="8285.08"/>
    <x v="1"/>
    <n v="8285.08"/>
    <x v="357"/>
    <x v="1"/>
    <x v="1"/>
    <n v="2453.9899999999998"/>
  </r>
  <r>
    <n v="2140"/>
    <x v="1130"/>
    <x v="2"/>
    <x v="2"/>
    <n v="2"/>
    <n v="2191.65"/>
    <n v="4383.3"/>
    <x v="1"/>
    <n v="4383.3"/>
    <x v="93"/>
    <x v="2"/>
    <x v="0"/>
    <n v="2424.2399999999998"/>
  </r>
  <r>
    <n v="2141"/>
    <x v="1131"/>
    <x v="1"/>
    <x v="22"/>
    <n v="2"/>
    <n v="1762.28"/>
    <n v="3524.56"/>
    <x v="1"/>
    <n v="3524.56"/>
    <x v="111"/>
    <x v="0"/>
    <x v="1"/>
    <n v="2590.56"/>
  </r>
  <r>
    <n v="2142"/>
    <x v="1132"/>
    <x v="5"/>
    <x v="12"/>
    <n v="0"/>
    <m/>
    <n v="0"/>
    <x v="1"/>
    <n v="0"/>
    <x v="432"/>
    <x v="3"/>
    <x v="0"/>
    <n v="-780.6"/>
  </r>
  <r>
    <n v="2143"/>
    <x v="1133"/>
    <x v="5"/>
    <x v="12"/>
    <n v="3"/>
    <n v="662.52"/>
    <n v="1987.56"/>
    <x v="78"/>
    <n v="79.502400000000065"/>
    <x v="94"/>
    <x v="3"/>
    <x v="1"/>
    <n v="2079.0700000000002"/>
  </r>
  <r>
    <n v="2144"/>
    <x v="1134"/>
    <x v="1"/>
    <x v="15"/>
    <n v="-1"/>
    <n v="906.82"/>
    <n v="-906.82"/>
    <x v="11"/>
    <n v="-72.545599999999965"/>
    <x v="63"/>
    <x v="1"/>
    <x v="0"/>
    <n v="2348.39"/>
  </r>
  <r>
    <n v="2145"/>
    <x v="1135"/>
    <x v="4"/>
    <x v="8"/>
    <n v="2"/>
    <n v="3981.39"/>
    <n v="7962.78"/>
    <x v="1"/>
    <n v="7962.78"/>
    <x v="27"/>
    <x v="5"/>
    <x v="0"/>
    <n v="1764.19"/>
  </r>
  <r>
    <n v="2146"/>
    <x v="1136"/>
    <x v="3"/>
    <x v="21"/>
    <n v="2"/>
    <m/>
    <n v="0"/>
    <x v="88"/>
    <n v="0"/>
    <x v="133"/>
    <x v="2"/>
    <x v="1"/>
    <n v="2062.9699999999998"/>
  </r>
  <r>
    <n v="2147"/>
    <x v="1137"/>
    <x v="5"/>
    <x v="19"/>
    <n v="2"/>
    <m/>
    <n v="0"/>
    <x v="2"/>
    <n v="0"/>
    <x v="433"/>
    <x v="1"/>
    <x v="0"/>
    <n v="2299.86"/>
  </r>
  <r>
    <n v="2148"/>
    <x v="1138"/>
    <x v="4"/>
    <x v="8"/>
    <n v="2"/>
    <m/>
    <n v="0"/>
    <x v="1"/>
    <n v="0"/>
    <x v="4"/>
    <x v="4"/>
    <x v="0"/>
    <n v="-771.3"/>
  </r>
  <r>
    <n v="2149"/>
    <x v="1139"/>
    <x v="1"/>
    <x v="22"/>
    <n v="2"/>
    <n v="2865.62"/>
    <n v="5731.24"/>
    <x v="121"/>
    <n v="1146.2479999999996"/>
    <x v="364"/>
    <x v="1"/>
    <x v="1"/>
    <n v="-660.8"/>
  </r>
  <r>
    <n v="1033"/>
    <x v="1140"/>
    <x v="4"/>
    <x v="4"/>
    <n v="2"/>
    <m/>
    <n v="0"/>
    <x v="1"/>
    <n v="0"/>
    <x v="286"/>
    <x v="0"/>
    <x v="0"/>
    <n v="-299.77999999999997"/>
  </r>
  <r>
    <n v="2151"/>
    <x v="1141"/>
    <x v="5"/>
    <x v="11"/>
    <n v="2"/>
    <n v="927.64"/>
    <n v="1855.28"/>
    <x v="1"/>
    <n v="1855.28"/>
    <x v="119"/>
    <x v="5"/>
    <x v="0"/>
    <n v="-742.69"/>
  </r>
  <r>
    <n v="2152"/>
    <x v="1142"/>
    <x v="2"/>
    <x v="2"/>
    <n v="0"/>
    <m/>
    <n v="0"/>
    <x v="1"/>
    <n v="0"/>
    <x v="4"/>
    <x v="1"/>
    <x v="1"/>
    <n v="-865.58"/>
  </r>
  <r>
    <n v="2153"/>
    <x v="639"/>
    <x v="1"/>
    <x v="22"/>
    <n v="0"/>
    <n v="3131.57"/>
    <n v="0"/>
    <x v="1"/>
    <n v="0"/>
    <x v="155"/>
    <x v="1"/>
    <x v="0"/>
    <n v="517.22"/>
  </r>
  <r>
    <n v="2154"/>
    <x v="1143"/>
    <x v="3"/>
    <x v="3"/>
    <n v="2"/>
    <m/>
    <n v="0"/>
    <x v="1"/>
    <n v="0"/>
    <x v="365"/>
    <x v="5"/>
    <x v="1"/>
    <n v="2141.81"/>
  </r>
  <r>
    <n v="2155"/>
    <x v="1144"/>
    <x v="4"/>
    <x v="16"/>
    <n v="-2"/>
    <m/>
    <n v="0"/>
    <x v="1"/>
    <n v="0"/>
    <x v="347"/>
    <x v="3"/>
    <x v="0"/>
    <n v="-972.74"/>
  </r>
  <r>
    <n v="2156"/>
    <x v="1145"/>
    <x v="2"/>
    <x v="13"/>
    <n v="2"/>
    <m/>
    <n v="0"/>
    <x v="1"/>
    <n v="0"/>
    <x v="4"/>
    <x v="1"/>
    <x v="0"/>
    <n v="1648.67"/>
  </r>
  <r>
    <n v="2157"/>
    <x v="1146"/>
    <x v="2"/>
    <x v="10"/>
    <n v="2"/>
    <n v="2830.24"/>
    <n v="5660.48"/>
    <x v="101"/>
    <n v="169.81440000000015"/>
    <x v="4"/>
    <x v="2"/>
    <x v="1"/>
    <n v="2612.9699999999998"/>
  </r>
  <r>
    <n v="2158"/>
    <x v="1147"/>
    <x v="2"/>
    <x v="10"/>
    <n v="2"/>
    <n v="3270.68"/>
    <n v="6541.36"/>
    <x v="1"/>
    <n v="6541.36"/>
    <x v="4"/>
    <x v="2"/>
    <x v="0"/>
    <n v="-437.06"/>
  </r>
  <r>
    <n v="2159"/>
    <x v="1148"/>
    <x v="5"/>
    <x v="6"/>
    <n v="2"/>
    <m/>
    <n v="0"/>
    <x v="1"/>
    <n v="0"/>
    <x v="149"/>
    <x v="2"/>
    <x v="1"/>
    <n v="-420.95"/>
  </r>
  <r>
    <n v="2160"/>
    <x v="1149"/>
    <x v="2"/>
    <x v="17"/>
    <n v="2"/>
    <n v="2119.66"/>
    <n v="4239.32"/>
    <x v="1"/>
    <n v="4239.32"/>
    <x v="158"/>
    <x v="5"/>
    <x v="0"/>
    <n v="-203.89"/>
  </r>
  <r>
    <n v="2161"/>
    <x v="1150"/>
    <x v="3"/>
    <x v="21"/>
    <n v="2"/>
    <n v="4376.41"/>
    <n v="8752.82"/>
    <x v="1"/>
    <n v="8752.82"/>
    <x v="425"/>
    <x v="2"/>
    <x v="0"/>
    <n v="1713.03"/>
  </r>
  <r>
    <n v="2162"/>
    <x v="1151"/>
    <x v="3"/>
    <x v="21"/>
    <n v="1"/>
    <m/>
    <n v="0"/>
    <x v="58"/>
    <n v="0"/>
    <x v="141"/>
    <x v="1"/>
    <x v="0"/>
    <n v="54.58"/>
  </r>
  <r>
    <n v="2163"/>
    <x v="1152"/>
    <x v="5"/>
    <x v="11"/>
    <n v="2"/>
    <m/>
    <n v="0"/>
    <x v="1"/>
    <n v="0"/>
    <x v="322"/>
    <x v="2"/>
    <x v="0"/>
    <n v="1205.3800000000001"/>
  </r>
  <r>
    <n v="2164"/>
    <x v="1153"/>
    <x v="1"/>
    <x v="1"/>
    <n v="2"/>
    <n v="1498.8"/>
    <n v="2997.6"/>
    <x v="1"/>
    <n v="2997.6"/>
    <x v="298"/>
    <x v="0"/>
    <x v="1"/>
    <n v="-548.47"/>
  </r>
  <r>
    <n v="2165"/>
    <x v="1154"/>
    <x v="2"/>
    <x v="13"/>
    <n v="2"/>
    <m/>
    <n v="0"/>
    <x v="1"/>
    <n v="0"/>
    <x v="208"/>
    <x v="5"/>
    <x v="1"/>
    <n v="-609.52"/>
  </r>
  <r>
    <n v="2166"/>
    <x v="1155"/>
    <x v="1"/>
    <x v="22"/>
    <n v="2"/>
    <m/>
    <n v="0"/>
    <x v="16"/>
    <n v="0"/>
    <x v="4"/>
    <x v="2"/>
    <x v="0"/>
    <n v="-845.69"/>
  </r>
  <r>
    <n v="2167"/>
    <x v="1156"/>
    <x v="5"/>
    <x v="6"/>
    <n v="2"/>
    <m/>
    <n v="0"/>
    <x v="74"/>
    <n v="0"/>
    <x v="4"/>
    <x v="2"/>
    <x v="0"/>
    <n v="-258.89"/>
  </r>
  <r>
    <n v="2168"/>
    <x v="1157"/>
    <x v="3"/>
    <x v="23"/>
    <n v="-1"/>
    <n v="4446.09"/>
    <n v="-4446.09"/>
    <x v="41"/>
    <n v="-2356.4277000000002"/>
    <x v="4"/>
    <x v="1"/>
    <x v="1"/>
    <n v="784.1"/>
  </r>
  <r>
    <n v="2169"/>
    <x v="1158"/>
    <x v="0"/>
    <x v="9"/>
    <n v="2"/>
    <m/>
    <n v="0"/>
    <x v="1"/>
    <n v="0"/>
    <x v="13"/>
    <x v="1"/>
    <x v="0"/>
    <n v="1870.24"/>
  </r>
  <r>
    <n v="2170"/>
    <x v="1159"/>
    <x v="3"/>
    <x v="3"/>
    <n v="2"/>
    <n v="826.11"/>
    <n v="1652.22"/>
    <x v="38"/>
    <n v="16.522200000000016"/>
    <x v="4"/>
    <x v="0"/>
    <x v="1"/>
    <n v="2666.62"/>
  </r>
  <r>
    <n v="2171"/>
    <x v="1160"/>
    <x v="4"/>
    <x v="14"/>
    <n v="2"/>
    <n v="630.28"/>
    <n v="1260.56"/>
    <x v="1"/>
    <n v="1260.56"/>
    <x v="243"/>
    <x v="0"/>
    <x v="1"/>
    <n v="2988.11"/>
  </r>
  <r>
    <n v="2172"/>
    <x v="1161"/>
    <x v="4"/>
    <x v="14"/>
    <n v="-1"/>
    <m/>
    <n v="0"/>
    <x v="16"/>
    <n v="0"/>
    <x v="4"/>
    <x v="0"/>
    <x v="0"/>
    <n v="2497.36"/>
  </r>
  <r>
    <n v="2173"/>
    <x v="1162"/>
    <x v="2"/>
    <x v="2"/>
    <n v="2"/>
    <n v="2679.07"/>
    <n v="5358.14"/>
    <x v="1"/>
    <n v="5358.14"/>
    <x v="4"/>
    <x v="2"/>
    <x v="0"/>
    <n v="2156.1"/>
  </r>
  <r>
    <n v="2174"/>
    <x v="1163"/>
    <x v="3"/>
    <x v="3"/>
    <n v="0"/>
    <n v="810.62"/>
    <n v="0"/>
    <x v="1"/>
    <n v="0"/>
    <x v="42"/>
    <x v="3"/>
    <x v="0"/>
    <n v="-69.8"/>
  </r>
  <r>
    <n v="2175"/>
    <x v="1164"/>
    <x v="2"/>
    <x v="2"/>
    <n v="2"/>
    <m/>
    <n v="0"/>
    <x v="1"/>
    <n v="0"/>
    <x v="434"/>
    <x v="4"/>
    <x v="0"/>
    <n v="1022.04"/>
  </r>
  <r>
    <n v="2176"/>
    <x v="1165"/>
    <x v="1"/>
    <x v="1"/>
    <n v="6"/>
    <n v="4954.67"/>
    <n v="29728.02"/>
    <x v="1"/>
    <n v="29728.02"/>
    <x v="44"/>
    <x v="4"/>
    <x v="0"/>
    <n v="2176.54"/>
  </r>
  <r>
    <n v="2177"/>
    <x v="1166"/>
    <x v="2"/>
    <x v="17"/>
    <n v="3"/>
    <m/>
    <n v="0"/>
    <x v="1"/>
    <n v="0"/>
    <x v="48"/>
    <x v="1"/>
    <x v="1"/>
    <n v="-723.01"/>
  </r>
  <r>
    <n v="2178"/>
    <x v="1167"/>
    <x v="2"/>
    <x v="10"/>
    <n v="0"/>
    <m/>
    <n v="0"/>
    <x v="106"/>
    <n v="0"/>
    <x v="4"/>
    <x v="3"/>
    <x v="0"/>
    <n v="2438.98"/>
  </r>
  <r>
    <n v="2179"/>
    <x v="1168"/>
    <x v="3"/>
    <x v="3"/>
    <n v="2"/>
    <n v="466.37"/>
    <n v="932.74"/>
    <x v="1"/>
    <n v="932.74"/>
    <x v="4"/>
    <x v="4"/>
    <x v="0"/>
    <n v="2807.92"/>
  </r>
  <r>
    <n v="2180"/>
    <x v="1169"/>
    <x v="2"/>
    <x v="2"/>
    <n v="6"/>
    <m/>
    <n v="0"/>
    <x v="22"/>
    <n v="0"/>
    <x v="175"/>
    <x v="0"/>
    <x v="0"/>
    <n v="28.77"/>
  </r>
  <r>
    <n v="2181"/>
    <x v="1170"/>
    <x v="4"/>
    <x v="16"/>
    <n v="0"/>
    <m/>
    <n v="0"/>
    <x v="1"/>
    <n v="0"/>
    <x v="217"/>
    <x v="2"/>
    <x v="1"/>
    <n v="-24.93"/>
  </r>
  <r>
    <n v="2182"/>
    <x v="1171"/>
    <x v="3"/>
    <x v="23"/>
    <n v="2"/>
    <m/>
    <n v="0"/>
    <x v="26"/>
    <n v="0"/>
    <x v="280"/>
    <x v="4"/>
    <x v="1"/>
    <n v="2192.44"/>
  </r>
  <r>
    <n v="2183"/>
    <x v="1172"/>
    <x v="0"/>
    <x v="5"/>
    <n v="-2"/>
    <n v="1332.39"/>
    <n v="-2664.78"/>
    <x v="43"/>
    <n v="239.83020000000022"/>
    <x v="128"/>
    <x v="3"/>
    <x v="0"/>
    <n v="707.79"/>
  </r>
  <r>
    <n v="2184"/>
    <x v="1173"/>
    <x v="2"/>
    <x v="10"/>
    <n v="2"/>
    <n v="1001.57"/>
    <n v="2003.14"/>
    <x v="1"/>
    <n v="2003.14"/>
    <x v="35"/>
    <x v="4"/>
    <x v="0"/>
    <n v="2285.61"/>
  </r>
  <r>
    <n v="2185"/>
    <x v="1174"/>
    <x v="1"/>
    <x v="18"/>
    <n v="2"/>
    <m/>
    <n v="0"/>
    <x v="50"/>
    <n v="0"/>
    <x v="4"/>
    <x v="5"/>
    <x v="0"/>
    <n v="-810.97"/>
  </r>
  <r>
    <n v="2186"/>
    <x v="1175"/>
    <x v="3"/>
    <x v="3"/>
    <n v="2"/>
    <n v="2036.71"/>
    <n v="4073.42"/>
    <x v="1"/>
    <n v="4073.42"/>
    <x v="4"/>
    <x v="0"/>
    <x v="1"/>
    <n v="1586.84"/>
  </r>
  <r>
    <n v="2187"/>
    <x v="1176"/>
    <x v="3"/>
    <x v="21"/>
    <n v="2"/>
    <n v="2709.1"/>
    <n v="5418.2"/>
    <x v="83"/>
    <n v="975.27600000000018"/>
    <x v="435"/>
    <x v="0"/>
    <x v="0"/>
    <n v="1386.25"/>
  </r>
  <r>
    <n v="2188"/>
    <x v="1177"/>
    <x v="4"/>
    <x v="8"/>
    <n v="2"/>
    <n v="3027.66"/>
    <n v="6055.32"/>
    <x v="124"/>
    <n v="-1271.6171999999997"/>
    <x v="246"/>
    <x v="1"/>
    <x v="1"/>
    <n v="1971.23"/>
  </r>
  <r>
    <n v="2189"/>
    <x v="1178"/>
    <x v="1"/>
    <x v="18"/>
    <n v="2"/>
    <n v="968.53"/>
    <n v="1937.06"/>
    <x v="118"/>
    <n v="1355.9419999999998"/>
    <x v="33"/>
    <x v="0"/>
    <x v="0"/>
    <n v="-39.14"/>
  </r>
  <r>
    <n v="2190"/>
    <x v="1179"/>
    <x v="0"/>
    <x v="5"/>
    <n v="3"/>
    <n v="3887.5"/>
    <n v="11662.5"/>
    <x v="1"/>
    <n v="11662.5"/>
    <x v="211"/>
    <x v="0"/>
    <x v="0"/>
    <n v="1787.25"/>
  </r>
  <r>
    <n v="2191"/>
    <x v="1180"/>
    <x v="1"/>
    <x v="22"/>
    <n v="2"/>
    <n v="2267.7199999999998"/>
    <n v="4535.4399999999996"/>
    <x v="1"/>
    <n v="4535.4399999999996"/>
    <x v="2"/>
    <x v="2"/>
    <x v="0"/>
    <n v="-459.62"/>
  </r>
  <r>
    <n v="2192"/>
    <x v="879"/>
    <x v="3"/>
    <x v="3"/>
    <n v="2"/>
    <n v="4218.96"/>
    <n v="8437.92"/>
    <x v="86"/>
    <n v="8353.5408000000007"/>
    <x v="436"/>
    <x v="5"/>
    <x v="1"/>
    <n v="1483.9"/>
  </r>
  <r>
    <n v="2193"/>
    <x v="1181"/>
    <x v="1"/>
    <x v="22"/>
    <n v="2"/>
    <n v="2712.09"/>
    <n v="5424.18"/>
    <x v="1"/>
    <n v="5424.18"/>
    <x v="9"/>
    <x v="4"/>
    <x v="0"/>
    <n v="2585.79"/>
  </r>
  <r>
    <n v="2194"/>
    <x v="1182"/>
    <x v="1"/>
    <x v="22"/>
    <n v="2"/>
    <n v="3862.58"/>
    <n v="7725.16"/>
    <x v="1"/>
    <n v="7725.16"/>
    <x v="97"/>
    <x v="1"/>
    <x v="1"/>
    <n v="794.8"/>
  </r>
  <r>
    <n v="2195"/>
    <x v="1183"/>
    <x v="2"/>
    <x v="17"/>
    <n v="4"/>
    <n v="3491.26"/>
    <n v="13965.04"/>
    <x v="1"/>
    <n v="13965.04"/>
    <x v="4"/>
    <x v="4"/>
    <x v="0"/>
    <n v="-165.48"/>
  </r>
  <r>
    <n v="2196"/>
    <x v="1184"/>
    <x v="5"/>
    <x v="6"/>
    <n v="2"/>
    <n v="3655.37"/>
    <n v="7310.74"/>
    <x v="1"/>
    <n v="7310.74"/>
    <x v="397"/>
    <x v="4"/>
    <x v="0"/>
    <n v="-844.23"/>
  </r>
  <r>
    <n v="2197"/>
    <x v="1185"/>
    <x v="5"/>
    <x v="19"/>
    <n v="2"/>
    <m/>
    <n v="0"/>
    <x v="1"/>
    <n v="0"/>
    <x v="158"/>
    <x v="1"/>
    <x v="0"/>
    <n v="24.78"/>
  </r>
  <r>
    <n v="1004"/>
    <x v="1186"/>
    <x v="2"/>
    <x v="2"/>
    <n v="2"/>
    <m/>
    <n v="0"/>
    <x v="46"/>
    <n v="0"/>
    <x v="351"/>
    <x v="5"/>
    <x v="0"/>
    <n v="968.3"/>
  </r>
  <r>
    <n v="2199"/>
    <x v="1187"/>
    <x v="4"/>
    <x v="4"/>
    <n v="6"/>
    <m/>
    <n v="0"/>
    <x v="1"/>
    <n v="0"/>
    <x v="437"/>
    <x v="4"/>
    <x v="1"/>
    <n v="595.51"/>
  </r>
  <r>
    <n v="2200"/>
    <x v="1188"/>
    <x v="4"/>
    <x v="8"/>
    <n v="-1"/>
    <n v="1346.11"/>
    <n v="-1346.11"/>
    <x v="122"/>
    <n v="-376.91079999999999"/>
    <x v="4"/>
    <x v="2"/>
    <x v="0"/>
    <n v="-763.62"/>
  </r>
  <r>
    <n v="2201"/>
    <x v="1189"/>
    <x v="5"/>
    <x v="12"/>
    <n v="-1"/>
    <m/>
    <n v="0"/>
    <x v="1"/>
    <n v="0"/>
    <x v="4"/>
    <x v="3"/>
    <x v="1"/>
    <n v="1897.16"/>
  </r>
  <r>
    <n v="2202"/>
    <x v="1190"/>
    <x v="0"/>
    <x v="9"/>
    <n v="2"/>
    <m/>
    <n v="0"/>
    <x v="11"/>
    <n v="0"/>
    <x v="438"/>
    <x v="1"/>
    <x v="0"/>
    <n v="2505.39"/>
  </r>
  <r>
    <n v="2203"/>
    <x v="1191"/>
    <x v="5"/>
    <x v="11"/>
    <n v="2"/>
    <n v="1611.02"/>
    <n v="3222.04"/>
    <x v="1"/>
    <n v="3222.04"/>
    <x v="179"/>
    <x v="5"/>
    <x v="0"/>
    <n v="2610.41"/>
  </r>
  <r>
    <n v="2204"/>
    <x v="1192"/>
    <x v="2"/>
    <x v="10"/>
    <n v="2"/>
    <m/>
    <n v="0"/>
    <x v="1"/>
    <n v="0"/>
    <x v="4"/>
    <x v="3"/>
    <x v="0"/>
    <n v="-875.95"/>
  </r>
  <r>
    <n v="2205"/>
    <x v="1193"/>
    <x v="4"/>
    <x v="16"/>
    <n v="-2"/>
    <m/>
    <n v="0"/>
    <x v="50"/>
    <n v="0"/>
    <x v="439"/>
    <x v="4"/>
    <x v="0"/>
    <n v="-512.13"/>
  </r>
  <r>
    <n v="2206"/>
    <x v="748"/>
    <x v="3"/>
    <x v="21"/>
    <n v="2"/>
    <n v="2349.3000000000002"/>
    <n v="4698.6000000000004"/>
    <x v="21"/>
    <n v="3852.8520000000008"/>
    <x v="202"/>
    <x v="0"/>
    <x v="0"/>
    <n v="2503.67"/>
  </r>
  <r>
    <n v="2207"/>
    <x v="1194"/>
    <x v="3"/>
    <x v="21"/>
    <n v="3"/>
    <n v="2146.0700000000002"/>
    <n v="6438.2100000000009"/>
    <x v="1"/>
    <n v="6438.2100000000009"/>
    <x v="4"/>
    <x v="5"/>
    <x v="0"/>
    <n v="199.99"/>
  </r>
  <r>
    <n v="2208"/>
    <x v="1195"/>
    <x v="3"/>
    <x v="7"/>
    <n v="2"/>
    <m/>
    <n v="0"/>
    <x v="1"/>
    <n v="0"/>
    <x v="241"/>
    <x v="5"/>
    <x v="0"/>
    <n v="2347.0500000000002"/>
  </r>
  <r>
    <n v="2209"/>
    <x v="1196"/>
    <x v="4"/>
    <x v="4"/>
    <n v="-2"/>
    <m/>
    <n v="0"/>
    <x v="104"/>
    <n v="0"/>
    <x v="4"/>
    <x v="5"/>
    <x v="1"/>
    <n v="2492.83"/>
  </r>
  <r>
    <n v="2210"/>
    <x v="1197"/>
    <x v="1"/>
    <x v="15"/>
    <n v="2"/>
    <n v="4368.12"/>
    <n v="8736.24"/>
    <x v="1"/>
    <n v="8736.24"/>
    <x v="74"/>
    <x v="0"/>
    <x v="0"/>
    <n v="2434.6"/>
  </r>
  <r>
    <n v="2211"/>
    <x v="1198"/>
    <x v="1"/>
    <x v="18"/>
    <n v="2"/>
    <m/>
    <n v="0"/>
    <x v="16"/>
    <n v="0"/>
    <x v="440"/>
    <x v="2"/>
    <x v="1"/>
    <n v="902.93"/>
  </r>
  <r>
    <n v="1031"/>
    <x v="1199"/>
    <x v="4"/>
    <x v="8"/>
    <n v="2"/>
    <m/>
    <n v="0"/>
    <x v="39"/>
    <n v="0"/>
    <x v="4"/>
    <x v="0"/>
    <x v="0"/>
    <n v="652.37"/>
  </r>
  <r>
    <n v="2213"/>
    <x v="1200"/>
    <x v="0"/>
    <x v="5"/>
    <n v="2"/>
    <n v="2543.9299999999998"/>
    <n v="5087.8599999999997"/>
    <x v="1"/>
    <n v="5087.8599999999997"/>
    <x v="110"/>
    <x v="1"/>
    <x v="0"/>
    <n v="2177.8200000000002"/>
  </r>
  <r>
    <n v="2214"/>
    <x v="1201"/>
    <x v="5"/>
    <x v="6"/>
    <n v="-1"/>
    <n v="4854.03"/>
    <n v="-4854.03"/>
    <x v="1"/>
    <n v="-4854.03"/>
    <x v="253"/>
    <x v="1"/>
    <x v="0"/>
    <n v="864.66"/>
  </r>
  <r>
    <n v="2215"/>
    <x v="1202"/>
    <x v="1"/>
    <x v="22"/>
    <n v="-2"/>
    <n v="442.41"/>
    <n v="-884.82"/>
    <x v="1"/>
    <n v="-884.82"/>
    <x v="4"/>
    <x v="0"/>
    <x v="0"/>
    <n v="1628.57"/>
  </r>
  <r>
    <n v="2216"/>
    <x v="1203"/>
    <x v="1"/>
    <x v="18"/>
    <n v="3"/>
    <m/>
    <n v="0"/>
    <x v="67"/>
    <n v="0"/>
    <x v="270"/>
    <x v="5"/>
    <x v="0"/>
    <n v="-823.2"/>
  </r>
  <r>
    <n v="2217"/>
    <x v="1204"/>
    <x v="0"/>
    <x v="20"/>
    <n v="2"/>
    <n v="1540.5"/>
    <n v="3081"/>
    <x v="1"/>
    <n v="3081"/>
    <x v="149"/>
    <x v="2"/>
    <x v="1"/>
    <n v="1385.44"/>
  </r>
  <r>
    <n v="2218"/>
    <x v="1205"/>
    <x v="0"/>
    <x v="20"/>
    <n v="2"/>
    <m/>
    <n v="0"/>
    <x v="1"/>
    <n v="0"/>
    <x v="94"/>
    <x v="4"/>
    <x v="1"/>
    <n v="2077.4899999999998"/>
  </r>
  <r>
    <n v="2219"/>
    <x v="1206"/>
    <x v="4"/>
    <x v="16"/>
    <n v="4"/>
    <n v="2403.9499999999998"/>
    <n v="9615.7999999999993"/>
    <x v="1"/>
    <n v="9615.7999999999993"/>
    <x v="85"/>
    <x v="2"/>
    <x v="0"/>
    <n v="858.23"/>
  </r>
  <r>
    <n v="2220"/>
    <x v="1207"/>
    <x v="3"/>
    <x v="3"/>
    <n v="-1"/>
    <n v="2170.71"/>
    <n v="-2170.71"/>
    <x v="39"/>
    <n v="-911.69820000000016"/>
    <x v="180"/>
    <x v="3"/>
    <x v="0"/>
    <n v="1689.68"/>
  </r>
  <r>
    <n v="2221"/>
    <x v="415"/>
    <x v="4"/>
    <x v="4"/>
    <n v="2"/>
    <n v="1762.23"/>
    <n v="3524.46"/>
    <x v="1"/>
    <n v="3524.46"/>
    <x v="273"/>
    <x v="3"/>
    <x v="0"/>
    <n v="-736.69"/>
  </r>
  <r>
    <n v="2222"/>
    <x v="1208"/>
    <x v="5"/>
    <x v="12"/>
    <n v="2"/>
    <n v="2161.8000000000002"/>
    <n v="4323.6000000000004"/>
    <x v="1"/>
    <n v="4323.6000000000004"/>
    <x v="4"/>
    <x v="1"/>
    <x v="1"/>
    <n v="1722.2"/>
  </r>
  <r>
    <n v="2223"/>
    <x v="1209"/>
    <x v="0"/>
    <x v="9"/>
    <n v="-1"/>
    <n v="3445.9"/>
    <n v="-3445.9"/>
    <x v="24"/>
    <n v="-654.72099999999989"/>
    <x v="332"/>
    <x v="2"/>
    <x v="1"/>
    <n v="2374.1799999999998"/>
  </r>
  <r>
    <n v="2224"/>
    <x v="1210"/>
    <x v="2"/>
    <x v="13"/>
    <n v="2"/>
    <m/>
    <n v="0"/>
    <x v="1"/>
    <n v="0"/>
    <x v="106"/>
    <x v="1"/>
    <x v="1"/>
    <n v="691.31"/>
  </r>
  <r>
    <n v="2225"/>
    <x v="1211"/>
    <x v="3"/>
    <x v="23"/>
    <n v="2"/>
    <m/>
    <n v="0"/>
    <x v="1"/>
    <n v="0"/>
    <x v="4"/>
    <x v="4"/>
    <x v="1"/>
    <n v="2362.63"/>
  </r>
  <r>
    <n v="2226"/>
    <x v="1212"/>
    <x v="4"/>
    <x v="16"/>
    <n v="2"/>
    <n v="4484.13"/>
    <n v="8968.26"/>
    <x v="109"/>
    <n v="1883.3345999999997"/>
    <x v="4"/>
    <x v="4"/>
    <x v="1"/>
    <n v="821.13"/>
  </r>
  <r>
    <n v="2227"/>
    <x v="1213"/>
    <x v="5"/>
    <x v="12"/>
    <n v="2"/>
    <m/>
    <n v="0"/>
    <x v="1"/>
    <n v="0"/>
    <x v="35"/>
    <x v="5"/>
    <x v="1"/>
    <n v="2766.36"/>
  </r>
  <r>
    <n v="2228"/>
    <x v="1214"/>
    <x v="3"/>
    <x v="7"/>
    <n v="2"/>
    <m/>
    <n v="0"/>
    <x v="47"/>
    <n v="0"/>
    <x v="64"/>
    <x v="4"/>
    <x v="0"/>
    <n v="-980.89"/>
  </r>
  <r>
    <n v="2229"/>
    <x v="1215"/>
    <x v="1"/>
    <x v="1"/>
    <n v="1"/>
    <m/>
    <n v="0"/>
    <x v="1"/>
    <n v="0"/>
    <x v="132"/>
    <x v="2"/>
    <x v="0"/>
    <n v="623.39"/>
  </r>
  <r>
    <n v="2230"/>
    <x v="1216"/>
    <x v="5"/>
    <x v="12"/>
    <n v="3"/>
    <n v="4524.6400000000003"/>
    <n v="13573.920000000002"/>
    <x v="43"/>
    <n v="-1221.6528000000012"/>
    <x v="183"/>
    <x v="5"/>
    <x v="0"/>
    <n v="1906"/>
  </r>
  <r>
    <n v="2231"/>
    <x v="1217"/>
    <x v="2"/>
    <x v="2"/>
    <n v="2"/>
    <m/>
    <n v="0"/>
    <x v="1"/>
    <n v="0"/>
    <x v="358"/>
    <x v="1"/>
    <x v="0"/>
    <n v="1342.52"/>
  </r>
  <r>
    <n v="2232"/>
    <x v="1218"/>
    <x v="5"/>
    <x v="6"/>
    <n v="2"/>
    <m/>
    <n v="0"/>
    <x v="1"/>
    <n v="0"/>
    <x v="441"/>
    <x v="0"/>
    <x v="1"/>
    <n v="2915.25"/>
  </r>
  <r>
    <n v="2233"/>
    <x v="1219"/>
    <x v="5"/>
    <x v="6"/>
    <n v="1"/>
    <n v="4604.8500000000004"/>
    <n v="4604.8500000000004"/>
    <x v="50"/>
    <n v="3960.1710000000003"/>
    <x v="427"/>
    <x v="4"/>
    <x v="0"/>
    <n v="-627.16999999999996"/>
  </r>
  <r>
    <n v="2234"/>
    <x v="1220"/>
    <x v="3"/>
    <x v="23"/>
    <n v="-2"/>
    <m/>
    <n v="0"/>
    <x v="1"/>
    <n v="0"/>
    <x v="442"/>
    <x v="2"/>
    <x v="0"/>
    <n v="-345.61"/>
  </r>
  <r>
    <n v="2235"/>
    <x v="1221"/>
    <x v="0"/>
    <x v="9"/>
    <n v="2"/>
    <m/>
    <n v="0"/>
    <x v="1"/>
    <n v="0"/>
    <x v="366"/>
    <x v="2"/>
    <x v="0"/>
    <n v="-758.81"/>
  </r>
  <r>
    <n v="2236"/>
    <x v="1222"/>
    <x v="2"/>
    <x v="13"/>
    <n v="2"/>
    <n v="2420.16"/>
    <n v="4840.32"/>
    <x v="1"/>
    <n v="4840.32"/>
    <x v="441"/>
    <x v="0"/>
    <x v="0"/>
    <n v="2707.96"/>
  </r>
  <r>
    <n v="2237"/>
    <x v="1223"/>
    <x v="5"/>
    <x v="6"/>
    <n v="1"/>
    <n v="2496.17"/>
    <n v="2496.17"/>
    <x v="44"/>
    <n v="-274.57870000000025"/>
    <x v="295"/>
    <x v="5"/>
    <x v="0"/>
    <n v="810.82"/>
  </r>
  <r>
    <n v="2238"/>
    <x v="1224"/>
    <x v="4"/>
    <x v="14"/>
    <n v="-1"/>
    <n v="4808.3500000000004"/>
    <n v="-4808.3500000000004"/>
    <x v="1"/>
    <n v="-4808.3500000000004"/>
    <x v="225"/>
    <x v="1"/>
    <x v="0"/>
    <n v="-282.61"/>
  </r>
  <r>
    <n v="2239"/>
    <x v="1225"/>
    <x v="3"/>
    <x v="21"/>
    <n v="2"/>
    <n v="3427.66"/>
    <n v="6855.32"/>
    <x v="1"/>
    <n v="6855.32"/>
    <x v="299"/>
    <x v="2"/>
    <x v="0"/>
    <n v="1441.3"/>
  </r>
  <r>
    <n v="2240"/>
    <x v="1226"/>
    <x v="4"/>
    <x v="8"/>
    <n v="2"/>
    <n v="4205.29"/>
    <n v="8410.58"/>
    <x v="1"/>
    <n v="8410.58"/>
    <x v="336"/>
    <x v="4"/>
    <x v="0"/>
    <n v="2223.0300000000002"/>
  </r>
  <r>
    <n v="2241"/>
    <x v="1227"/>
    <x v="4"/>
    <x v="8"/>
    <n v="2"/>
    <n v="1600.21"/>
    <n v="3200.42"/>
    <x v="1"/>
    <n v="3200.42"/>
    <x v="4"/>
    <x v="5"/>
    <x v="0"/>
    <n v="2933.71"/>
  </r>
  <r>
    <n v="2242"/>
    <x v="1228"/>
    <x v="2"/>
    <x v="2"/>
    <n v="6"/>
    <n v="4450.17"/>
    <n v="26701.02"/>
    <x v="1"/>
    <n v="26701.02"/>
    <x v="374"/>
    <x v="1"/>
    <x v="0"/>
    <n v="-96.55"/>
  </r>
  <r>
    <n v="2243"/>
    <x v="1229"/>
    <x v="3"/>
    <x v="23"/>
    <n v="2"/>
    <m/>
    <n v="0"/>
    <x v="1"/>
    <n v="0"/>
    <x v="198"/>
    <x v="1"/>
    <x v="0"/>
    <n v="773.71"/>
  </r>
  <r>
    <n v="2244"/>
    <x v="1230"/>
    <x v="5"/>
    <x v="11"/>
    <n v="3"/>
    <m/>
    <n v="0"/>
    <x v="4"/>
    <n v="0"/>
    <x v="237"/>
    <x v="3"/>
    <x v="0"/>
    <n v="-835.44"/>
  </r>
  <r>
    <n v="2245"/>
    <x v="1231"/>
    <x v="4"/>
    <x v="16"/>
    <n v="2"/>
    <m/>
    <n v="0"/>
    <x v="81"/>
    <n v="0"/>
    <x v="4"/>
    <x v="3"/>
    <x v="1"/>
    <n v="1929.41"/>
  </r>
  <r>
    <n v="2246"/>
    <x v="1232"/>
    <x v="2"/>
    <x v="13"/>
    <n v="2"/>
    <m/>
    <n v="0"/>
    <x v="120"/>
    <n v="0"/>
    <x v="443"/>
    <x v="5"/>
    <x v="0"/>
    <n v="311.56"/>
  </r>
  <r>
    <n v="2247"/>
    <x v="1233"/>
    <x v="5"/>
    <x v="12"/>
    <n v="2"/>
    <n v="2209.4899999999998"/>
    <n v="4418.9799999999996"/>
    <x v="1"/>
    <n v="4418.9799999999996"/>
    <x v="187"/>
    <x v="4"/>
    <x v="0"/>
    <n v="1944.57"/>
  </r>
  <r>
    <n v="2248"/>
    <x v="1234"/>
    <x v="0"/>
    <x v="9"/>
    <n v="2"/>
    <m/>
    <n v="0"/>
    <x v="1"/>
    <n v="0"/>
    <x v="41"/>
    <x v="4"/>
    <x v="0"/>
    <n v="-306.57"/>
  </r>
  <r>
    <n v="2249"/>
    <x v="1235"/>
    <x v="5"/>
    <x v="11"/>
    <n v="1"/>
    <m/>
    <n v="0"/>
    <x v="1"/>
    <n v="0"/>
    <x v="444"/>
    <x v="2"/>
    <x v="0"/>
    <n v="-132.08000000000001"/>
  </r>
  <r>
    <n v="2250"/>
    <x v="1236"/>
    <x v="1"/>
    <x v="1"/>
    <n v="2"/>
    <m/>
    <n v="0"/>
    <x v="64"/>
    <n v="0"/>
    <x v="4"/>
    <x v="2"/>
    <x v="0"/>
    <n v="2594.9"/>
  </r>
  <r>
    <n v="2251"/>
    <x v="1237"/>
    <x v="5"/>
    <x v="6"/>
    <n v="2"/>
    <n v="1438.68"/>
    <n v="2877.36"/>
    <x v="1"/>
    <n v="2877.36"/>
    <x v="357"/>
    <x v="1"/>
    <x v="0"/>
    <n v="2726.72"/>
  </r>
  <r>
    <n v="2252"/>
    <x v="1238"/>
    <x v="2"/>
    <x v="10"/>
    <n v="6"/>
    <n v="2755.37"/>
    <n v="16532.22"/>
    <x v="1"/>
    <n v="16532.22"/>
    <x v="365"/>
    <x v="0"/>
    <x v="0"/>
    <n v="613.59"/>
  </r>
  <r>
    <n v="2253"/>
    <x v="1239"/>
    <x v="1"/>
    <x v="22"/>
    <n v="0"/>
    <m/>
    <n v="0"/>
    <x v="1"/>
    <n v="0"/>
    <x v="39"/>
    <x v="3"/>
    <x v="1"/>
    <n v="716.99"/>
  </r>
  <r>
    <n v="2254"/>
    <x v="1240"/>
    <x v="4"/>
    <x v="14"/>
    <n v="2"/>
    <n v="4998.91"/>
    <n v="9997.82"/>
    <x v="1"/>
    <n v="9997.82"/>
    <x v="4"/>
    <x v="2"/>
    <x v="1"/>
    <n v="-396.07"/>
  </r>
  <r>
    <n v="2255"/>
    <x v="1241"/>
    <x v="3"/>
    <x v="3"/>
    <n v="-2"/>
    <n v="4478.08"/>
    <n v="-8956.16"/>
    <x v="1"/>
    <n v="-8956.16"/>
    <x v="80"/>
    <x v="5"/>
    <x v="0"/>
    <n v="2090.38"/>
  </r>
  <r>
    <n v="2256"/>
    <x v="1242"/>
    <x v="5"/>
    <x v="6"/>
    <n v="2"/>
    <n v="535.27"/>
    <n v="1070.54"/>
    <x v="1"/>
    <n v="1070.54"/>
    <x v="160"/>
    <x v="1"/>
    <x v="1"/>
    <n v="1787.52"/>
  </r>
  <r>
    <n v="2257"/>
    <x v="1243"/>
    <x v="5"/>
    <x v="19"/>
    <n v="2"/>
    <m/>
    <n v="0"/>
    <x v="1"/>
    <n v="0"/>
    <x v="208"/>
    <x v="2"/>
    <x v="0"/>
    <n v="980.52"/>
  </r>
  <r>
    <n v="2258"/>
    <x v="1244"/>
    <x v="2"/>
    <x v="17"/>
    <n v="2"/>
    <m/>
    <n v="0"/>
    <x v="1"/>
    <n v="0"/>
    <x v="180"/>
    <x v="3"/>
    <x v="0"/>
    <n v="1444.24"/>
  </r>
  <r>
    <n v="2259"/>
    <x v="1245"/>
    <x v="2"/>
    <x v="10"/>
    <n v="1"/>
    <n v="2854.4"/>
    <n v="2854.4"/>
    <x v="1"/>
    <n v="2854.4"/>
    <x v="188"/>
    <x v="3"/>
    <x v="0"/>
    <n v="542.9"/>
  </r>
  <r>
    <n v="2260"/>
    <x v="1246"/>
    <x v="0"/>
    <x v="20"/>
    <n v="-1"/>
    <m/>
    <n v="0"/>
    <x v="1"/>
    <n v="0"/>
    <x v="4"/>
    <x v="4"/>
    <x v="1"/>
    <n v="2697.38"/>
  </r>
  <r>
    <n v="1039"/>
    <x v="1247"/>
    <x v="4"/>
    <x v="4"/>
    <n v="2"/>
    <n v="633.23"/>
    <n v="1266.46"/>
    <x v="1"/>
    <n v="1266.46"/>
    <x v="230"/>
    <x v="2"/>
    <x v="0"/>
    <n v="232.2"/>
  </r>
  <r>
    <n v="2262"/>
    <x v="1248"/>
    <x v="5"/>
    <x v="11"/>
    <n v="2"/>
    <n v="2957.48"/>
    <n v="5914.96"/>
    <x v="1"/>
    <n v="5914.96"/>
    <x v="445"/>
    <x v="4"/>
    <x v="1"/>
    <n v="2744.25"/>
  </r>
  <r>
    <n v="2263"/>
    <x v="1249"/>
    <x v="2"/>
    <x v="17"/>
    <n v="2"/>
    <n v="4252.05"/>
    <n v="8504.1"/>
    <x v="1"/>
    <n v="8504.1"/>
    <x v="4"/>
    <x v="2"/>
    <x v="0"/>
    <n v="-396.3"/>
  </r>
  <r>
    <n v="2264"/>
    <x v="1250"/>
    <x v="0"/>
    <x v="9"/>
    <n v="2"/>
    <n v="3541.13"/>
    <n v="7082.26"/>
    <x v="19"/>
    <n v="-2124.6780000000003"/>
    <x v="4"/>
    <x v="4"/>
    <x v="1"/>
    <n v="1711.99"/>
  </r>
  <r>
    <n v="2265"/>
    <x v="1251"/>
    <x v="4"/>
    <x v="16"/>
    <n v="2"/>
    <m/>
    <n v="0"/>
    <x v="126"/>
    <n v="0"/>
    <x v="422"/>
    <x v="3"/>
    <x v="0"/>
    <n v="399.62"/>
  </r>
  <r>
    <n v="1036"/>
    <x v="1252"/>
    <x v="2"/>
    <x v="17"/>
    <n v="6"/>
    <n v="4437.4399999999996"/>
    <n v="26624.639999999999"/>
    <x v="1"/>
    <n v="26624.639999999999"/>
    <x v="230"/>
    <x v="5"/>
    <x v="0"/>
    <n v="493.76"/>
  </r>
  <r>
    <n v="2267"/>
    <x v="1253"/>
    <x v="5"/>
    <x v="6"/>
    <n v="2"/>
    <m/>
    <n v="0"/>
    <x v="1"/>
    <n v="0"/>
    <x v="4"/>
    <x v="3"/>
    <x v="0"/>
    <n v="1989.07"/>
  </r>
  <r>
    <n v="2268"/>
    <x v="1254"/>
    <x v="2"/>
    <x v="2"/>
    <n v="2"/>
    <n v="4300.05"/>
    <n v="8600.1"/>
    <x v="1"/>
    <n v="8600.1"/>
    <x v="446"/>
    <x v="3"/>
    <x v="1"/>
    <n v="-589.26"/>
  </r>
  <r>
    <n v="2269"/>
    <x v="1255"/>
    <x v="2"/>
    <x v="17"/>
    <n v="2"/>
    <m/>
    <n v="0"/>
    <x v="1"/>
    <n v="0"/>
    <x v="75"/>
    <x v="4"/>
    <x v="0"/>
    <n v="742.42"/>
  </r>
  <r>
    <n v="2270"/>
    <x v="1256"/>
    <x v="5"/>
    <x v="11"/>
    <n v="1"/>
    <n v="2710.56"/>
    <n v="2710.56"/>
    <x v="1"/>
    <n v="2710.56"/>
    <x v="256"/>
    <x v="0"/>
    <x v="0"/>
    <n v="2414.4699999999998"/>
  </r>
  <r>
    <n v="2271"/>
    <x v="1257"/>
    <x v="3"/>
    <x v="7"/>
    <n v="2"/>
    <m/>
    <n v="0"/>
    <x v="125"/>
    <n v="0"/>
    <x v="4"/>
    <x v="3"/>
    <x v="0"/>
    <n v="999.24"/>
  </r>
  <r>
    <n v="2272"/>
    <x v="1258"/>
    <x v="1"/>
    <x v="22"/>
    <n v="4"/>
    <n v="2540.1"/>
    <n v="10160.4"/>
    <x v="70"/>
    <n v="3149.7240000000006"/>
    <x v="129"/>
    <x v="2"/>
    <x v="0"/>
    <n v="733.06"/>
  </r>
  <r>
    <n v="2273"/>
    <x v="1259"/>
    <x v="0"/>
    <x v="20"/>
    <n v="6"/>
    <n v="3064.21"/>
    <n v="18385.260000000002"/>
    <x v="1"/>
    <n v="18385.260000000002"/>
    <x v="447"/>
    <x v="0"/>
    <x v="0"/>
    <n v="1569.81"/>
  </r>
  <r>
    <n v="2274"/>
    <x v="1260"/>
    <x v="5"/>
    <x v="12"/>
    <n v="2"/>
    <n v="4456.6499999999996"/>
    <n v="8913.2999999999993"/>
    <x v="1"/>
    <n v="8913.2999999999993"/>
    <x v="424"/>
    <x v="0"/>
    <x v="0"/>
    <n v="9.1"/>
  </r>
  <r>
    <n v="2275"/>
    <x v="1261"/>
    <x v="3"/>
    <x v="7"/>
    <n v="2"/>
    <n v="3899.04"/>
    <n v="7798.08"/>
    <x v="1"/>
    <n v="7798.08"/>
    <x v="448"/>
    <x v="1"/>
    <x v="0"/>
    <n v="2522.67"/>
  </r>
  <r>
    <n v="2276"/>
    <x v="1262"/>
    <x v="1"/>
    <x v="22"/>
    <n v="3"/>
    <m/>
    <n v="0"/>
    <x v="1"/>
    <n v="0"/>
    <x v="449"/>
    <x v="3"/>
    <x v="0"/>
    <n v="2089.34"/>
  </r>
  <r>
    <n v="2277"/>
    <x v="1263"/>
    <x v="0"/>
    <x v="5"/>
    <n v="3"/>
    <m/>
    <n v="0"/>
    <x v="1"/>
    <n v="0"/>
    <x v="341"/>
    <x v="2"/>
    <x v="0"/>
    <n v="2814.36"/>
  </r>
  <r>
    <n v="2278"/>
    <x v="1264"/>
    <x v="5"/>
    <x v="6"/>
    <n v="2"/>
    <m/>
    <n v="0"/>
    <x v="104"/>
    <n v="0"/>
    <x v="205"/>
    <x v="2"/>
    <x v="1"/>
    <n v="787.23"/>
  </r>
  <r>
    <n v="2279"/>
    <x v="1265"/>
    <x v="3"/>
    <x v="3"/>
    <n v="6"/>
    <n v="3294.21"/>
    <n v="19765.260000000002"/>
    <x v="106"/>
    <n v="2174.1786000000002"/>
    <x v="424"/>
    <x v="5"/>
    <x v="0"/>
    <n v="1874.46"/>
  </r>
  <r>
    <n v="2280"/>
    <x v="1266"/>
    <x v="4"/>
    <x v="4"/>
    <n v="2"/>
    <m/>
    <n v="0"/>
    <x v="23"/>
    <n v="0"/>
    <x v="243"/>
    <x v="1"/>
    <x v="0"/>
    <n v="-230.98"/>
  </r>
  <r>
    <n v="2281"/>
    <x v="1267"/>
    <x v="5"/>
    <x v="6"/>
    <n v="-1"/>
    <m/>
    <n v="0"/>
    <x v="1"/>
    <n v="0"/>
    <x v="4"/>
    <x v="5"/>
    <x v="0"/>
    <n v="-308.93"/>
  </r>
  <r>
    <n v="2282"/>
    <x v="1268"/>
    <x v="1"/>
    <x v="1"/>
    <n v="2"/>
    <n v="491.36"/>
    <n v="982.72"/>
    <x v="32"/>
    <n v="569.97760000000005"/>
    <x v="283"/>
    <x v="0"/>
    <x v="0"/>
    <n v="1231.3699999999999"/>
  </r>
  <r>
    <n v="2283"/>
    <x v="1269"/>
    <x v="1"/>
    <x v="18"/>
    <n v="6"/>
    <m/>
    <n v="0"/>
    <x v="8"/>
    <n v="0"/>
    <x v="69"/>
    <x v="3"/>
    <x v="0"/>
    <n v="2079.0100000000002"/>
  </r>
  <r>
    <n v="2284"/>
    <x v="1270"/>
    <x v="3"/>
    <x v="23"/>
    <n v="2"/>
    <n v="3736.2"/>
    <n v="7472.4"/>
    <x v="1"/>
    <n v="7472.4"/>
    <x v="138"/>
    <x v="0"/>
    <x v="0"/>
    <n v="-440.98"/>
  </r>
  <r>
    <n v="2285"/>
    <x v="1271"/>
    <x v="2"/>
    <x v="2"/>
    <n v="2"/>
    <n v="2287.67"/>
    <n v="4575.34"/>
    <x v="10"/>
    <n v="2013.1495999999997"/>
    <x v="450"/>
    <x v="4"/>
    <x v="1"/>
    <n v="-827.66"/>
  </r>
  <r>
    <n v="2286"/>
    <x v="1272"/>
    <x v="1"/>
    <x v="18"/>
    <n v="1"/>
    <m/>
    <n v="0"/>
    <x v="1"/>
    <n v="0"/>
    <x v="87"/>
    <x v="5"/>
    <x v="0"/>
    <n v="-810.33"/>
  </r>
  <r>
    <n v="2287"/>
    <x v="1273"/>
    <x v="2"/>
    <x v="2"/>
    <n v="4"/>
    <m/>
    <n v="0"/>
    <x v="1"/>
    <n v="0"/>
    <x v="4"/>
    <x v="3"/>
    <x v="1"/>
    <n v="715.96"/>
  </r>
  <r>
    <n v="2288"/>
    <x v="1274"/>
    <x v="5"/>
    <x v="12"/>
    <n v="4"/>
    <m/>
    <n v="0"/>
    <x v="1"/>
    <n v="0"/>
    <x v="4"/>
    <x v="3"/>
    <x v="0"/>
    <n v="1167.1600000000001"/>
  </r>
  <r>
    <n v="2289"/>
    <x v="1275"/>
    <x v="5"/>
    <x v="6"/>
    <n v="0"/>
    <n v="3407.2"/>
    <n v="0"/>
    <x v="1"/>
    <n v="0"/>
    <x v="4"/>
    <x v="1"/>
    <x v="0"/>
    <n v="2344.16"/>
  </r>
  <r>
    <n v="2290"/>
    <x v="1276"/>
    <x v="5"/>
    <x v="6"/>
    <n v="4"/>
    <n v="1405.39"/>
    <n v="5621.56"/>
    <x v="1"/>
    <n v="5621.56"/>
    <x v="451"/>
    <x v="3"/>
    <x v="0"/>
    <n v="712.37"/>
  </r>
  <r>
    <n v="2291"/>
    <x v="1277"/>
    <x v="5"/>
    <x v="19"/>
    <n v="4"/>
    <n v="3217.82"/>
    <n v="12871.28"/>
    <x v="1"/>
    <n v="12871.28"/>
    <x v="4"/>
    <x v="3"/>
    <x v="1"/>
    <n v="2909.8"/>
  </r>
  <r>
    <n v="2292"/>
    <x v="1278"/>
    <x v="5"/>
    <x v="19"/>
    <n v="2"/>
    <n v="3974.58"/>
    <n v="7949.16"/>
    <x v="1"/>
    <n v="7949.16"/>
    <x v="236"/>
    <x v="4"/>
    <x v="0"/>
    <n v="-0.12"/>
  </r>
  <r>
    <n v="2293"/>
    <x v="1279"/>
    <x v="2"/>
    <x v="2"/>
    <n v="2"/>
    <n v="3241.57"/>
    <n v="6483.14"/>
    <x v="1"/>
    <n v="6483.14"/>
    <x v="216"/>
    <x v="1"/>
    <x v="0"/>
    <n v="2518.36"/>
  </r>
  <r>
    <n v="2294"/>
    <x v="1280"/>
    <x v="5"/>
    <x v="11"/>
    <n v="-1"/>
    <m/>
    <n v="0"/>
    <x v="117"/>
    <n v="0"/>
    <x v="452"/>
    <x v="0"/>
    <x v="0"/>
    <n v="1019.45"/>
  </r>
  <r>
    <n v="2295"/>
    <x v="1281"/>
    <x v="2"/>
    <x v="10"/>
    <n v="2"/>
    <n v="3189.35"/>
    <n v="6378.7"/>
    <x v="1"/>
    <n v="6378.7"/>
    <x v="108"/>
    <x v="3"/>
    <x v="0"/>
    <n v="-683.11"/>
  </r>
  <r>
    <n v="1014"/>
    <x v="1282"/>
    <x v="4"/>
    <x v="16"/>
    <n v="6"/>
    <m/>
    <n v="0"/>
    <x v="69"/>
    <n v="0"/>
    <x v="321"/>
    <x v="5"/>
    <x v="0"/>
    <n v="-958.22"/>
  </r>
  <r>
    <n v="2297"/>
    <x v="1283"/>
    <x v="5"/>
    <x v="19"/>
    <n v="2"/>
    <m/>
    <n v="0"/>
    <x v="69"/>
    <n v="0"/>
    <x v="107"/>
    <x v="0"/>
    <x v="0"/>
    <n v="2879.59"/>
  </r>
  <r>
    <n v="2298"/>
    <x v="1284"/>
    <x v="4"/>
    <x v="16"/>
    <n v="2"/>
    <m/>
    <n v="0"/>
    <x v="1"/>
    <n v="0"/>
    <x v="232"/>
    <x v="1"/>
    <x v="0"/>
    <n v="-778.84"/>
  </r>
  <r>
    <n v="2299"/>
    <x v="1285"/>
    <x v="4"/>
    <x v="16"/>
    <n v="-2"/>
    <m/>
    <n v="0"/>
    <x v="81"/>
    <n v="0"/>
    <x v="87"/>
    <x v="2"/>
    <x v="0"/>
    <n v="2892.16"/>
  </r>
  <r>
    <n v="2300"/>
    <x v="1286"/>
    <x v="3"/>
    <x v="7"/>
    <n v="2"/>
    <m/>
    <n v="0"/>
    <x v="1"/>
    <n v="0"/>
    <x v="4"/>
    <x v="4"/>
    <x v="0"/>
    <n v="-59.16"/>
  </r>
  <r>
    <n v="2301"/>
    <x v="1287"/>
    <x v="5"/>
    <x v="11"/>
    <n v="2"/>
    <n v="3335.27"/>
    <n v="6670.54"/>
    <x v="20"/>
    <n v="-867.17019999999934"/>
    <x v="185"/>
    <x v="2"/>
    <x v="0"/>
    <n v="1415.8"/>
  </r>
  <r>
    <n v="2302"/>
    <x v="1288"/>
    <x v="5"/>
    <x v="19"/>
    <n v="1"/>
    <m/>
    <n v="0"/>
    <x v="1"/>
    <n v="0"/>
    <x v="4"/>
    <x v="1"/>
    <x v="0"/>
    <n v="1520.6"/>
  </r>
  <r>
    <n v="2303"/>
    <x v="1289"/>
    <x v="2"/>
    <x v="10"/>
    <n v="6"/>
    <n v="2201.87"/>
    <n v="13211.22"/>
    <x v="1"/>
    <n v="13211.22"/>
    <x v="4"/>
    <x v="4"/>
    <x v="0"/>
    <n v="1919.35"/>
  </r>
  <r>
    <n v="2304"/>
    <x v="1290"/>
    <x v="3"/>
    <x v="23"/>
    <n v="2"/>
    <m/>
    <n v="0"/>
    <x v="118"/>
    <n v="0"/>
    <x v="367"/>
    <x v="5"/>
    <x v="0"/>
    <n v="2013.34"/>
  </r>
  <r>
    <n v="2305"/>
    <x v="1291"/>
    <x v="1"/>
    <x v="15"/>
    <n v="2"/>
    <n v="3476.06"/>
    <n v="6952.12"/>
    <x v="1"/>
    <n v="6952.12"/>
    <x v="4"/>
    <x v="3"/>
    <x v="0"/>
    <n v="1379.32"/>
  </r>
  <r>
    <n v="2306"/>
    <x v="1292"/>
    <x v="2"/>
    <x v="17"/>
    <n v="-2"/>
    <m/>
    <n v="0"/>
    <x v="23"/>
    <n v="0"/>
    <x v="453"/>
    <x v="1"/>
    <x v="0"/>
    <n v="2166.71"/>
  </r>
  <r>
    <n v="2307"/>
    <x v="1293"/>
    <x v="2"/>
    <x v="17"/>
    <n v="2"/>
    <m/>
    <n v="0"/>
    <x v="1"/>
    <n v="0"/>
    <x v="454"/>
    <x v="5"/>
    <x v="0"/>
    <n v="1998.57"/>
  </r>
  <r>
    <n v="2308"/>
    <x v="1294"/>
    <x v="5"/>
    <x v="11"/>
    <n v="2"/>
    <n v="3978.48"/>
    <n v="7956.96"/>
    <x v="1"/>
    <n v="7956.96"/>
    <x v="93"/>
    <x v="0"/>
    <x v="0"/>
    <n v="929.92"/>
  </r>
  <r>
    <n v="2309"/>
    <x v="1295"/>
    <x v="0"/>
    <x v="5"/>
    <n v="1"/>
    <m/>
    <n v="0"/>
    <x v="1"/>
    <n v="0"/>
    <x v="4"/>
    <x v="0"/>
    <x v="1"/>
    <n v="-464.01"/>
  </r>
  <r>
    <n v="1003"/>
    <x v="1296"/>
    <x v="0"/>
    <x v="9"/>
    <n v="-1"/>
    <n v="4426.82"/>
    <n v="-4426.82"/>
    <x v="1"/>
    <n v="-4426.82"/>
    <x v="304"/>
    <x v="4"/>
    <x v="0"/>
    <n v="2095.4499999999998"/>
  </r>
  <r>
    <n v="1034"/>
    <x v="1297"/>
    <x v="1"/>
    <x v="22"/>
    <n v="2"/>
    <n v="3062.79"/>
    <n v="6125.58"/>
    <x v="1"/>
    <n v="6125.58"/>
    <x v="282"/>
    <x v="4"/>
    <x v="0"/>
    <n v="1135.53"/>
  </r>
  <r>
    <n v="2312"/>
    <x v="1298"/>
    <x v="0"/>
    <x v="9"/>
    <n v="2"/>
    <n v="2688.08"/>
    <n v="5376.16"/>
    <x v="1"/>
    <n v="5376.16"/>
    <x v="370"/>
    <x v="5"/>
    <x v="1"/>
    <n v="1913.21"/>
  </r>
  <r>
    <n v="2313"/>
    <x v="1299"/>
    <x v="5"/>
    <x v="6"/>
    <n v="2"/>
    <n v="2440.38"/>
    <n v="4880.76"/>
    <x v="1"/>
    <n v="4880.76"/>
    <x v="455"/>
    <x v="3"/>
    <x v="1"/>
    <n v="-899.53"/>
  </r>
  <r>
    <n v="2314"/>
    <x v="1300"/>
    <x v="3"/>
    <x v="21"/>
    <n v="2"/>
    <m/>
    <n v="0"/>
    <x v="1"/>
    <n v="0"/>
    <x v="73"/>
    <x v="5"/>
    <x v="1"/>
    <n v="949.17"/>
  </r>
  <r>
    <n v="2315"/>
    <x v="1301"/>
    <x v="5"/>
    <x v="6"/>
    <n v="1"/>
    <m/>
    <n v="0"/>
    <x v="1"/>
    <n v="0"/>
    <x v="59"/>
    <x v="5"/>
    <x v="1"/>
    <n v="261.63"/>
  </r>
  <r>
    <n v="2316"/>
    <x v="1302"/>
    <x v="0"/>
    <x v="20"/>
    <n v="4"/>
    <n v="1529.48"/>
    <n v="6117.92"/>
    <x v="1"/>
    <n v="6117.92"/>
    <x v="456"/>
    <x v="2"/>
    <x v="0"/>
    <n v="1325.56"/>
  </r>
  <r>
    <n v="2317"/>
    <x v="1303"/>
    <x v="2"/>
    <x v="17"/>
    <n v="2"/>
    <n v="1005.41"/>
    <n v="2010.82"/>
    <x v="1"/>
    <n v="2010.82"/>
    <x v="198"/>
    <x v="0"/>
    <x v="0"/>
    <n v="566.17999999999995"/>
  </r>
  <r>
    <n v="2318"/>
    <x v="1304"/>
    <x v="4"/>
    <x v="4"/>
    <n v="2"/>
    <m/>
    <n v="0"/>
    <x v="1"/>
    <n v="0"/>
    <x v="457"/>
    <x v="4"/>
    <x v="0"/>
    <n v="1145.48"/>
  </r>
  <r>
    <n v="2319"/>
    <x v="1305"/>
    <x v="5"/>
    <x v="12"/>
    <n v="2"/>
    <n v="881.41"/>
    <n v="1762.82"/>
    <x v="127"/>
    <n v="-387.82039999999995"/>
    <x v="4"/>
    <x v="5"/>
    <x v="0"/>
    <n v="1541.77"/>
  </r>
  <r>
    <n v="2320"/>
    <x v="1306"/>
    <x v="0"/>
    <x v="9"/>
    <n v="2"/>
    <m/>
    <n v="0"/>
    <x v="81"/>
    <n v="0"/>
    <x v="362"/>
    <x v="4"/>
    <x v="0"/>
    <n v="1960.76"/>
  </r>
  <r>
    <n v="2321"/>
    <x v="1307"/>
    <x v="2"/>
    <x v="10"/>
    <n v="2"/>
    <m/>
    <n v="0"/>
    <x v="1"/>
    <n v="0"/>
    <x v="177"/>
    <x v="5"/>
    <x v="1"/>
    <n v="1864.22"/>
  </r>
  <r>
    <n v="2322"/>
    <x v="1308"/>
    <x v="4"/>
    <x v="4"/>
    <n v="2"/>
    <m/>
    <n v="0"/>
    <x v="98"/>
    <n v="0"/>
    <x v="4"/>
    <x v="5"/>
    <x v="0"/>
    <n v="195.27"/>
  </r>
  <r>
    <n v="2323"/>
    <x v="1309"/>
    <x v="0"/>
    <x v="9"/>
    <n v="2"/>
    <m/>
    <n v="0"/>
    <x v="1"/>
    <n v="0"/>
    <x v="175"/>
    <x v="5"/>
    <x v="0"/>
    <n v="2903.66"/>
  </r>
  <r>
    <n v="1025"/>
    <x v="1310"/>
    <x v="4"/>
    <x v="8"/>
    <n v="2"/>
    <m/>
    <n v="0"/>
    <x v="1"/>
    <n v="0"/>
    <x v="4"/>
    <x v="0"/>
    <x v="1"/>
    <n v="-973.7"/>
  </r>
  <r>
    <n v="2325"/>
    <x v="1311"/>
    <x v="5"/>
    <x v="19"/>
    <n v="1"/>
    <m/>
    <n v="0"/>
    <x v="7"/>
    <n v="0"/>
    <x v="4"/>
    <x v="3"/>
    <x v="1"/>
    <n v="1634.79"/>
  </r>
  <r>
    <n v="2326"/>
    <x v="1312"/>
    <x v="2"/>
    <x v="10"/>
    <n v="2"/>
    <n v="1718.14"/>
    <n v="3436.28"/>
    <x v="1"/>
    <n v="3436.28"/>
    <x v="422"/>
    <x v="1"/>
    <x v="1"/>
    <n v="1309.05"/>
  </r>
  <r>
    <n v="2327"/>
    <x v="1313"/>
    <x v="2"/>
    <x v="13"/>
    <n v="-2"/>
    <m/>
    <n v="0"/>
    <x v="56"/>
    <n v="0"/>
    <x v="311"/>
    <x v="5"/>
    <x v="0"/>
    <n v="-357.33"/>
  </r>
  <r>
    <n v="2328"/>
    <x v="1314"/>
    <x v="0"/>
    <x v="5"/>
    <n v="2"/>
    <m/>
    <n v="0"/>
    <x v="1"/>
    <n v="0"/>
    <x v="4"/>
    <x v="2"/>
    <x v="0"/>
    <n v="1385.5"/>
  </r>
  <r>
    <n v="1024"/>
    <x v="1315"/>
    <x v="0"/>
    <x v="9"/>
    <n v="2"/>
    <n v="1580.59"/>
    <n v="3161.18"/>
    <x v="52"/>
    <n v="2908.2856000000002"/>
    <x v="80"/>
    <x v="0"/>
    <x v="1"/>
    <n v="1786.82"/>
  </r>
  <r>
    <n v="2330"/>
    <x v="1316"/>
    <x v="2"/>
    <x v="17"/>
    <n v="6"/>
    <m/>
    <n v="0"/>
    <x v="26"/>
    <n v="0"/>
    <x v="4"/>
    <x v="5"/>
    <x v="0"/>
    <n v="-44.8"/>
  </r>
  <r>
    <n v="2331"/>
    <x v="1317"/>
    <x v="5"/>
    <x v="6"/>
    <n v="-2"/>
    <n v="2967.49"/>
    <n v="-5934.98"/>
    <x v="1"/>
    <n v="-5934.98"/>
    <x v="276"/>
    <x v="5"/>
    <x v="0"/>
    <n v="1890.42"/>
  </r>
  <r>
    <n v="2332"/>
    <x v="1318"/>
    <x v="1"/>
    <x v="22"/>
    <n v="2"/>
    <n v="4066.97"/>
    <n v="8133.94"/>
    <x v="34"/>
    <n v="3334.9153999999999"/>
    <x v="183"/>
    <x v="2"/>
    <x v="0"/>
    <n v="977.09"/>
  </r>
  <r>
    <n v="2333"/>
    <x v="1319"/>
    <x v="5"/>
    <x v="6"/>
    <n v="2"/>
    <m/>
    <n v="0"/>
    <x v="1"/>
    <n v="0"/>
    <x v="458"/>
    <x v="1"/>
    <x v="0"/>
    <n v="761.35"/>
  </r>
  <r>
    <n v="2334"/>
    <x v="1320"/>
    <x v="0"/>
    <x v="20"/>
    <n v="2"/>
    <n v="2295.4899999999998"/>
    <n v="4590.9799999999996"/>
    <x v="1"/>
    <n v="4590.9799999999996"/>
    <x v="4"/>
    <x v="5"/>
    <x v="0"/>
    <n v="2846.96"/>
  </r>
  <r>
    <n v="2335"/>
    <x v="1321"/>
    <x v="3"/>
    <x v="23"/>
    <n v="1"/>
    <n v="3508.21"/>
    <n v="3508.21"/>
    <x v="4"/>
    <n v="1333.1197999999999"/>
    <x v="459"/>
    <x v="3"/>
    <x v="1"/>
    <n v="-309.14999999999998"/>
  </r>
  <r>
    <n v="2336"/>
    <x v="1322"/>
    <x v="1"/>
    <x v="22"/>
    <n v="4"/>
    <m/>
    <n v="0"/>
    <x v="1"/>
    <n v="0"/>
    <x v="13"/>
    <x v="1"/>
    <x v="0"/>
    <n v="1339.62"/>
  </r>
  <r>
    <n v="2337"/>
    <x v="1323"/>
    <x v="0"/>
    <x v="5"/>
    <n v="0"/>
    <n v="1295.44"/>
    <n v="0"/>
    <x v="1"/>
    <n v="0"/>
    <x v="209"/>
    <x v="1"/>
    <x v="0"/>
    <n v="1552.41"/>
  </r>
  <r>
    <n v="2338"/>
    <x v="1324"/>
    <x v="5"/>
    <x v="12"/>
    <n v="5"/>
    <n v="1378.76"/>
    <n v="6893.8"/>
    <x v="17"/>
    <n v="5583.9780000000001"/>
    <x v="460"/>
    <x v="2"/>
    <x v="1"/>
    <n v="2284.9699999999998"/>
  </r>
  <r>
    <n v="2339"/>
    <x v="1325"/>
    <x v="0"/>
    <x v="20"/>
    <n v="1"/>
    <n v="1289.24"/>
    <n v="1289.24"/>
    <x v="1"/>
    <n v="1289.24"/>
    <x v="135"/>
    <x v="2"/>
    <x v="1"/>
    <n v="555.48"/>
  </r>
  <r>
    <n v="2340"/>
    <x v="1326"/>
    <x v="2"/>
    <x v="13"/>
    <n v="-2"/>
    <m/>
    <n v="0"/>
    <x v="1"/>
    <n v="0"/>
    <x v="4"/>
    <x v="4"/>
    <x v="1"/>
    <n v="345.45"/>
  </r>
  <r>
    <n v="2341"/>
    <x v="1327"/>
    <x v="4"/>
    <x v="14"/>
    <n v="2"/>
    <m/>
    <n v="0"/>
    <x v="34"/>
    <n v="0"/>
    <x v="22"/>
    <x v="1"/>
    <x v="0"/>
    <n v="259.57"/>
  </r>
  <r>
    <n v="2342"/>
    <x v="1328"/>
    <x v="4"/>
    <x v="8"/>
    <n v="2"/>
    <n v="1042.4100000000001"/>
    <n v="2084.8200000000002"/>
    <x v="1"/>
    <n v="2084.8200000000002"/>
    <x v="461"/>
    <x v="1"/>
    <x v="0"/>
    <n v="2778.49"/>
  </r>
  <r>
    <n v="2343"/>
    <x v="1329"/>
    <x v="0"/>
    <x v="0"/>
    <n v="2"/>
    <m/>
    <n v="0"/>
    <x v="1"/>
    <n v="0"/>
    <x v="270"/>
    <x v="1"/>
    <x v="0"/>
    <n v="2829.76"/>
  </r>
  <r>
    <n v="2344"/>
    <x v="1330"/>
    <x v="0"/>
    <x v="0"/>
    <n v="2"/>
    <m/>
    <n v="0"/>
    <x v="43"/>
    <n v="0"/>
    <x v="102"/>
    <x v="4"/>
    <x v="0"/>
    <n v="1854.64"/>
  </r>
  <r>
    <n v="2345"/>
    <x v="1331"/>
    <x v="0"/>
    <x v="0"/>
    <n v="1"/>
    <n v="1095.03"/>
    <n v="1095.03"/>
    <x v="1"/>
    <n v="1095.03"/>
    <x v="462"/>
    <x v="1"/>
    <x v="0"/>
    <n v="1317.75"/>
  </r>
  <r>
    <n v="2346"/>
    <x v="1332"/>
    <x v="0"/>
    <x v="5"/>
    <n v="-2"/>
    <n v="4922.99"/>
    <n v="-9845.98"/>
    <x v="1"/>
    <n v="-9845.98"/>
    <x v="364"/>
    <x v="3"/>
    <x v="1"/>
    <n v="-712.37"/>
  </r>
  <r>
    <n v="2347"/>
    <x v="1333"/>
    <x v="5"/>
    <x v="6"/>
    <n v="2"/>
    <n v="1207.99"/>
    <n v="2415.98"/>
    <x v="1"/>
    <n v="2415.98"/>
    <x v="28"/>
    <x v="3"/>
    <x v="0"/>
    <n v="2195.11"/>
  </r>
  <r>
    <n v="2348"/>
    <x v="1334"/>
    <x v="2"/>
    <x v="17"/>
    <n v="2"/>
    <m/>
    <n v="0"/>
    <x v="1"/>
    <n v="0"/>
    <x v="218"/>
    <x v="5"/>
    <x v="0"/>
    <n v="371.77"/>
  </r>
  <r>
    <n v="2349"/>
    <x v="1335"/>
    <x v="1"/>
    <x v="1"/>
    <n v="2"/>
    <m/>
    <n v="0"/>
    <x v="94"/>
    <n v="0"/>
    <x v="362"/>
    <x v="0"/>
    <x v="1"/>
    <n v="-496.94"/>
  </r>
  <r>
    <n v="2350"/>
    <x v="1336"/>
    <x v="2"/>
    <x v="13"/>
    <n v="-1"/>
    <n v="3148.46"/>
    <n v="-3148.46"/>
    <x v="1"/>
    <n v="-3148.46"/>
    <x v="421"/>
    <x v="3"/>
    <x v="1"/>
    <n v="-165.49"/>
  </r>
  <r>
    <n v="2351"/>
    <x v="1337"/>
    <x v="5"/>
    <x v="6"/>
    <n v="-1"/>
    <n v="1875.17"/>
    <n v="-1875.17"/>
    <x v="1"/>
    <n v="-1875.17"/>
    <x v="4"/>
    <x v="1"/>
    <x v="0"/>
    <n v="1406.99"/>
  </r>
  <r>
    <n v="2352"/>
    <x v="1338"/>
    <x v="5"/>
    <x v="11"/>
    <n v="2"/>
    <m/>
    <n v="0"/>
    <x v="68"/>
    <n v="0"/>
    <x v="4"/>
    <x v="5"/>
    <x v="0"/>
    <n v="590.80999999999995"/>
  </r>
  <r>
    <n v="2353"/>
    <x v="1339"/>
    <x v="2"/>
    <x v="17"/>
    <n v="-1"/>
    <m/>
    <n v="0"/>
    <x v="1"/>
    <n v="0"/>
    <x v="231"/>
    <x v="4"/>
    <x v="0"/>
    <n v="-397.76"/>
  </r>
  <r>
    <n v="2354"/>
    <x v="1340"/>
    <x v="2"/>
    <x v="17"/>
    <n v="2"/>
    <m/>
    <n v="0"/>
    <x v="1"/>
    <n v="0"/>
    <x v="460"/>
    <x v="4"/>
    <x v="1"/>
    <n v="2233.2800000000002"/>
  </r>
  <r>
    <n v="2355"/>
    <x v="1341"/>
    <x v="0"/>
    <x v="20"/>
    <n v="2"/>
    <m/>
    <n v="0"/>
    <x v="50"/>
    <n v="0"/>
    <x v="4"/>
    <x v="4"/>
    <x v="1"/>
    <n v="1303.8900000000001"/>
  </r>
  <r>
    <n v="2356"/>
    <x v="1342"/>
    <x v="3"/>
    <x v="23"/>
    <n v="2"/>
    <n v="3412.15"/>
    <n v="6824.3"/>
    <x v="86"/>
    <n v="6756.0569999999998"/>
    <x v="240"/>
    <x v="4"/>
    <x v="1"/>
    <n v="1862.5"/>
  </r>
  <r>
    <n v="2357"/>
    <x v="1343"/>
    <x v="0"/>
    <x v="20"/>
    <n v="5"/>
    <n v="509.54"/>
    <n v="2547.7000000000003"/>
    <x v="1"/>
    <n v="2547.7000000000003"/>
    <x v="42"/>
    <x v="0"/>
    <x v="0"/>
    <n v="2233.39"/>
  </r>
  <r>
    <n v="2358"/>
    <x v="1344"/>
    <x v="0"/>
    <x v="9"/>
    <n v="-1"/>
    <n v="3099.15"/>
    <n v="-3099.15"/>
    <x v="1"/>
    <n v="-3099.15"/>
    <x v="4"/>
    <x v="2"/>
    <x v="1"/>
    <n v="-860.89"/>
  </r>
  <r>
    <n v="2359"/>
    <x v="1345"/>
    <x v="2"/>
    <x v="2"/>
    <n v="-1"/>
    <m/>
    <n v="0"/>
    <x v="1"/>
    <n v="0"/>
    <x v="337"/>
    <x v="5"/>
    <x v="0"/>
    <n v="2256.67"/>
  </r>
  <r>
    <n v="2360"/>
    <x v="1346"/>
    <x v="3"/>
    <x v="21"/>
    <n v="5"/>
    <m/>
    <n v="0"/>
    <x v="1"/>
    <n v="0"/>
    <x v="375"/>
    <x v="5"/>
    <x v="0"/>
    <n v="829.94"/>
  </r>
  <r>
    <n v="2361"/>
    <x v="1347"/>
    <x v="4"/>
    <x v="4"/>
    <n v="2"/>
    <n v="899.41"/>
    <n v="1798.82"/>
    <x v="1"/>
    <n v="1798.82"/>
    <x v="463"/>
    <x v="0"/>
    <x v="0"/>
    <n v="477.1"/>
  </r>
  <r>
    <n v="2362"/>
    <x v="1348"/>
    <x v="5"/>
    <x v="6"/>
    <n v="0"/>
    <n v="2550.98"/>
    <n v="0"/>
    <x v="1"/>
    <n v="0"/>
    <x v="52"/>
    <x v="0"/>
    <x v="1"/>
    <n v="2161.7800000000002"/>
  </r>
  <r>
    <n v="2363"/>
    <x v="1349"/>
    <x v="0"/>
    <x v="5"/>
    <n v="-1"/>
    <n v="3640.29"/>
    <n v="-3640.29"/>
    <x v="92"/>
    <n v="-509.64060000000006"/>
    <x v="147"/>
    <x v="4"/>
    <x v="0"/>
    <n v="879.32"/>
  </r>
  <r>
    <n v="2364"/>
    <x v="1350"/>
    <x v="3"/>
    <x v="23"/>
    <n v="2"/>
    <n v="857.68"/>
    <n v="1715.36"/>
    <x v="1"/>
    <n v="1715.36"/>
    <x v="143"/>
    <x v="2"/>
    <x v="1"/>
    <n v="1462.91"/>
  </r>
  <r>
    <n v="2365"/>
    <x v="1351"/>
    <x v="5"/>
    <x v="19"/>
    <n v="3"/>
    <m/>
    <n v="0"/>
    <x v="99"/>
    <n v="0"/>
    <x v="381"/>
    <x v="4"/>
    <x v="0"/>
    <n v="1765.39"/>
  </r>
  <r>
    <n v="2366"/>
    <x v="1352"/>
    <x v="2"/>
    <x v="10"/>
    <n v="6"/>
    <n v="429.37"/>
    <n v="2576.2200000000003"/>
    <x v="1"/>
    <n v="2576.2200000000003"/>
    <x v="148"/>
    <x v="2"/>
    <x v="1"/>
    <n v="-21.4"/>
  </r>
  <r>
    <n v="2367"/>
    <x v="1353"/>
    <x v="2"/>
    <x v="10"/>
    <n v="3"/>
    <n v="500.41"/>
    <n v="1501.23"/>
    <x v="1"/>
    <n v="1501.23"/>
    <x v="193"/>
    <x v="2"/>
    <x v="0"/>
    <n v="1732.45"/>
  </r>
  <r>
    <n v="2368"/>
    <x v="1354"/>
    <x v="3"/>
    <x v="3"/>
    <n v="2"/>
    <n v="2971.36"/>
    <n v="5942.72"/>
    <x v="99"/>
    <n v="3030.7872000000002"/>
    <x v="348"/>
    <x v="1"/>
    <x v="0"/>
    <n v="153.4"/>
  </r>
  <r>
    <n v="2369"/>
    <x v="1355"/>
    <x v="4"/>
    <x v="4"/>
    <n v="2"/>
    <n v="935.57"/>
    <n v="1871.14"/>
    <x v="1"/>
    <n v="1871.14"/>
    <x v="464"/>
    <x v="1"/>
    <x v="1"/>
    <n v="-111.36"/>
  </r>
  <r>
    <n v="2370"/>
    <x v="1356"/>
    <x v="5"/>
    <x v="11"/>
    <n v="2"/>
    <m/>
    <n v="0"/>
    <x v="1"/>
    <n v="0"/>
    <x v="465"/>
    <x v="2"/>
    <x v="0"/>
    <n v="2031.95"/>
  </r>
  <r>
    <n v="2371"/>
    <x v="1357"/>
    <x v="2"/>
    <x v="2"/>
    <n v="3"/>
    <n v="4467.25"/>
    <n v="13401.75"/>
    <x v="1"/>
    <n v="13401.75"/>
    <x v="198"/>
    <x v="4"/>
    <x v="0"/>
    <n v="2388.5500000000002"/>
  </r>
  <r>
    <n v="2372"/>
    <x v="1358"/>
    <x v="5"/>
    <x v="12"/>
    <n v="2"/>
    <m/>
    <n v="0"/>
    <x v="1"/>
    <n v="0"/>
    <x v="80"/>
    <x v="0"/>
    <x v="1"/>
    <n v="-452.24"/>
  </r>
  <r>
    <n v="2373"/>
    <x v="1359"/>
    <x v="3"/>
    <x v="23"/>
    <n v="-2"/>
    <n v="2490.44"/>
    <n v="-4980.88"/>
    <x v="1"/>
    <n v="-4980.88"/>
    <x v="4"/>
    <x v="2"/>
    <x v="0"/>
    <n v="11.27"/>
  </r>
  <r>
    <n v="2374"/>
    <x v="1360"/>
    <x v="2"/>
    <x v="2"/>
    <n v="0"/>
    <n v="4867.51"/>
    <n v="0"/>
    <x v="43"/>
    <n v="0"/>
    <x v="134"/>
    <x v="2"/>
    <x v="1"/>
    <n v="1184.6500000000001"/>
  </r>
  <r>
    <n v="2375"/>
    <x v="1361"/>
    <x v="4"/>
    <x v="14"/>
    <n v="2"/>
    <n v="2765.79"/>
    <n v="5531.58"/>
    <x v="1"/>
    <n v="5531.58"/>
    <x v="4"/>
    <x v="3"/>
    <x v="0"/>
    <n v="-31.82"/>
  </r>
  <r>
    <n v="2376"/>
    <x v="1362"/>
    <x v="1"/>
    <x v="15"/>
    <n v="2"/>
    <m/>
    <n v="0"/>
    <x v="1"/>
    <n v="0"/>
    <x v="466"/>
    <x v="5"/>
    <x v="0"/>
    <n v="1900.77"/>
  </r>
  <r>
    <n v="2377"/>
    <x v="1363"/>
    <x v="4"/>
    <x v="14"/>
    <n v="4"/>
    <n v="4458.4799999999996"/>
    <n v="17833.919999999998"/>
    <x v="1"/>
    <n v="17833.919999999998"/>
    <x v="218"/>
    <x v="3"/>
    <x v="1"/>
    <n v="631"/>
  </r>
  <r>
    <n v="2378"/>
    <x v="1364"/>
    <x v="0"/>
    <x v="9"/>
    <n v="0"/>
    <n v="1985.49"/>
    <n v="0"/>
    <x v="1"/>
    <n v="0"/>
    <x v="4"/>
    <x v="1"/>
    <x v="0"/>
    <n v="-198.55"/>
  </r>
  <r>
    <n v="2379"/>
    <x v="1365"/>
    <x v="1"/>
    <x v="18"/>
    <n v="6"/>
    <n v="2188.7399999999998"/>
    <n v="13132.439999999999"/>
    <x v="1"/>
    <n v="13132.439999999999"/>
    <x v="467"/>
    <x v="3"/>
    <x v="0"/>
    <n v="-885.72"/>
  </r>
  <r>
    <n v="2380"/>
    <x v="1366"/>
    <x v="1"/>
    <x v="1"/>
    <n v="2"/>
    <n v="3820.42"/>
    <n v="7640.84"/>
    <x v="75"/>
    <n v="-229.2252000000002"/>
    <x v="112"/>
    <x v="2"/>
    <x v="1"/>
    <n v="-105.92"/>
  </r>
  <r>
    <n v="2381"/>
    <x v="1367"/>
    <x v="2"/>
    <x v="10"/>
    <n v="2"/>
    <m/>
    <n v="0"/>
    <x v="1"/>
    <n v="0"/>
    <x v="213"/>
    <x v="0"/>
    <x v="0"/>
    <n v="103.57"/>
  </r>
  <r>
    <n v="2382"/>
    <x v="1368"/>
    <x v="1"/>
    <x v="15"/>
    <n v="2"/>
    <n v="3440.31"/>
    <n v="6880.62"/>
    <x v="1"/>
    <n v="6880.62"/>
    <x v="407"/>
    <x v="3"/>
    <x v="1"/>
    <n v="921.38"/>
  </r>
  <r>
    <n v="2383"/>
    <x v="1369"/>
    <x v="2"/>
    <x v="17"/>
    <n v="-2"/>
    <m/>
    <n v="0"/>
    <x v="1"/>
    <n v="0"/>
    <x v="344"/>
    <x v="4"/>
    <x v="0"/>
    <n v="990.71"/>
  </r>
  <r>
    <n v="2384"/>
    <x v="1370"/>
    <x v="1"/>
    <x v="18"/>
    <n v="3"/>
    <n v="1625.58"/>
    <n v="4876.74"/>
    <x v="105"/>
    <n v="4389.0659999999998"/>
    <x v="427"/>
    <x v="5"/>
    <x v="0"/>
    <n v="2368.5500000000002"/>
  </r>
  <r>
    <n v="2385"/>
    <x v="1371"/>
    <x v="5"/>
    <x v="12"/>
    <n v="2"/>
    <m/>
    <n v="0"/>
    <x v="82"/>
    <n v="0"/>
    <x v="292"/>
    <x v="0"/>
    <x v="0"/>
    <n v="-914.91"/>
  </r>
  <r>
    <n v="2386"/>
    <x v="1372"/>
    <x v="0"/>
    <x v="9"/>
    <n v="0"/>
    <n v="2253.08"/>
    <n v="0"/>
    <x v="48"/>
    <n v="0"/>
    <x v="4"/>
    <x v="1"/>
    <x v="0"/>
    <n v="490.12"/>
  </r>
  <r>
    <n v="2387"/>
    <x v="1373"/>
    <x v="3"/>
    <x v="23"/>
    <n v="2"/>
    <n v="3246.04"/>
    <n v="6492.08"/>
    <x v="1"/>
    <n v="6492.08"/>
    <x v="36"/>
    <x v="4"/>
    <x v="0"/>
    <n v="-611.03"/>
  </r>
  <r>
    <n v="2388"/>
    <x v="1374"/>
    <x v="4"/>
    <x v="4"/>
    <n v="-2"/>
    <m/>
    <n v="0"/>
    <x v="1"/>
    <n v="0"/>
    <x v="311"/>
    <x v="4"/>
    <x v="1"/>
    <n v="-722.21"/>
  </r>
  <r>
    <n v="2389"/>
    <x v="1375"/>
    <x v="2"/>
    <x v="13"/>
    <n v="5"/>
    <m/>
    <n v="0"/>
    <x v="1"/>
    <n v="0"/>
    <x v="468"/>
    <x v="3"/>
    <x v="1"/>
    <n v="2235.23"/>
  </r>
  <r>
    <n v="2390"/>
    <x v="1376"/>
    <x v="0"/>
    <x v="0"/>
    <n v="2"/>
    <n v="3605.36"/>
    <n v="7210.72"/>
    <x v="100"/>
    <n v="-72.107200000000063"/>
    <x v="210"/>
    <x v="1"/>
    <x v="1"/>
    <n v="-311.29000000000002"/>
  </r>
  <r>
    <n v="2391"/>
    <x v="1377"/>
    <x v="0"/>
    <x v="5"/>
    <n v="2"/>
    <n v="4473.9399999999996"/>
    <n v="8947.8799999999992"/>
    <x v="1"/>
    <n v="8947.8799999999992"/>
    <x v="4"/>
    <x v="3"/>
    <x v="1"/>
    <n v="1003.14"/>
  </r>
  <r>
    <n v="2392"/>
    <x v="1378"/>
    <x v="3"/>
    <x v="7"/>
    <n v="3"/>
    <n v="4550.95"/>
    <n v="13652.849999999999"/>
    <x v="1"/>
    <n v="13652.849999999999"/>
    <x v="422"/>
    <x v="1"/>
    <x v="0"/>
    <n v="-951.64"/>
  </r>
  <r>
    <n v="2393"/>
    <x v="1379"/>
    <x v="1"/>
    <x v="15"/>
    <n v="5"/>
    <n v="753.85"/>
    <n v="3769.25"/>
    <x v="1"/>
    <n v="3769.25"/>
    <x v="469"/>
    <x v="0"/>
    <x v="0"/>
    <n v="251.29"/>
  </r>
  <r>
    <n v="2394"/>
    <x v="1380"/>
    <x v="1"/>
    <x v="1"/>
    <n v="2"/>
    <n v="3384.51"/>
    <n v="6769.02"/>
    <x v="1"/>
    <n v="6769.02"/>
    <x v="200"/>
    <x v="3"/>
    <x v="1"/>
    <n v="2776.41"/>
  </r>
  <r>
    <n v="2395"/>
    <x v="1381"/>
    <x v="3"/>
    <x v="21"/>
    <n v="2"/>
    <m/>
    <n v="0"/>
    <x v="1"/>
    <n v="0"/>
    <x v="26"/>
    <x v="4"/>
    <x v="0"/>
    <n v="1866.74"/>
  </r>
  <r>
    <n v="2396"/>
    <x v="1382"/>
    <x v="0"/>
    <x v="0"/>
    <n v="2"/>
    <m/>
    <n v="0"/>
    <x v="79"/>
    <n v="0"/>
    <x v="410"/>
    <x v="4"/>
    <x v="0"/>
    <n v="1965.45"/>
  </r>
  <r>
    <n v="2397"/>
    <x v="1383"/>
    <x v="1"/>
    <x v="15"/>
    <n v="2"/>
    <n v="1823.51"/>
    <n v="3647.02"/>
    <x v="1"/>
    <n v="3647.02"/>
    <x v="209"/>
    <x v="4"/>
    <x v="0"/>
    <n v="378.92"/>
  </r>
  <r>
    <n v="1002"/>
    <x v="1384"/>
    <x v="0"/>
    <x v="9"/>
    <n v="2"/>
    <n v="2942.95"/>
    <n v="5885.9"/>
    <x v="1"/>
    <n v="5885.9"/>
    <x v="302"/>
    <x v="3"/>
    <x v="1"/>
    <n v="-519.87"/>
  </r>
  <r>
    <n v="2399"/>
    <x v="1385"/>
    <x v="0"/>
    <x v="0"/>
    <n v="-2"/>
    <n v="3643.5"/>
    <n v="-7287"/>
    <x v="1"/>
    <n v="-7287"/>
    <x v="188"/>
    <x v="0"/>
    <x v="1"/>
    <n v="1452.6"/>
  </r>
  <r>
    <n v="2400"/>
    <x v="1386"/>
    <x v="5"/>
    <x v="19"/>
    <n v="2"/>
    <n v="4756.67"/>
    <n v="9513.34"/>
    <x v="128"/>
    <n v="2378.335"/>
    <x v="280"/>
    <x v="5"/>
    <x v="0"/>
    <n v="-442.75"/>
  </r>
  <r>
    <n v="2401"/>
    <x v="1387"/>
    <x v="3"/>
    <x v="3"/>
    <n v="2"/>
    <n v="2159.6799999999998"/>
    <n v="4319.3599999999997"/>
    <x v="1"/>
    <n v="4319.3599999999997"/>
    <x v="107"/>
    <x v="5"/>
    <x v="0"/>
    <n v="1873.8"/>
  </r>
  <r>
    <n v="2402"/>
    <x v="1388"/>
    <x v="4"/>
    <x v="4"/>
    <n v="2"/>
    <n v="744.83"/>
    <n v="1489.66"/>
    <x v="117"/>
    <n v="1251.3144"/>
    <x v="4"/>
    <x v="2"/>
    <x v="0"/>
    <n v="2905.06"/>
  </r>
  <r>
    <n v="2403"/>
    <x v="1389"/>
    <x v="4"/>
    <x v="8"/>
    <n v="0"/>
    <m/>
    <n v="0"/>
    <x v="1"/>
    <n v="0"/>
    <x v="350"/>
    <x v="4"/>
    <x v="1"/>
    <n v="2312.7199999999998"/>
  </r>
  <r>
    <n v="2404"/>
    <x v="1390"/>
    <x v="3"/>
    <x v="23"/>
    <n v="4"/>
    <m/>
    <n v="0"/>
    <x v="1"/>
    <n v="0"/>
    <x v="82"/>
    <x v="0"/>
    <x v="0"/>
    <n v="-673.77"/>
  </r>
  <r>
    <n v="2405"/>
    <x v="1391"/>
    <x v="1"/>
    <x v="18"/>
    <n v="-1"/>
    <n v="1943.21"/>
    <n v="-1943.21"/>
    <x v="1"/>
    <n v="-1943.21"/>
    <x v="4"/>
    <x v="1"/>
    <x v="1"/>
    <n v="1039.8599999999999"/>
  </r>
  <r>
    <n v="2406"/>
    <x v="1392"/>
    <x v="0"/>
    <x v="0"/>
    <n v="2"/>
    <n v="4847.7299999999996"/>
    <n v="9695.4599999999991"/>
    <x v="1"/>
    <n v="9695.4599999999991"/>
    <x v="4"/>
    <x v="1"/>
    <x v="1"/>
    <n v="1741"/>
  </r>
  <r>
    <n v="2407"/>
    <x v="1393"/>
    <x v="0"/>
    <x v="0"/>
    <n v="2"/>
    <m/>
    <n v="0"/>
    <x v="1"/>
    <n v="0"/>
    <x v="251"/>
    <x v="1"/>
    <x v="1"/>
    <n v="2990.98"/>
  </r>
  <r>
    <n v="2408"/>
    <x v="1394"/>
    <x v="5"/>
    <x v="6"/>
    <n v="6"/>
    <n v="2169.73"/>
    <n v="13018.380000000001"/>
    <x v="1"/>
    <n v="13018.380000000001"/>
    <x v="4"/>
    <x v="3"/>
    <x v="0"/>
    <n v="442.92"/>
  </r>
  <r>
    <n v="2409"/>
    <x v="1395"/>
    <x v="5"/>
    <x v="12"/>
    <n v="2"/>
    <n v="1430.06"/>
    <n v="2860.12"/>
    <x v="98"/>
    <n v="57.202400000000047"/>
    <x v="225"/>
    <x v="5"/>
    <x v="0"/>
    <n v="-530.32000000000005"/>
  </r>
  <r>
    <n v="2410"/>
    <x v="1396"/>
    <x v="3"/>
    <x v="23"/>
    <n v="3"/>
    <m/>
    <n v="0"/>
    <x v="1"/>
    <n v="0"/>
    <x v="395"/>
    <x v="5"/>
    <x v="0"/>
    <n v="2913.29"/>
  </r>
  <r>
    <n v="2411"/>
    <x v="1397"/>
    <x v="0"/>
    <x v="9"/>
    <n v="-2"/>
    <m/>
    <n v="0"/>
    <x v="1"/>
    <n v="0"/>
    <x v="79"/>
    <x v="0"/>
    <x v="0"/>
    <n v="458.44"/>
  </r>
  <r>
    <n v="2412"/>
    <x v="1398"/>
    <x v="0"/>
    <x v="9"/>
    <n v="-1"/>
    <m/>
    <n v="0"/>
    <x v="1"/>
    <n v="0"/>
    <x v="470"/>
    <x v="0"/>
    <x v="0"/>
    <n v="1676.75"/>
  </r>
  <r>
    <n v="2413"/>
    <x v="1399"/>
    <x v="2"/>
    <x v="2"/>
    <n v="2"/>
    <n v="4140.8599999999997"/>
    <n v="8281.7199999999993"/>
    <x v="1"/>
    <n v="8281.7199999999993"/>
    <x v="235"/>
    <x v="0"/>
    <x v="1"/>
    <n v="162.16"/>
  </r>
  <r>
    <n v="1037"/>
    <x v="1400"/>
    <x v="3"/>
    <x v="23"/>
    <n v="2"/>
    <n v="3127.73"/>
    <n v="6255.46"/>
    <x v="82"/>
    <n v="5880.1323999999995"/>
    <x v="34"/>
    <x v="1"/>
    <x v="0"/>
    <n v="-793.02"/>
  </r>
  <r>
    <n v="2415"/>
    <x v="1401"/>
    <x v="0"/>
    <x v="20"/>
    <n v="2"/>
    <n v="3395.67"/>
    <n v="6791.34"/>
    <x v="1"/>
    <n v="6791.34"/>
    <x v="4"/>
    <x v="3"/>
    <x v="0"/>
    <n v="1958.51"/>
  </r>
  <r>
    <n v="2416"/>
    <x v="1402"/>
    <x v="5"/>
    <x v="19"/>
    <n v="2"/>
    <m/>
    <n v="0"/>
    <x v="81"/>
    <n v="0"/>
    <x v="471"/>
    <x v="5"/>
    <x v="1"/>
    <n v="1219.82"/>
  </r>
  <r>
    <n v="2417"/>
    <x v="1403"/>
    <x v="1"/>
    <x v="15"/>
    <n v="2"/>
    <n v="4268.68"/>
    <n v="8537.36"/>
    <x v="93"/>
    <n v="2817.3287999999998"/>
    <x v="178"/>
    <x v="0"/>
    <x v="0"/>
    <n v="1818.31"/>
  </r>
  <r>
    <n v="2418"/>
    <x v="1404"/>
    <x v="1"/>
    <x v="18"/>
    <n v="2"/>
    <n v="3435.95"/>
    <n v="6871.9"/>
    <x v="125"/>
    <n v="4398.0159999999996"/>
    <x v="4"/>
    <x v="0"/>
    <x v="0"/>
    <n v="-77.180000000000007"/>
  </r>
  <r>
    <n v="2419"/>
    <x v="1405"/>
    <x v="2"/>
    <x v="13"/>
    <n v="2"/>
    <n v="1832.16"/>
    <n v="3664.32"/>
    <x v="1"/>
    <n v="3664.32"/>
    <x v="309"/>
    <x v="2"/>
    <x v="0"/>
    <n v="2843.62"/>
  </r>
  <r>
    <n v="2420"/>
    <x v="1406"/>
    <x v="1"/>
    <x v="15"/>
    <n v="2"/>
    <n v="3714.46"/>
    <n v="7428.92"/>
    <x v="1"/>
    <n v="7428.92"/>
    <x v="131"/>
    <x v="1"/>
    <x v="0"/>
    <n v="2452.7199999999998"/>
  </r>
  <r>
    <n v="2421"/>
    <x v="1407"/>
    <x v="3"/>
    <x v="23"/>
    <n v="4"/>
    <n v="4411.3900000000003"/>
    <n v="17645.560000000001"/>
    <x v="1"/>
    <n v="17645.560000000001"/>
    <x v="298"/>
    <x v="4"/>
    <x v="0"/>
    <n v="-501.29"/>
  </r>
  <r>
    <n v="2422"/>
    <x v="1408"/>
    <x v="4"/>
    <x v="8"/>
    <n v="2"/>
    <m/>
    <n v="0"/>
    <x v="30"/>
    <n v="0"/>
    <x v="472"/>
    <x v="3"/>
    <x v="0"/>
    <n v="756.56"/>
  </r>
  <r>
    <n v="2423"/>
    <x v="1409"/>
    <x v="2"/>
    <x v="10"/>
    <n v="2"/>
    <m/>
    <n v="0"/>
    <x v="1"/>
    <n v="0"/>
    <x v="399"/>
    <x v="1"/>
    <x v="1"/>
    <n v="2661.66"/>
  </r>
  <r>
    <n v="2424"/>
    <x v="1410"/>
    <x v="2"/>
    <x v="2"/>
    <n v="5"/>
    <n v="2476.15"/>
    <n v="12380.75"/>
    <x v="1"/>
    <n v="12380.75"/>
    <x v="473"/>
    <x v="5"/>
    <x v="0"/>
    <n v="387.88"/>
  </r>
  <r>
    <n v="2425"/>
    <x v="1411"/>
    <x v="5"/>
    <x v="12"/>
    <n v="0"/>
    <n v="2632.44"/>
    <n v="0"/>
    <x v="1"/>
    <n v="0"/>
    <x v="11"/>
    <x v="5"/>
    <x v="0"/>
    <n v="2036.93"/>
  </r>
  <r>
    <n v="2426"/>
    <x v="1412"/>
    <x v="1"/>
    <x v="15"/>
    <n v="2"/>
    <m/>
    <n v="0"/>
    <x v="1"/>
    <n v="0"/>
    <x v="103"/>
    <x v="0"/>
    <x v="1"/>
    <n v="261.68"/>
  </r>
  <r>
    <n v="2427"/>
    <x v="1413"/>
    <x v="4"/>
    <x v="14"/>
    <n v="5"/>
    <n v="1510.89"/>
    <n v="7554.4500000000007"/>
    <x v="1"/>
    <n v="7554.4500000000007"/>
    <x v="27"/>
    <x v="3"/>
    <x v="1"/>
    <n v="2959.19"/>
  </r>
  <r>
    <n v="2428"/>
    <x v="1414"/>
    <x v="2"/>
    <x v="2"/>
    <n v="-2"/>
    <m/>
    <n v="0"/>
    <x v="1"/>
    <n v="0"/>
    <x v="474"/>
    <x v="0"/>
    <x v="1"/>
    <n v="1885.43"/>
  </r>
  <r>
    <n v="2429"/>
    <x v="1415"/>
    <x v="2"/>
    <x v="2"/>
    <n v="-1"/>
    <n v="4193.1000000000004"/>
    <n v="-4193.1000000000004"/>
    <x v="1"/>
    <n v="-4193.1000000000004"/>
    <x v="190"/>
    <x v="4"/>
    <x v="0"/>
    <n v="436.03"/>
  </r>
  <r>
    <n v="2430"/>
    <x v="1416"/>
    <x v="0"/>
    <x v="20"/>
    <n v="2"/>
    <n v="3149.37"/>
    <n v="6298.74"/>
    <x v="1"/>
    <n v="6298.74"/>
    <x v="4"/>
    <x v="5"/>
    <x v="0"/>
    <n v="1094.4000000000001"/>
  </r>
  <r>
    <n v="1006"/>
    <x v="302"/>
    <x v="1"/>
    <x v="22"/>
    <n v="-2"/>
    <n v="714.5"/>
    <n v="-1429"/>
    <x v="122"/>
    <n v="-400.12000000000006"/>
    <x v="448"/>
    <x v="0"/>
    <x v="1"/>
    <n v="-29.59"/>
  </r>
  <r>
    <n v="2432"/>
    <x v="1417"/>
    <x v="1"/>
    <x v="18"/>
    <n v="1"/>
    <m/>
    <n v="0"/>
    <x v="112"/>
    <n v="0"/>
    <x v="4"/>
    <x v="2"/>
    <x v="0"/>
    <n v="2950.78"/>
  </r>
  <r>
    <n v="2433"/>
    <x v="1418"/>
    <x v="4"/>
    <x v="4"/>
    <n v="0"/>
    <n v="2489.1799999999998"/>
    <n v="0"/>
    <x v="1"/>
    <n v="0"/>
    <x v="117"/>
    <x v="1"/>
    <x v="0"/>
    <n v="-22.68"/>
  </r>
  <r>
    <n v="2434"/>
    <x v="1419"/>
    <x v="1"/>
    <x v="22"/>
    <n v="0"/>
    <m/>
    <n v="0"/>
    <x v="1"/>
    <n v="0"/>
    <x v="188"/>
    <x v="4"/>
    <x v="1"/>
    <n v="1953.07"/>
  </r>
  <r>
    <n v="2435"/>
    <x v="1420"/>
    <x v="3"/>
    <x v="3"/>
    <n v="2"/>
    <m/>
    <n v="0"/>
    <x v="1"/>
    <n v="0"/>
    <x v="145"/>
    <x v="2"/>
    <x v="0"/>
    <n v="2711.18"/>
  </r>
  <r>
    <n v="2436"/>
    <x v="1421"/>
    <x v="4"/>
    <x v="8"/>
    <n v="2"/>
    <m/>
    <n v="0"/>
    <x v="1"/>
    <n v="0"/>
    <x v="4"/>
    <x v="4"/>
    <x v="1"/>
    <n v="2492.87"/>
  </r>
  <r>
    <n v="2437"/>
    <x v="1422"/>
    <x v="4"/>
    <x v="4"/>
    <n v="1"/>
    <n v="1906.91"/>
    <n v="1906.91"/>
    <x v="101"/>
    <n v="57.207300000000053"/>
    <x v="4"/>
    <x v="1"/>
    <x v="1"/>
    <n v="440.67"/>
  </r>
  <r>
    <n v="2438"/>
    <x v="1423"/>
    <x v="4"/>
    <x v="16"/>
    <n v="5"/>
    <m/>
    <n v="0"/>
    <x v="1"/>
    <n v="0"/>
    <x v="398"/>
    <x v="4"/>
    <x v="1"/>
    <n v="1037.5"/>
  </r>
  <r>
    <n v="2439"/>
    <x v="1424"/>
    <x v="3"/>
    <x v="23"/>
    <n v="2"/>
    <m/>
    <n v="0"/>
    <x v="102"/>
    <n v="0"/>
    <x v="336"/>
    <x v="0"/>
    <x v="0"/>
    <n v="-789.39"/>
  </r>
  <r>
    <n v="2440"/>
    <x v="1425"/>
    <x v="4"/>
    <x v="14"/>
    <n v="2"/>
    <n v="3846.31"/>
    <n v="7692.62"/>
    <x v="115"/>
    <n v="3769.3838000000001"/>
    <x v="230"/>
    <x v="5"/>
    <x v="0"/>
    <n v="381.13"/>
  </r>
  <r>
    <n v="2441"/>
    <x v="1426"/>
    <x v="5"/>
    <x v="12"/>
    <n v="2"/>
    <m/>
    <n v="0"/>
    <x v="24"/>
    <n v="0"/>
    <x v="4"/>
    <x v="5"/>
    <x v="0"/>
    <n v="1220.9100000000001"/>
  </r>
  <r>
    <n v="2442"/>
    <x v="1427"/>
    <x v="0"/>
    <x v="5"/>
    <n v="2"/>
    <m/>
    <n v="0"/>
    <x v="1"/>
    <n v="0"/>
    <x v="20"/>
    <x v="5"/>
    <x v="0"/>
    <n v="-937.17"/>
  </r>
  <r>
    <n v="2443"/>
    <x v="1428"/>
    <x v="4"/>
    <x v="16"/>
    <n v="1"/>
    <n v="4981.8599999999997"/>
    <n v="4981.8599999999997"/>
    <x v="1"/>
    <n v="4981.8599999999997"/>
    <x v="336"/>
    <x v="5"/>
    <x v="0"/>
    <n v="1410.16"/>
  </r>
  <r>
    <n v="2444"/>
    <x v="1429"/>
    <x v="0"/>
    <x v="5"/>
    <n v="2"/>
    <n v="3470.88"/>
    <n v="6941.76"/>
    <x v="1"/>
    <n v="6941.76"/>
    <x v="4"/>
    <x v="5"/>
    <x v="1"/>
    <n v="638.83000000000004"/>
  </r>
  <r>
    <n v="2445"/>
    <x v="1430"/>
    <x v="3"/>
    <x v="23"/>
    <n v="2"/>
    <n v="2282.02"/>
    <n v="4564.04"/>
    <x v="1"/>
    <n v="4564.04"/>
    <x v="351"/>
    <x v="2"/>
    <x v="0"/>
    <n v="555.12"/>
  </r>
  <r>
    <n v="1009"/>
    <x v="1375"/>
    <x v="0"/>
    <x v="20"/>
    <n v="6"/>
    <m/>
    <n v="0"/>
    <x v="81"/>
    <n v="0"/>
    <x v="277"/>
    <x v="3"/>
    <x v="0"/>
    <n v="2936.21"/>
  </r>
  <r>
    <n v="2447"/>
    <x v="1431"/>
    <x v="5"/>
    <x v="11"/>
    <n v="6"/>
    <n v="1773.3"/>
    <n v="10639.8"/>
    <x v="1"/>
    <n v="10639.8"/>
    <x v="104"/>
    <x v="4"/>
    <x v="0"/>
    <n v="2073.35"/>
  </r>
  <r>
    <n v="2448"/>
    <x v="1432"/>
    <x v="1"/>
    <x v="18"/>
    <n v="3"/>
    <m/>
    <n v="0"/>
    <x v="1"/>
    <n v="0"/>
    <x v="103"/>
    <x v="0"/>
    <x v="0"/>
    <n v="-244.83"/>
  </r>
  <r>
    <n v="2449"/>
    <x v="1433"/>
    <x v="2"/>
    <x v="17"/>
    <n v="2"/>
    <n v="2344.38"/>
    <n v="4688.76"/>
    <x v="1"/>
    <n v="4688.76"/>
    <x v="4"/>
    <x v="2"/>
    <x v="0"/>
    <n v="419.95"/>
  </r>
  <r>
    <n v="2450"/>
    <x v="1434"/>
    <x v="3"/>
    <x v="23"/>
    <n v="2"/>
    <n v="3333.87"/>
    <n v="6667.74"/>
    <x v="1"/>
    <n v="6667.74"/>
    <x v="80"/>
    <x v="1"/>
    <x v="0"/>
    <n v="1673.63"/>
  </r>
  <r>
    <n v="2451"/>
    <x v="1435"/>
    <x v="2"/>
    <x v="17"/>
    <n v="2"/>
    <m/>
    <n v="0"/>
    <x v="1"/>
    <n v="0"/>
    <x v="475"/>
    <x v="1"/>
    <x v="1"/>
    <n v="1177.96"/>
  </r>
  <r>
    <n v="1011"/>
    <x v="1436"/>
    <x v="3"/>
    <x v="7"/>
    <n v="3"/>
    <m/>
    <n v="0"/>
    <x v="1"/>
    <n v="0"/>
    <x v="4"/>
    <x v="2"/>
    <x v="1"/>
    <n v="-360.37"/>
  </r>
  <r>
    <n v="2453"/>
    <x v="1437"/>
    <x v="0"/>
    <x v="0"/>
    <n v="2"/>
    <m/>
    <n v="0"/>
    <x v="122"/>
    <n v="0"/>
    <x v="476"/>
    <x v="4"/>
    <x v="1"/>
    <n v="382.31"/>
  </r>
  <r>
    <n v="2454"/>
    <x v="1438"/>
    <x v="4"/>
    <x v="4"/>
    <n v="3"/>
    <m/>
    <n v="0"/>
    <x v="1"/>
    <n v="0"/>
    <x v="4"/>
    <x v="3"/>
    <x v="0"/>
    <n v="1961.19"/>
  </r>
  <r>
    <n v="2455"/>
    <x v="1439"/>
    <x v="2"/>
    <x v="10"/>
    <n v="2"/>
    <m/>
    <n v="0"/>
    <x v="1"/>
    <n v="0"/>
    <x v="4"/>
    <x v="5"/>
    <x v="0"/>
    <n v="2153.0100000000002"/>
  </r>
  <r>
    <n v="2456"/>
    <x v="1440"/>
    <x v="3"/>
    <x v="23"/>
    <n v="2"/>
    <n v="889.88"/>
    <n v="1779.76"/>
    <x v="1"/>
    <n v="1779.76"/>
    <x v="76"/>
    <x v="1"/>
    <x v="1"/>
    <n v="1607.65"/>
  </r>
  <r>
    <n v="2457"/>
    <x v="1441"/>
    <x v="1"/>
    <x v="22"/>
    <n v="6"/>
    <m/>
    <n v="0"/>
    <x v="120"/>
    <n v="0"/>
    <x v="428"/>
    <x v="0"/>
    <x v="0"/>
    <n v="179.36"/>
  </r>
  <r>
    <n v="2458"/>
    <x v="1442"/>
    <x v="4"/>
    <x v="8"/>
    <n v="2"/>
    <m/>
    <n v="0"/>
    <x v="46"/>
    <n v="0"/>
    <x v="277"/>
    <x v="0"/>
    <x v="1"/>
    <n v="163.69"/>
  </r>
  <r>
    <n v="2459"/>
    <x v="1443"/>
    <x v="3"/>
    <x v="7"/>
    <n v="2"/>
    <m/>
    <n v="0"/>
    <x v="1"/>
    <n v="0"/>
    <x v="4"/>
    <x v="2"/>
    <x v="0"/>
    <n v="2616.96"/>
  </r>
  <r>
    <n v="2460"/>
    <x v="1444"/>
    <x v="3"/>
    <x v="21"/>
    <n v="-2"/>
    <n v="3157.28"/>
    <n v="-6314.56"/>
    <x v="35"/>
    <n v="-5872.5407999999998"/>
    <x v="477"/>
    <x v="4"/>
    <x v="0"/>
    <n v="971.15"/>
  </r>
  <r>
    <n v="2461"/>
    <x v="1445"/>
    <x v="1"/>
    <x v="1"/>
    <n v="1"/>
    <n v="4225.58"/>
    <n v="4225.58"/>
    <x v="1"/>
    <n v="4225.58"/>
    <x v="118"/>
    <x v="4"/>
    <x v="1"/>
    <n v="-793.29"/>
  </r>
  <r>
    <n v="2462"/>
    <x v="1446"/>
    <x v="3"/>
    <x v="3"/>
    <n v="2"/>
    <n v="2123.2199999999998"/>
    <n v="4246.4399999999996"/>
    <x v="1"/>
    <n v="4246.4399999999996"/>
    <x v="102"/>
    <x v="2"/>
    <x v="0"/>
    <n v="2645.36"/>
  </r>
  <r>
    <n v="2463"/>
    <x v="1447"/>
    <x v="3"/>
    <x v="7"/>
    <n v="2"/>
    <n v="405.52"/>
    <n v="811.04"/>
    <x v="1"/>
    <n v="811.04"/>
    <x v="28"/>
    <x v="0"/>
    <x v="0"/>
    <n v="2036.57"/>
  </r>
  <r>
    <n v="2464"/>
    <x v="1448"/>
    <x v="2"/>
    <x v="17"/>
    <n v="-1"/>
    <m/>
    <n v="0"/>
    <x v="95"/>
    <n v="0"/>
    <x v="113"/>
    <x v="4"/>
    <x v="0"/>
    <n v="2742.15"/>
  </r>
  <r>
    <n v="2465"/>
    <x v="1449"/>
    <x v="0"/>
    <x v="9"/>
    <n v="2"/>
    <n v="493.99"/>
    <n v="987.98"/>
    <x v="1"/>
    <n v="987.98"/>
    <x v="131"/>
    <x v="4"/>
    <x v="1"/>
    <n v="-365.9"/>
  </r>
  <r>
    <n v="2466"/>
    <x v="1450"/>
    <x v="5"/>
    <x v="11"/>
    <n v="2"/>
    <n v="2335.61"/>
    <n v="4671.22"/>
    <x v="91"/>
    <n v="3877.1125999999999"/>
    <x v="4"/>
    <x v="1"/>
    <x v="1"/>
    <n v="-36.92"/>
  </r>
  <r>
    <n v="2467"/>
    <x v="1451"/>
    <x v="2"/>
    <x v="2"/>
    <n v="2"/>
    <m/>
    <n v="0"/>
    <x v="1"/>
    <n v="0"/>
    <x v="229"/>
    <x v="2"/>
    <x v="0"/>
    <n v="485.02"/>
  </r>
  <r>
    <n v="2468"/>
    <x v="1452"/>
    <x v="4"/>
    <x v="8"/>
    <n v="2"/>
    <m/>
    <n v="0"/>
    <x v="1"/>
    <n v="0"/>
    <x v="457"/>
    <x v="2"/>
    <x v="0"/>
    <n v="1149.6500000000001"/>
  </r>
  <r>
    <n v="2469"/>
    <x v="1453"/>
    <x v="1"/>
    <x v="15"/>
    <n v="2"/>
    <n v="4132.13"/>
    <n v="8264.26"/>
    <x v="1"/>
    <n v="8264.26"/>
    <x v="238"/>
    <x v="2"/>
    <x v="0"/>
    <n v="828.43"/>
  </r>
  <r>
    <n v="2470"/>
    <x v="1454"/>
    <x v="1"/>
    <x v="1"/>
    <n v="3"/>
    <m/>
    <n v="0"/>
    <x v="123"/>
    <n v="0"/>
    <x v="475"/>
    <x v="5"/>
    <x v="1"/>
    <n v="321.20999999999998"/>
  </r>
  <r>
    <n v="2471"/>
    <x v="1455"/>
    <x v="0"/>
    <x v="0"/>
    <n v="2"/>
    <n v="4457.83"/>
    <n v="8915.66"/>
    <x v="129"/>
    <n v="3031.3243999999995"/>
    <x v="4"/>
    <x v="5"/>
    <x v="1"/>
    <n v="780.39"/>
  </r>
  <r>
    <n v="2472"/>
    <x v="1456"/>
    <x v="0"/>
    <x v="20"/>
    <n v="2"/>
    <n v="4357.9399999999996"/>
    <n v="8715.8799999999992"/>
    <x v="18"/>
    <n v="5839.6395999999986"/>
    <x v="4"/>
    <x v="0"/>
    <x v="1"/>
    <n v="971.5"/>
  </r>
  <r>
    <n v="2473"/>
    <x v="1457"/>
    <x v="2"/>
    <x v="10"/>
    <n v="6"/>
    <n v="408.21"/>
    <n v="2449.2599999999998"/>
    <x v="63"/>
    <n v="-391.88159999999976"/>
    <x v="298"/>
    <x v="0"/>
    <x v="0"/>
    <n v="611.86"/>
  </r>
  <r>
    <n v="2474"/>
    <x v="1458"/>
    <x v="2"/>
    <x v="2"/>
    <n v="2"/>
    <m/>
    <n v="0"/>
    <x v="1"/>
    <n v="0"/>
    <x v="60"/>
    <x v="3"/>
    <x v="1"/>
    <n v="-930.79"/>
  </r>
  <r>
    <n v="2475"/>
    <x v="1459"/>
    <x v="1"/>
    <x v="22"/>
    <n v="5"/>
    <n v="642.48"/>
    <n v="3212.4"/>
    <x v="91"/>
    <n v="2666.2919999999999"/>
    <x v="4"/>
    <x v="1"/>
    <x v="0"/>
    <n v="1800.37"/>
  </r>
  <r>
    <n v="2476"/>
    <x v="1460"/>
    <x v="5"/>
    <x v="6"/>
    <n v="5"/>
    <n v="2967.26"/>
    <n v="14836.300000000001"/>
    <x v="1"/>
    <n v="14836.300000000001"/>
    <x v="4"/>
    <x v="4"/>
    <x v="1"/>
    <n v="2069.15"/>
  </r>
  <r>
    <n v="2477"/>
    <x v="1461"/>
    <x v="2"/>
    <x v="17"/>
    <n v="3"/>
    <n v="3725.14"/>
    <n v="11175.42"/>
    <x v="1"/>
    <n v="11175.42"/>
    <x v="4"/>
    <x v="3"/>
    <x v="0"/>
    <n v="1220.32"/>
  </r>
  <r>
    <n v="2478"/>
    <x v="1462"/>
    <x v="5"/>
    <x v="19"/>
    <n v="2"/>
    <n v="1904.58"/>
    <n v="3809.16"/>
    <x v="1"/>
    <n v="3809.16"/>
    <x v="478"/>
    <x v="2"/>
    <x v="1"/>
    <n v="2090.91"/>
  </r>
  <r>
    <n v="2479"/>
    <x v="1463"/>
    <x v="2"/>
    <x v="13"/>
    <n v="-1"/>
    <m/>
    <n v="0"/>
    <x v="44"/>
    <n v="0"/>
    <x v="366"/>
    <x v="5"/>
    <x v="1"/>
    <n v="81.23"/>
  </r>
  <r>
    <n v="2480"/>
    <x v="1464"/>
    <x v="2"/>
    <x v="10"/>
    <n v="2"/>
    <m/>
    <n v="0"/>
    <x v="50"/>
    <n v="0"/>
    <x v="363"/>
    <x v="3"/>
    <x v="0"/>
    <n v="1556.81"/>
  </r>
  <r>
    <n v="2481"/>
    <x v="1465"/>
    <x v="1"/>
    <x v="15"/>
    <n v="2"/>
    <m/>
    <n v="0"/>
    <x v="1"/>
    <n v="0"/>
    <x v="266"/>
    <x v="2"/>
    <x v="0"/>
    <n v="142.82"/>
  </r>
  <r>
    <n v="1050"/>
    <x v="1466"/>
    <x v="3"/>
    <x v="23"/>
    <n v="4"/>
    <n v="4439.3900000000003"/>
    <n v="17757.560000000001"/>
    <x v="1"/>
    <n v="17757.560000000001"/>
    <x v="65"/>
    <x v="1"/>
    <x v="0"/>
    <n v="2062.85"/>
  </r>
  <r>
    <n v="2483"/>
    <x v="1467"/>
    <x v="5"/>
    <x v="12"/>
    <n v="2"/>
    <m/>
    <n v="0"/>
    <x v="78"/>
    <n v="0"/>
    <x v="290"/>
    <x v="5"/>
    <x v="1"/>
    <n v="-369.21"/>
  </r>
  <r>
    <n v="2484"/>
    <x v="1468"/>
    <x v="4"/>
    <x v="16"/>
    <n v="2"/>
    <m/>
    <n v="0"/>
    <x v="1"/>
    <n v="0"/>
    <x v="463"/>
    <x v="5"/>
    <x v="0"/>
    <n v="516.5"/>
  </r>
  <r>
    <n v="1050"/>
    <x v="1469"/>
    <x v="0"/>
    <x v="5"/>
    <n v="1"/>
    <n v="2103.54"/>
    <n v="2103.54"/>
    <x v="1"/>
    <n v="2103.54"/>
    <x v="301"/>
    <x v="4"/>
    <x v="0"/>
    <n v="2871.06"/>
  </r>
  <r>
    <n v="2486"/>
    <x v="1470"/>
    <x v="1"/>
    <x v="22"/>
    <n v="-2"/>
    <m/>
    <n v="0"/>
    <x v="1"/>
    <n v="0"/>
    <x v="222"/>
    <x v="1"/>
    <x v="0"/>
    <n v="2082.36"/>
  </r>
  <r>
    <n v="2487"/>
    <x v="1471"/>
    <x v="1"/>
    <x v="22"/>
    <n v="-2"/>
    <m/>
    <n v="0"/>
    <x v="1"/>
    <n v="0"/>
    <x v="76"/>
    <x v="2"/>
    <x v="0"/>
    <n v="-395.34"/>
  </r>
  <r>
    <n v="2488"/>
    <x v="1472"/>
    <x v="1"/>
    <x v="15"/>
    <n v="2"/>
    <n v="718.84"/>
    <n v="1437.68"/>
    <x v="26"/>
    <n v="675.70960000000002"/>
    <x v="215"/>
    <x v="1"/>
    <x v="1"/>
    <n v="528.71"/>
  </r>
  <r>
    <n v="2489"/>
    <x v="1473"/>
    <x v="2"/>
    <x v="17"/>
    <n v="0"/>
    <m/>
    <n v="0"/>
    <x v="1"/>
    <n v="0"/>
    <x v="375"/>
    <x v="5"/>
    <x v="0"/>
    <n v="-194.49"/>
  </r>
  <r>
    <n v="2490"/>
    <x v="1474"/>
    <x v="4"/>
    <x v="8"/>
    <n v="5"/>
    <n v="688.38"/>
    <n v="3441.9"/>
    <x v="1"/>
    <n v="3441.9"/>
    <x v="133"/>
    <x v="3"/>
    <x v="0"/>
    <n v="-25.21"/>
  </r>
  <r>
    <n v="2491"/>
    <x v="1475"/>
    <x v="2"/>
    <x v="10"/>
    <n v="2"/>
    <m/>
    <n v="0"/>
    <x v="51"/>
    <n v="0"/>
    <x v="89"/>
    <x v="3"/>
    <x v="0"/>
    <n v="2466.0100000000002"/>
  </r>
  <r>
    <n v="2492"/>
    <x v="1476"/>
    <x v="1"/>
    <x v="15"/>
    <n v="-1"/>
    <m/>
    <n v="0"/>
    <x v="1"/>
    <n v="0"/>
    <x v="479"/>
    <x v="3"/>
    <x v="0"/>
    <n v="549.15"/>
  </r>
  <r>
    <n v="2493"/>
    <x v="1477"/>
    <x v="5"/>
    <x v="11"/>
    <n v="2"/>
    <m/>
    <n v="0"/>
    <x v="11"/>
    <n v="0"/>
    <x v="4"/>
    <x v="1"/>
    <x v="0"/>
    <n v="452.38"/>
  </r>
  <r>
    <n v="2494"/>
    <x v="1478"/>
    <x v="2"/>
    <x v="2"/>
    <n v="3"/>
    <m/>
    <n v="0"/>
    <x v="63"/>
    <n v="0"/>
    <x v="80"/>
    <x v="4"/>
    <x v="1"/>
    <n v="1753.67"/>
  </r>
  <r>
    <n v="2495"/>
    <x v="1479"/>
    <x v="0"/>
    <x v="0"/>
    <n v="2"/>
    <n v="1106.0899999999999"/>
    <n v="2212.1799999999998"/>
    <x v="1"/>
    <n v="2212.1799999999998"/>
    <x v="360"/>
    <x v="0"/>
    <x v="0"/>
    <n v="1838.39"/>
  </r>
  <r>
    <n v="2496"/>
    <x v="1480"/>
    <x v="1"/>
    <x v="1"/>
    <n v="-2"/>
    <m/>
    <n v="0"/>
    <x v="1"/>
    <n v="0"/>
    <x v="441"/>
    <x v="0"/>
    <x v="0"/>
    <n v="2882.47"/>
  </r>
  <r>
    <n v="2497"/>
    <x v="1481"/>
    <x v="3"/>
    <x v="21"/>
    <n v="1"/>
    <n v="3607.5"/>
    <n v="3607.5"/>
    <x v="1"/>
    <n v="3607.5"/>
    <x v="395"/>
    <x v="1"/>
    <x v="1"/>
    <n v="-341.21"/>
  </r>
  <r>
    <n v="2498"/>
    <x v="1482"/>
    <x v="1"/>
    <x v="1"/>
    <n v="4"/>
    <n v="2043.67"/>
    <n v="8174.68"/>
    <x v="1"/>
    <n v="8174.68"/>
    <x v="258"/>
    <x v="5"/>
    <x v="0"/>
    <n v="-24.72"/>
  </r>
  <r>
    <n v="2499"/>
    <x v="1156"/>
    <x v="5"/>
    <x v="6"/>
    <n v="-2"/>
    <n v="4638.76"/>
    <n v="-9277.52"/>
    <x v="1"/>
    <n v="-9277.52"/>
    <x v="423"/>
    <x v="4"/>
    <x v="0"/>
    <n v="379.89"/>
  </r>
  <r>
    <n v="2500"/>
    <x v="1483"/>
    <x v="3"/>
    <x v="21"/>
    <n v="5"/>
    <m/>
    <n v="0"/>
    <x v="11"/>
    <n v="0"/>
    <x v="282"/>
    <x v="0"/>
    <x v="1"/>
    <n v="765.43"/>
  </r>
  <r>
    <n v="2501"/>
    <x v="1484"/>
    <x v="5"/>
    <x v="11"/>
    <n v="2"/>
    <m/>
    <n v="0"/>
    <x v="1"/>
    <n v="0"/>
    <x v="4"/>
    <x v="1"/>
    <x v="1"/>
    <n v="106.21"/>
  </r>
  <r>
    <n v="2502"/>
    <x v="1485"/>
    <x v="2"/>
    <x v="2"/>
    <n v="2"/>
    <m/>
    <n v="0"/>
    <x v="111"/>
    <n v="0"/>
    <x v="97"/>
    <x v="2"/>
    <x v="1"/>
    <n v="653.4"/>
  </r>
  <r>
    <n v="2503"/>
    <x v="1486"/>
    <x v="3"/>
    <x v="7"/>
    <n v="2"/>
    <n v="1259.22"/>
    <n v="2518.44"/>
    <x v="1"/>
    <n v="2518.44"/>
    <x v="176"/>
    <x v="3"/>
    <x v="0"/>
    <n v="120.44"/>
  </r>
  <r>
    <n v="2504"/>
    <x v="1487"/>
    <x v="5"/>
    <x v="12"/>
    <n v="2"/>
    <m/>
    <n v="0"/>
    <x v="61"/>
    <n v="0"/>
    <x v="4"/>
    <x v="1"/>
    <x v="1"/>
    <n v="-757.99"/>
  </r>
  <r>
    <n v="2505"/>
    <x v="1488"/>
    <x v="2"/>
    <x v="10"/>
    <n v="-1"/>
    <n v="1258.77"/>
    <n v="-1258.77"/>
    <x v="58"/>
    <n v="-365.04330000000004"/>
    <x v="351"/>
    <x v="4"/>
    <x v="1"/>
    <n v="549.6"/>
  </r>
  <r>
    <n v="2506"/>
    <x v="1489"/>
    <x v="1"/>
    <x v="22"/>
    <n v="2"/>
    <m/>
    <n v="0"/>
    <x v="1"/>
    <n v="0"/>
    <x v="42"/>
    <x v="4"/>
    <x v="1"/>
    <n v="1734.31"/>
  </r>
  <r>
    <n v="2507"/>
    <x v="1490"/>
    <x v="4"/>
    <x v="16"/>
    <n v="2"/>
    <m/>
    <n v="0"/>
    <x v="1"/>
    <n v="0"/>
    <x v="272"/>
    <x v="1"/>
    <x v="0"/>
    <n v="339.83"/>
  </r>
  <r>
    <n v="2508"/>
    <x v="1491"/>
    <x v="4"/>
    <x v="8"/>
    <n v="2"/>
    <n v="4245.43"/>
    <n v="8490.86"/>
    <x v="1"/>
    <n v="8490.86"/>
    <x v="124"/>
    <x v="3"/>
    <x v="1"/>
    <n v="-556.03"/>
  </r>
  <r>
    <n v="2509"/>
    <x v="1492"/>
    <x v="1"/>
    <x v="1"/>
    <n v="5"/>
    <m/>
    <n v="0"/>
    <x v="1"/>
    <n v="0"/>
    <x v="293"/>
    <x v="5"/>
    <x v="0"/>
    <n v="1995.3"/>
  </r>
  <r>
    <n v="2510"/>
    <x v="1493"/>
    <x v="5"/>
    <x v="11"/>
    <n v="0"/>
    <m/>
    <n v="0"/>
    <x v="1"/>
    <n v="0"/>
    <x v="4"/>
    <x v="0"/>
    <x v="0"/>
    <n v="-530.80999999999995"/>
  </r>
  <r>
    <n v="2511"/>
    <x v="1494"/>
    <x v="1"/>
    <x v="15"/>
    <n v="2"/>
    <n v="2822.43"/>
    <n v="5644.86"/>
    <x v="111"/>
    <n v="0"/>
    <x v="480"/>
    <x v="3"/>
    <x v="0"/>
    <n v="2522.48"/>
  </r>
  <r>
    <n v="2512"/>
    <x v="1495"/>
    <x v="0"/>
    <x v="5"/>
    <n v="2"/>
    <m/>
    <n v="0"/>
    <x v="26"/>
    <n v="0"/>
    <x v="235"/>
    <x v="3"/>
    <x v="0"/>
    <n v="958.94"/>
  </r>
  <r>
    <n v="2513"/>
    <x v="1496"/>
    <x v="5"/>
    <x v="11"/>
    <n v="2"/>
    <n v="3625.99"/>
    <n v="7251.98"/>
    <x v="47"/>
    <n v="507.6385999999996"/>
    <x v="396"/>
    <x v="0"/>
    <x v="0"/>
    <n v="1552.29"/>
  </r>
  <r>
    <n v="2514"/>
    <x v="1497"/>
    <x v="0"/>
    <x v="9"/>
    <n v="4"/>
    <m/>
    <n v="0"/>
    <x v="105"/>
    <n v="0"/>
    <x v="481"/>
    <x v="4"/>
    <x v="1"/>
    <n v="-862.68"/>
  </r>
  <r>
    <n v="2515"/>
    <x v="1498"/>
    <x v="1"/>
    <x v="18"/>
    <n v="3"/>
    <m/>
    <n v="0"/>
    <x v="1"/>
    <n v="0"/>
    <x v="4"/>
    <x v="3"/>
    <x v="0"/>
    <n v="2802.1"/>
  </r>
  <r>
    <n v="2516"/>
    <x v="1499"/>
    <x v="0"/>
    <x v="20"/>
    <n v="1"/>
    <n v="1927.87"/>
    <n v="1927.87"/>
    <x v="1"/>
    <n v="1927.87"/>
    <x v="255"/>
    <x v="0"/>
    <x v="1"/>
    <n v="-876.36"/>
  </r>
  <r>
    <n v="2517"/>
    <x v="1500"/>
    <x v="2"/>
    <x v="17"/>
    <n v="2"/>
    <m/>
    <n v="0"/>
    <x v="31"/>
    <n v="0"/>
    <x v="99"/>
    <x v="5"/>
    <x v="0"/>
    <n v="409.12"/>
  </r>
  <r>
    <n v="2518"/>
    <x v="1501"/>
    <x v="2"/>
    <x v="17"/>
    <n v="6"/>
    <n v="773.28"/>
    <n v="4639.68"/>
    <x v="1"/>
    <n v="4639.68"/>
    <x v="225"/>
    <x v="5"/>
    <x v="0"/>
    <n v="608.25"/>
  </r>
  <r>
    <n v="2519"/>
    <x v="1502"/>
    <x v="5"/>
    <x v="11"/>
    <n v="2"/>
    <n v="3873.82"/>
    <n v="7747.64"/>
    <x v="38"/>
    <n v="77.476400000000069"/>
    <x v="220"/>
    <x v="0"/>
    <x v="0"/>
    <n v="2122.44"/>
  </r>
  <r>
    <n v="2520"/>
    <x v="1503"/>
    <x v="0"/>
    <x v="9"/>
    <n v="1"/>
    <n v="2581.19"/>
    <n v="2581.19"/>
    <x v="130"/>
    <n v="-103.24760000000009"/>
    <x v="482"/>
    <x v="4"/>
    <x v="1"/>
    <n v="2944.11"/>
  </r>
  <r>
    <n v="2521"/>
    <x v="1504"/>
    <x v="5"/>
    <x v="12"/>
    <n v="2"/>
    <m/>
    <n v="0"/>
    <x v="1"/>
    <n v="0"/>
    <x v="293"/>
    <x v="2"/>
    <x v="0"/>
    <n v="140.18"/>
  </r>
  <r>
    <n v="2522"/>
    <x v="1505"/>
    <x v="5"/>
    <x v="12"/>
    <n v="4"/>
    <n v="2847.02"/>
    <n v="11388.08"/>
    <x v="13"/>
    <n v="4896.8744000000006"/>
    <x v="434"/>
    <x v="5"/>
    <x v="0"/>
    <n v="1592.04"/>
  </r>
  <r>
    <n v="2523"/>
    <x v="1506"/>
    <x v="3"/>
    <x v="23"/>
    <n v="2"/>
    <n v="2840.78"/>
    <n v="5681.56"/>
    <x v="1"/>
    <n v="5681.56"/>
    <x v="286"/>
    <x v="5"/>
    <x v="0"/>
    <n v="-836.39"/>
  </r>
  <r>
    <n v="2524"/>
    <x v="1507"/>
    <x v="4"/>
    <x v="8"/>
    <n v="2"/>
    <n v="3539.22"/>
    <n v="7078.44"/>
    <x v="1"/>
    <n v="7078.44"/>
    <x v="167"/>
    <x v="3"/>
    <x v="0"/>
    <n v="1991.27"/>
  </r>
  <r>
    <n v="2525"/>
    <x v="1508"/>
    <x v="1"/>
    <x v="1"/>
    <n v="2"/>
    <n v="3046.11"/>
    <n v="6092.22"/>
    <x v="1"/>
    <n v="6092.22"/>
    <x v="238"/>
    <x v="3"/>
    <x v="0"/>
    <n v="-190.66"/>
  </r>
  <r>
    <n v="2526"/>
    <x v="1509"/>
    <x v="3"/>
    <x v="3"/>
    <n v="2"/>
    <m/>
    <n v="0"/>
    <x v="8"/>
    <n v="0"/>
    <x v="4"/>
    <x v="2"/>
    <x v="1"/>
    <n v="2853.61"/>
  </r>
  <r>
    <n v="2527"/>
    <x v="1510"/>
    <x v="2"/>
    <x v="13"/>
    <n v="-1"/>
    <n v="4057.33"/>
    <n v="-4057.33"/>
    <x v="127"/>
    <n v="892.61259999999993"/>
    <x v="4"/>
    <x v="3"/>
    <x v="0"/>
    <n v="385.15"/>
  </r>
  <r>
    <n v="2528"/>
    <x v="1511"/>
    <x v="2"/>
    <x v="10"/>
    <n v="-1"/>
    <m/>
    <n v="0"/>
    <x v="27"/>
    <n v="0"/>
    <x v="205"/>
    <x v="0"/>
    <x v="0"/>
    <n v="-634.46"/>
  </r>
  <r>
    <n v="2529"/>
    <x v="1512"/>
    <x v="4"/>
    <x v="4"/>
    <n v="2"/>
    <n v="419.25"/>
    <n v="838.5"/>
    <x v="1"/>
    <n v="838.5"/>
    <x v="4"/>
    <x v="2"/>
    <x v="1"/>
    <n v="1726.68"/>
  </r>
  <r>
    <n v="1028"/>
    <x v="1513"/>
    <x v="4"/>
    <x v="8"/>
    <n v="0"/>
    <m/>
    <n v="0"/>
    <x v="1"/>
    <n v="0"/>
    <x v="483"/>
    <x v="1"/>
    <x v="0"/>
    <n v="-701.08"/>
  </r>
  <r>
    <n v="2531"/>
    <x v="1514"/>
    <x v="4"/>
    <x v="16"/>
    <n v="2"/>
    <n v="816.33"/>
    <n v="1632.66"/>
    <x v="1"/>
    <n v="1632.66"/>
    <x v="192"/>
    <x v="2"/>
    <x v="0"/>
    <n v="868.11"/>
  </r>
  <r>
    <n v="2532"/>
    <x v="1515"/>
    <x v="2"/>
    <x v="10"/>
    <n v="2"/>
    <n v="1863.19"/>
    <n v="3726.38"/>
    <x v="86"/>
    <n v="3689.1161999999999"/>
    <x v="4"/>
    <x v="2"/>
    <x v="1"/>
    <n v="-371.04"/>
  </r>
  <r>
    <n v="2533"/>
    <x v="1516"/>
    <x v="5"/>
    <x v="11"/>
    <n v="2"/>
    <n v="3960.8"/>
    <n v="7921.6"/>
    <x v="71"/>
    <n v="7683.9520000000002"/>
    <x v="107"/>
    <x v="2"/>
    <x v="0"/>
    <n v="1266.8800000000001"/>
  </r>
  <r>
    <n v="2534"/>
    <x v="1517"/>
    <x v="4"/>
    <x v="14"/>
    <n v="4"/>
    <n v="687.34"/>
    <n v="2749.36"/>
    <x v="124"/>
    <n v="-577.36559999999997"/>
    <x v="125"/>
    <x v="0"/>
    <x v="1"/>
    <n v="-234.42"/>
  </r>
  <r>
    <n v="2535"/>
    <x v="1518"/>
    <x v="3"/>
    <x v="3"/>
    <n v="2"/>
    <m/>
    <n v="0"/>
    <x v="1"/>
    <n v="0"/>
    <x v="65"/>
    <x v="0"/>
    <x v="0"/>
    <n v="782.05"/>
  </r>
  <r>
    <n v="2536"/>
    <x v="1519"/>
    <x v="0"/>
    <x v="0"/>
    <n v="2"/>
    <m/>
    <n v="0"/>
    <x v="1"/>
    <n v="0"/>
    <x v="4"/>
    <x v="2"/>
    <x v="0"/>
    <n v="2685.77"/>
  </r>
  <r>
    <n v="2537"/>
    <x v="1520"/>
    <x v="2"/>
    <x v="10"/>
    <n v="2"/>
    <n v="3449.08"/>
    <n v="6898.16"/>
    <x v="43"/>
    <n v="-620.83440000000053"/>
    <x v="484"/>
    <x v="3"/>
    <x v="0"/>
    <n v="181.11"/>
  </r>
  <r>
    <n v="2538"/>
    <x v="1521"/>
    <x v="5"/>
    <x v="6"/>
    <n v="2"/>
    <m/>
    <n v="0"/>
    <x v="1"/>
    <n v="0"/>
    <x v="205"/>
    <x v="4"/>
    <x v="0"/>
    <n v="-705.34"/>
  </r>
  <r>
    <n v="2539"/>
    <x v="1522"/>
    <x v="1"/>
    <x v="15"/>
    <n v="4"/>
    <m/>
    <n v="0"/>
    <x v="1"/>
    <n v="0"/>
    <x v="4"/>
    <x v="2"/>
    <x v="1"/>
    <n v="2989.83"/>
  </r>
  <r>
    <n v="2540"/>
    <x v="1523"/>
    <x v="0"/>
    <x v="0"/>
    <n v="2"/>
    <n v="799.82"/>
    <n v="1599.64"/>
    <x v="1"/>
    <n v="1599.64"/>
    <x v="340"/>
    <x v="4"/>
    <x v="0"/>
    <n v="1358.09"/>
  </r>
  <r>
    <n v="2541"/>
    <x v="1524"/>
    <x v="0"/>
    <x v="20"/>
    <n v="3"/>
    <m/>
    <n v="0"/>
    <x v="1"/>
    <n v="0"/>
    <x v="218"/>
    <x v="0"/>
    <x v="1"/>
    <n v="404.87"/>
  </r>
  <r>
    <n v="2542"/>
    <x v="1525"/>
    <x v="1"/>
    <x v="15"/>
    <n v="3"/>
    <m/>
    <n v="0"/>
    <x v="32"/>
    <n v="0"/>
    <x v="357"/>
    <x v="3"/>
    <x v="0"/>
    <n v="379.4"/>
  </r>
  <r>
    <n v="2543"/>
    <x v="1526"/>
    <x v="4"/>
    <x v="14"/>
    <n v="4"/>
    <n v="3501.9"/>
    <n v="14007.6"/>
    <x v="1"/>
    <n v="14007.6"/>
    <x v="485"/>
    <x v="4"/>
    <x v="0"/>
    <n v="1747.96"/>
  </r>
  <r>
    <n v="2544"/>
    <x v="1527"/>
    <x v="3"/>
    <x v="7"/>
    <n v="2"/>
    <n v="3205.96"/>
    <n v="6411.92"/>
    <x v="1"/>
    <n v="6411.92"/>
    <x v="486"/>
    <x v="2"/>
    <x v="1"/>
    <n v="1764.26"/>
  </r>
  <r>
    <n v="2545"/>
    <x v="1528"/>
    <x v="5"/>
    <x v="19"/>
    <n v="2"/>
    <n v="2109.08"/>
    <n v="4218.16"/>
    <x v="1"/>
    <n v="4218.16"/>
    <x v="80"/>
    <x v="0"/>
    <x v="1"/>
    <n v="1633.57"/>
  </r>
  <r>
    <n v="2546"/>
    <x v="1529"/>
    <x v="4"/>
    <x v="14"/>
    <n v="1"/>
    <n v="3574.54"/>
    <n v="3574.54"/>
    <x v="1"/>
    <n v="3574.54"/>
    <x v="487"/>
    <x v="2"/>
    <x v="0"/>
    <n v="-305.77"/>
  </r>
  <r>
    <n v="2547"/>
    <x v="1530"/>
    <x v="2"/>
    <x v="13"/>
    <n v="2"/>
    <n v="4896.32"/>
    <n v="9792.64"/>
    <x v="45"/>
    <n v="-2546.0864000000001"/>
    <x v="376"/>
    <x v="0"/>
    <x v="1"/>
    <n v="2391.23"/>
  </r>
  <r>
    <n v="2548"/>
    <x v="1531"/>
    <x v="5"/>
    <x v="19"/>
    <n v="-1"/>
    <n v="4994.07"/>
    <n v="-4994.07"/>
    <x v="1"/>
    <n v="-4994.07"/>
    <x v="4"/>
    <x v="4"/>
    <x v="0"/>
    <n v="2068.21"/>
  </r>
  <r>
    <n v="2549"/>
    <x v="1532"/>
    <x v="5"/>
    <x v="12"/>
    <n v="6"/>
    <n v="2319.23"/>
    <n v="13915.380000000001"/>
    <x v="1"/>
    <n v="13915.380000000001"/>
    <x v="474"/>
    <x v="1"/>
    <x v="0"/>
    <n v="-854.91"/>
  </r>
  <r>
    <n v="2550"/>
    <x v="1533"/>
    <x v="1"/>
    <x v="22"/>
    <n v="-1"/>
    <n v="1463.64"/>
    <n v="-1463.64"/>
    <x v="1"/>
    <n v="-1463.64"/>
    <x v="281"/>
    <x v="4"/>
    <x v="0"/>
    <n v="1667.2"/>
  </r>
  <r>
    <n v="2551"/>
    <x v="1534"/>
    <x v="3"/>
    <x v="7"/>
    <n v="6"/>
    <n v="4776.97"/>
    <n v="28661.82"/>
    <x v="1"/>
    <n v="28661.82"/>
    <x v="4"/>
    <x v="1"/>
    <x v="1"/>
    <n v="727.96"/>
  </r>
  <r>
    <n v="2552"/>
    <x v="1535"/>
    <x v="5"/>
    <x v="6"/>
    <n v="2"/>
    <n v="3617.02"/>
    <n v="7234.04"/>
    <x v="1"/>
    <n v="7234.04"/>
    <x v="488"/>
    <x v="4"/>
    <x v="0"/>
    <n v="2692.48"/>
  </r>
  <r>
    <n v="2553"/>
    <x v="1536"/>
    <x v="5"/>
    <x v="11"/>
    <n v="2"/>
    <n v="3347.39"/>
    <n v="6694.78"/>
    <x v="1"/>
    <n v="6694.78"/>
    <x v="489"/>
    <x v="2"/>
    <x v="1"/>
    <n v="441.13"/>
  </r>
  <r>
    <n v="2554"/>
    <x v="1537"/>
    <x v="2"/>
    <x v="10"/>
    <n v="2"/>
    <n v="2433.4699999999998"/>
    <n v="4866.9399999999996"/>
    <x v="1"/>
    <n v="4866.9399999999996"/>
    <x v="269"/>
    <x v="4"/>
    <x v="0"/>
    <n v="796.37"/>
  </r>
  <r>
    <n v="2555"/>
    <x v="1538"/>
    <x v="0"/>
    <x v="0"/>
    <n v="2"/>
    <n v="3633.07"/>
    <n v="7266.14"/>
    <x v="30"/>
    <n v="5667.5892000000003"/>
    <x v="458"/>
    <x v="5"/>
    <x v="1"/>
    <n v="826.86"/>
  </r>
  <r>
    <n v="2556"/>
    <x v="1539"/>
    <x v="1"/>
    <x v="1"/>
    <n v="2"/>
    <n v="2068.88"/>
    <n v="4137.76"/>
    <x v="1"/>
    <n v="4137.76"/>
    <x v="4"/>
    <x v="3"/>
    <x v="0"/>
    <n v="-9.99"/>
  </r>
  <r>
    <n v="2557"/>
    <x v="1540"/>
    <x v="3"/>
    <x v="7"/>
    <n v="-1"/>
    <n v="4626.4399999999996"/>
    <n v="-4626.4399999999996"/>
    <x v="9"/>
    <n v="462.64400000000035"/>
    <x v="304"/>
    <x v="1"/>
    <x v="1"/>
    <n v="1942.23"/>
  </r>
  <r>
    <n v="2558"/>
    <x v="1541"/>
    <x v="3"/>
    <x v="7"/>
    <n v="2"/>
    <n v="1175.25"/>
    <n v="2350.5"/>
    <x v="1"/>
    <n v="2350.5"/>
    <x v="4"/>
    <x v="2"/>
    <x v="1"/>
    <n v="854.14"/>
  </r>
  <r>
    <n v="2559"/>
    <x v="1542"/>
    <x v="3"/>
    <x v="21"/>
    <n v="0"/>
    <m/>
    <n v="0"/>
    <x v="118"/>
    <n v="0"/>
    <x v="4"/>
    <x v="5"/>
    <x v="0"/>
    <n v="-882.81"/>
  </r>
  <r>
    <n v="2560"/>
    <x v="1543"/>
    <x v="2"/>
    <x v="2"/>
    <n v="-1"/>
    <n v="4699.66"/>
    <n v="-4699.66"/>
    <x v="1"/>
    <n v="-4699.66"/>
    <x v="4"/>
    <x v="2"/>
    <x v="0"/>
    <n v="2759.92"/>
  </r>
  <r>
    <n v="2561"/>
    <x v="1544"/>
    <x v="1"/>
    <x v="1"/>
    <n v="5"/>
    <m/>
    <n v="0"/>
    <x v="1"/>
    <n v="0"/>
    <x v="4"/>
    <x v="1"/>
    <x v="1"/>
    <n v="559.97"/>
  </r>
  <r>
    <n v="1044"/>
    <x v="1545"/>
    <x v="1"/>
    <x v="15"/>
    <n v="2"/>
    <n v="756.73"/>
    <n v="1513.46"/>
    <x v="1"/>
    <n v="1513.46"/>
    <x v="396"/>
    <x v="0"/>
    <x v="0"/>
    <n v="1504.13"/>
  </r>
  <r>
    <n v="2563"/>
    <x v="1546"/>
    <x v="3"/>
    <x v="7"/>
    <n v="2"/>
    <m/>
    <n v="0"/>
    <x v="12"/>
    <n v="0"/>
    <x v="206"/>
    <x v="4"/>
    <x v="0"/>
    <n v="891.43"/>
  </r>
  <r>
    <n v="2564"/>
    <x v="1547"/>
    <x v="1"/>
    <x v="22"/>
    <n v="-1"/>
    <m/>
    <n v="0"/>
    <x v="1"/>
    <n v="0"/>
    <x v="490"/>
    <x v="2"/>
    <x v="0"/>
    <n v="-479.17"/>
  </r>
  <r>
    <n v="2565"/>
    <x v="1548"/>
    <x v="2"/>
    <x v="10"/>
    <n v="2"/>
    <m/>
    <n v="0"/>
    <x v="1"/>
    <n v="0"/>
    <x v="4"/>
    <x v="5"/>
    <x v="1"/>
    <n v="415.71"/>
  </r>
  <r>
    <n v="2566"/>
    <x v="1549"/>
    <x v="4"/>
    <x v="4"/>
    <n v="1"/>
    <n v="4482.08"/>
    <n v="4482.08"/>
    <x v="1"/>
    <n v="4482.08"/>
    <x v="188"/>
    <x v="3"/>
    <x v="0"/>
    <n v="464.92"/>
  </r>
  <r>
    <n v="2567"/>
    <x v="1550"/>
    <x v="4"/>
    <x v="16"/>
    <n v="4"/>
    <m/>
    <n v="0"/>
    <x v="90"/>
    <n v="0"/>
    <x v="388"/>
    <x v="0"/>
    <x v="0"/>
    <n v="2962.69"/>
  </r>
  <r>
    <n v="1013"/>
    <x v="1551"/>
    <x v="2"/>
    <x v="10"/>
    <n v="6"/>
    <n v="2355.2800000000002"/>
    <n v="14131.68"/>
    <x v="1"/>
    <n v="14131.68"/>
    <x v="474"/>
    <x v="1"/>
    <x v="0"/>
    <n v="330.11"/>
  </r>
  <r>
    <n v="2569"/>
    <x v="1552"/>
    <x v="1"/>
    <x v="22"/>
    <n v="2"/>
    <n v="1263.8399999999999"/>
    <n v="2527.6799999999998"/>
    <x v="1"/>
    <n v="2527.6799999999998"/>
    <x v="175"/>
    <x v="4"/>
    <x v="1"/>
    <n v="2520.08"/>
  </r>
  <r>
    <n v="2570"/>
    <x v="1553"/>
    <x v="1"/>
    <x v="18"/>
    <n v="-1"/>
    <m/>
    <n v="0"/>
    <x v="107"/>
    <n v="0"/>
    <x v="240"/>
    <x v="4"/>
    <x v="1"/>
    <n v="1668.49"/>
  </r>
  <r>
    <n v="2571"/>
    <x v="1554"/>
    <x v="5"/>
    <x v="12"/>
    <n v="-2"/>
    <n v="3061.98"/>
    <n v="-6123.96"/>
    <x v="1"/>
    <n v="-6123.96"/>
    <x v="179"/>
    <x v="1"/>
    <x v="0"/>
    <n v="2553.09"/>
  </r>
  <r>
    <n v="2572"/>
    <x v="1555"/>
    <x v="4"/>
    <x v="8"/>
    <n v="0"/>
    <m/>
    <n v="0"/>
    <x v="1"/>
    <n v="0"/>
    <x v="32"/>
    <x v="5"/>
    <x v="1"/>
    <n v="-305.72000000000003"/>
  </r>
  <r>
    <n v="2573"/>
    <x v="1556"/>
    <x v="1"/>
    <x v="22"/>
    <n v="2"/>
    <m/>
    <n v="0"/>
    <x v="1"/>
    <n v="0"/>
    <x v="491"/>
    <x v="1"/>
    <x v="0"/>
    <n v="-215"/>
  </r>
  <r>
    <n v="2574"/>
    <x v="1557"/>
    <x v="5"/>
    <x v="12"/>
    <n v="-2"/>
    <m/>
    <n v="0"/>
    <x v="1"/>
    <n v="0"/>
    <x v="91"/>
    <x v="5"/>
    <x v="1"/>
    <n v="-39.299999999999997"/>
  </r>
  <r>
    <n v="2575"/>
    <x v="1558"/>
    <x v="2"/>
    <x v="10"/>
    <n v="-2"/>
    <n v="2714.78"/>
    <n v="-5429.56"/>
    <x v="32"/>
    <n v="-3149.1448000000005"/>
    <x v="58"/>
    <x v="1"/>
    <x v="1"/>
    <n v="1220.49"/>
  </r>
  <r>
    <n v="2576"/>
    <x v="1559"/>
    <x v="0"/>
    <x v="9"/>
    <n v="2"/>
    <m/>
    <n v="0"/>
    <x v="10"/>
    <n v="0"/>
    <x v="23"/>
    <x v="2"/>
    <x v="0"/>
    <n v="515.36"/>
  </r>
  <r>
    <n v="2577"/>
    <x v="1560"/>
    <x v="0"/>
    <x v="9"/>
    <n v="1"/>
    <n v="609.05999999999995"/>
    <n v="609.05999999999995"/>
    <x v="91"/>
    <n v="505.51979999999992"/>
    <x v="341"/>
    <x v="1"/>
    <x v="0"/>
    <n v="110.23"/>
  </r>
  <r>
    <n v="2578"/>
    <x v="1561"/>
    <x v="4"/>
    <x v="16"/>
    <n v="2"/>
    <m/>
    <n v="0"/>
    <x v="57"/>
    <n v="0"/>
    <x v="4"/>
    <x v="4"/>
    <x v="0"/>
    <n v="2826.66"/>
  </r>
  <r>
    <n v="1026"/>
    <x v="1562"/>
    <x v="0"/>
    <x v="5"/>
    <n v="2"/>
    <n v="2293.29"/>
    <n v="4586.58"/>
    <x v="33"/>
    <n v="2751.9479999999999"/>
    <x v="4"/>
    <x v="2"/>
    <x v="0"/>
    <n v="1000.06"/>
  </r>
  <r>
    <n v="2580"/>
    <x v="1563"/>
    <x v="2"/>
    <x v="2"/>
    <n v="2"/>
    <m/>
    <n v="0"/>
    <x v="1"/>
    <n v="0"/>
    <x v="492"/>
    <x v="4"/>
    <x v="0"/>
    <n v="2076.5300000000002"/>
  </r>
  <r>
    <n v="2581"/>
    <x v="1564"/>
    <x v="1"/>
    <x v="15"/>
    <n v="2"/>
    <n v="3895.43"/>
    <n v="7790.86"/>
    <x v="1"/>
    <n v="7790.86"/>
    <x v="27"/>
    <x v="3"/>
    <x v="0"/>
    <n v="1316.66"/>
  </r>
  <r>
    <n v="2582"/>
    <x v="1565"/>
    <x v="4"/>
    <x v="8"/>
    <n v="2"/>
    <n v="4154.55"/>
    <n v="8309.1"/>
    <x v="104"/>
    <n v="415.45500000000038"/>
    <x v="269"/>
    <x v="5"/>
    <x v="1"/>
    <n v="-247.99"/>
  </r>
  <r>
    <n v="1014"/>
    <x v="1566"/>
    <x v="0"/>
    <x v="5"/>
    <n v="-2"/>
    <m/>
    <n v="0"/>
    <x v="1"/>
    <n v="0"/>
    <x v="493"/>
    <x v="0"/>
    <x v="0"/>
    <n v="1946.1"/>
  </r>
  <r>
    <n v="2584"/>
    <x v="1567"/>
    <x v="3"/>
    <x v="23"/>
    <n v="3"/>
    <n v="1276.26"/>
    <n v="3828.7799999999997"/>
    <x v="70"/>
    <n v="1186.9218000000001"/>
    <x v="4"/>
    <x v="2"/>
    <x v="0"/>
    <n v="2446.6999999999998"/>
  </r>
  <r>
    <n v="2585"/>
    <x v="1568"/>
    <x v="5"/>
    <x v="6"/>
    <n v="2"/>
    <m/>
    <n v="0"/>
    <x v="1"/>
    <n v="0"/>
    <x v="133"/>
    <x v="4"/>
    <x v="0"/>
    <n v="1123.27"/>
  </r>
  <r>
    <n v="2586"/>
    <x v="1569"/>
    <x v="0"/>
    <x v="0"/>
    <n v="2"/>
    <n v="789.21"/>
    <n v="1578.42"/>
    <x v="1"/>
    <n v="1578.42"/>
    <x v="48"/>
    <x v="1"/>
    <x v="0"/>
    <n v="1565.56"/>
  </r>
  <r>
    <n v="2587"/>
    <x v="1570"/>
    <x v="4"/>
    <x v="14"/>
    <n v="5"/>
    <n v="3463.37"/>
    <n v="17316.849999999999"/>
    <x v="105"/>
    <n v="15585.164999999999"/>
    <x v="4"/>
    <x v="3"/>
    <x v="1"/>
    <n v="-957.03"/>
  </r>
  <r>
    <n v="2588"/>
    <x v="1571"/>
    <x v="3"/>
    <x v="7"/>
    <n v="2"/>
    <m/>
    <n v="0"/>
    <x v="89"/>
    <n v="0"/>
    <x v="55"/>
    <x v="4"/>
    <x v="0"/>
    <n v="-927.74"/>
  </r>
  <r>
    <n v="2589"/>
    <x v="1572"/>
    <x v="2"/>
    <x v="13"/>
    <n v="0"/>
    <n v="3256.31"/>
    <n v="0"/>
    <x v="1"/>
    <n v="0"/>
    <x v="323"/>
    <x v="0"/>
    <x v="0"/>
    <n v="2266.79"/>
  </r>
  <r>
    <n v="2590"/>
    <x v="1573"/>
    <x v="2"/>
    <x v="13"/>
    <n v="2"/>
    <m/>
    <n v="0"/>
    <x v="96"/>
    <n v="0"/>
    <x v="494"/>
    <x v="0"/>
    <x v="1"/>
    <n v="1613.88"/>
  </r>
  <r>
    <n v="2591"/>
    <x v="1574"/>
    <x v="1"/>
    <x v="18"/>
    <n v="2"/>
    <n v="4784.03"/>
    <n v="9568.06"/>
    <x v="1"/>
    <n v="9568.06"/>
    <x v="133"/>
    <x v="4"/>
    <x v="0"/>
    <n v="176.96"/>
  </r>
  <r>
    <n v="2592"/>
    <x v="381"/>
    <x v="4"/>
    <x v="4"/>
    <n v="2"/>
    <n v="4965.93"/>
    <n v="9931.86"/>
    <x v="1"/>
    <n v="9931.86"/>
    <x v="4"/>
    <x v="5"/>
    <x v="0"/>
    <n v="1406.72"/>
  </r>
  <r>
    <n v="2593"/>
    <x v="1575"/>
    <x v="5"/>
    <x v="11"/>
    <n v="4"/>
    <n v="736.36"/>
    <n v="2945.44"/>
    <x v="116"/>
    <n v="500.72480000000013"/>
    <x v="4"/>
    <x v="2"/>
    <x v="0"/>
    <n v="2463.6799999999998"/>
  </r>
  <r>
    <n v="2594"/>
    <x v="1576"/>
    <x v="0"/>
    <x v="9"/>
    <n v="2"/>
    <m/>
    <n v="0"/>
    <x v="62"/>
    <n v="0"/>
    <x v="4"/>
    <x v="5"/>
    <x v="0"/>
    <n v="580.23"/>
  </r>
  <r>
    <n v="2595"/>
    <x v="1577"/>
    <x v="5"/>
    <x v="11"/>
    <n v="2"/>
    <n v="2469.67"/>
    <n v="4939.34"/>
    <x v="89"/>
    <n v="-345.7538000000003"/>
    <x v="475"/>
    <x v="2"/>
    <x v="1"/>
    <n v="802.05"/>
  </r>
  <r>
    <n v="2596"/>
    <x v="1578"/>
    <x v="0"/>
    <x v="0"/>
    <n v="2"/>
    <n v="2538.5700000000002"/>
    <n v="5077.1400000000003"/>
    <x v="1"/>
    <n v="5077.1400000000003"/>
    <x v="393"/>
    <x v="4"/>
    <x v="0"/>
    <n v="342.21"/>
  </r>
  <r>
    <n v="2597"/>
    <x v="1579"/>
    <x v="1"/>
    <x v="1"/>
    <n v="2"/>
    <m/>
    <n v="0"/>
    <x v="1"/>
    <n v="0"/>
    <x v="4"/>
    <x v="3"/>
    <x v="1"/>
    <n v="538.11"/>
  </r>
  <r>
    <n v="2598"/>
    <x v="1580"/>
    <x v="1"/>
    <x v="18"/>
    <n v="-2"/>
    <n v="4412.21"/>
    <n v="-8824.42"/>
    <x v="1"/>
    <n v="-8824.42"/>
    <x v="4"/>
    <x v="3"/>
    <x v="0"/>
    <n v="2917.18"/>
  </r>
  <r>
    <n v="2599"/>
    <x v="1581"/>
    <x v="2"/>
    <x v="10"/>
    <n v="2"/>
    <m/>
    <n v="0"/>
    <x v="37"/>
    <n v="0"/>
    <x v="322"/>
    <x v="4"/>
    <x v="0"/>
    <n v="2293.29"/>
  </r>
  <r>
    <n v="2600"/>
    <x v="1582"/>
    <x v="2"/>
    <x v="17"/>
    <n v="5"/>
    <n v="4832.16"/>
    <n v="24160.799999999999"/>
    <x v="1"/>
    <n v="24160.799999999999"/>
    <x v="53"/>
    <x v="5"/>
    <x v="1"/>
    <n v="1707.66"/>
  </r>
  <r>
    <n v="2601"/>
    <x v="1583"/>
    <x v="0"/>
    <x v="20"/>
    <n v="1"/>
    <m/>
    <n v="0"/>
    <x v="103"/>
    <n v="0"/>
    <x v="188"/>
    <x v="3"/>
    <x v="1"/>
    <n v="2556.02"/>
  </r>
  <r>
    <n v="1002"/>
    <x v="1584"/>
    <x v="3"/>
    <x v="21"/>
    <n v="2"/>
    <m/>
    <n v="0"/>
    <x v="1"/>
    <n v="0"/>
    <x v="300"/>
    <x v="1"/>
    <x v="0"/>
    <n v="48.87"/>
  </r>
  <r>
    <n v="2603"/>
    <x v="1585"/>
    <x v="4"/>
    <x v="4"/>
    <n v="5"/>
    <n v="4403.84"/>
    <n v="22019.200000000001"/>
    <x v="1"/>
    <n v="22019.200000000001"/>
    <x v="4"/>
    <x v="2"/>
    <x v="0"/>
    <n v="-513.19000000000005"/>
  </r>
  <r>
    <n v="2604"/>
    <x v="1586"/>
    <x v="2"/>
    <x v="17"/>
    <n v="-1"/>
    <n v="2171.2199999999998"/>
    <n v="-2171.2199999999998"/>
    <x v="1"/>
    <n v="-2171.2199999999998"/>
    <x v="183"/>
    <x v="3"/>
    <x v="1"/>
    <n v="2595.2199999999998"/>
  </r>
  <r>
    <n v="2605"/>
    <x v="1587"/>
    <x v="5"/>
    <x v="6"/>
    <n v="1"/>
    <n v="1636.26"/>
    <n v="1636.26"/>
    <x v="8"/>
    <n v="98.175600000000088"/>
    <x v="123"/>
    <x v="4"/>
    <x v="0"/>
    <n v="615.80999999999995"/>
  </r>
  <r>
    <n v="2606"/>
    <x v="1588"/>
    <x v="0"/>
    <x v="9"/>
    <n v="2"/>
    <n v="806.81"/>
    <n v="1613.62"/>
    <x v="112"/>
    <n v="1436.1217999999999"/>
    <x v="495"/>
    <x v="5"/>
    <x v="0"/>
    <n v="634.66"/>
  </r>
  <r>
    <n v="2607"/>
    <x v="1589"/>
    <x v="1"/>
    <x v="1"/>
    <n v="2"/>
    <n v="2289.9299999999998"/>
    <n v="4579.8599999999997"/>
    <x v="61"/>
    <n v="-915.97199999999975"/>
    <x v="88"/>
    <x v="3"/>
    <x v="1"/>
    <n v="183.34"/>
  </r>
  <r>
    <n v="2608"/>
    <x v="1590"/>
    <x v="1"/>
    <x v="1"/>
    <n v="2"/>
    <n v="3352.88"/>
    <n v="6705.76"/>
    <x v="1"/>
    <n v="6705.76"/>
    <x v="496"/>
    <x v="2"/>
    <x v="1"/>
    <n v="2684.88"/>
  </r>
  <r>
    <n v="2609"/>
    <x v="1591"/>
    <x v="1"/>
    <x v="1"/>
    <n v="2"/>
    <m/>
    <n v="0"/>
    <x v="1"/>
    <n v="0"/>
    <x v="4"/>
    <x v="0"/>
    <x v="0"/>
    <n v="641.89"/>
  </r>
  <r>
    <n v="2610"/>
    <x v="1592"/>
    <x v="4"/>
    <x v="8"/>
    <n v="5"/>
    <n v="1606.99"/>
    <n v="8034.95"/>
    <x v="1"/>
    <n v="8034.95"/>
    <x v="454"/>
    <x v="1"/>
    <x v="0"/>
    <n v="1743.11"/>
  </r>
  <r>
    <n v="2611"/>
    <x v="1593"/>
    <x v="5"/>
    <x v="12"/>
    <n v="-2"/>
    <m/>
    <n v="0"/>
    <x v="65"/>
    <n v="0"/>
    <x v="312"/>
    <x v="5"/>
    <x v="1"/>
    <n v="2391.6999999999998"/>
  </r>
  <r>
    <n v="2612"/>
    <x v="1594"/>
    <x v="3"/>
    <x v="21"/>
    <n v="2"/>
    <n v="2672.64"/>
    <n v="5345.28"/>
    <x v="1"/>
    <n v="5345.28"/>
    <x v="279"/>
    <x v="3"/>
    <x v="1"/>
    <n v="1142.44"/>
  </r>
  <r>
    <n v="2613"/>
    <x v="1595"/>
    <x v="4"/>
    <x v="16"/>
    <n v="2"/>
    <n v="2438.16"/>
    <n v="4876.32"/>
    <x v="1"/>
    <n v="4876.32"/>
    <x v="105"/>
    <x v="5"/>
    <x v="1"/>
    <n v="161.35"/>
  </r>
  <r>
    <n v="2614"/>
    <x v="1596"/>
    <x v="2"/>
    <x v="10"/>
    <n v="2"/>
    <n v="4530.28"/>
    <n v="9060.56"/>
    <x v="93"/>
    <n v="2989.9847999999993"/>
    <x v="193"/>
    <x v="1"/>
    <x v="1"/>
    <n v="2891.77"/>
  </r>
  <r>
    <n v="2615"/>
    <x v="1597"/>
    <x v="4"/>
    <x v="14"/>
    <n v="2"/>
    <m/>
    <n v="0"/>
    <x v="1"/>
    <n v="0"/>
    <x v="401"/>
    <x v="2"/>
    <x v="1"/>
    <n v="1644.18"/>
  </r>
  <r>
    <n v="2616"/>
    <x v="1598"/>
    <x v="4"/>
    <x v="16"/>
    <n v="5"/>
    <m/>
    <n v="0"/>
    <x v="102"/>
    <n v="0"/>
    <x v="270"/>
    <x v="5"/>
    <x v="1"/>
    <n v="2858.08"/>
  </r>
  <r>
    <n v="2617"/>
    <x v="1599"/>
    <x v="5"/>
    <x v="11"/>
    <n v="2"/>
    <m/>
    <n v="0"/>
    <x v="1"/>
    <n v="0"/>
    <x v="112"/>
    <x v="2"/>
    <x v="0"/>
    <n v="-151.75"/>
  </r>
  <r>
    <n v="2618"/>
    <x v="1600"/>
    <x v="2"/>
    <x v="17"/>
    <n v="2"/>
    <m/>
    <n v="0"/>
    <x v="104"/>
    <n v="0"/>
    <x v="497"/>
    <x v="1"/>
    <x v="0"/>
    <n v="-850.68"/>
  </r>
  <r>
    <n v="2619"/>
    <x v="1601"/>
    <x v="0"/>
    <x v="9"/>
    <n v="2"/>
    <m/>
    <n v="0"/>
    <x v="1"/>
    <n v="0"/>
    <x v="4"/>
    <x v="1"/>
    <x v="0"/>
    <n v="1443.87"/>
  </r>
  <r>
    <n v="2620"/>
    <x v="1602"/>
    <x v="2"/>
    <x v="2"/>
    <n v="2"/>
    <n v="3415.9"/>
    <n v="6831.8"/>
    <x v="1"/>
    <n v="6831.8"/>
    <x v="9"/>
    <x v="2"/>
    <x v="0"/>
    <n v="25.83"/>
  </r>
  <r>
    <n v="2621"/>
    <x v="1603"/>
    <x v="2"/>
    <x v="2"/>
    <n v="4"/>
    <m/>
    <n v="0"/>
    <x v="119"/>
    <n v="0"/>
    <x v="454"/>
    <x v="0"/>
    <x v="1"/>
    <n v="2237.85"/>
  </r>
  <r>
    <n v="2622"/>
    <x v="1242"/>
    <x v="4"/>
    <x v="8"/>
    <n v="2"/>
    <n v="2705.13"/>
    <n v="5410.26"/>
    <x v="1"/>
    <n v="5410.26"/>
    <x v="498"/>
    <x v="0"/>
    <x v="0"/>
    <n v="1133.53"/>
  </r>
  <r>
    <n v="1020"/>
    <x v="1604"/>
    <x v="5"/>
    <x v="19"/>
    <n v="2"/>
    <m/>
    <n v="0"/>
    <x v="1"/>
    <n v="0"/>
    <x v="499"/>
    <x v="5"/>
    <x v="0"/>
    <n v="1224.3499999999999"/>
  </r>
  <r>
    <n v="2624"/>
    <x v="1605"/>
    <x v="3"/>
    <x v="23"/>
    <n v="-1"/>
    <m/>
    <n v="0"/>
    <x v="38"/>
    <n v="0"/>
    <x v="93"/>
    <x v="1"/>
    <x v="0"/>
    <n v="559.1"/>
  </r>
  <r>
    <n v="2625"/>
    <x v="1606"/>
    <x v="5"/>
    <x v="11"/>
    <n v="2"/>
    <m/>
    <n v="0"/>
    <x v="1"/>
    <n v="0"/>
    <x v="500"/>
    <x v="2"/>
    <x v="1"/>
    <n v="1271.1199999999999"/>
  </r>
  <r>
    <n v="2626"/>
    <x v="1607"/>
    <x v="4"/>
    <x v="4"/>
    <n v="2"/>
    <n v="4932.25"/>
    <n v="9864.5"/>
    <x v="1"/>
    <n v="9864.5"/>
    <x v="365"/>
    <x v="3"/>
    <x v="0"/>
    <n v="742.42"/>
  </r>
  <r>
    <n v="2627"/>
    <x v="1608"/>
    <x v="5"/>
    <x v="12"/>
    <n v="-2"/>
    <m/>
    <n v="0"/>
    <x v="1"/>
    <n v="0"/>
    <x v="101"/>
    <x v="2"/>
    <x v="0"/>
    <n v="87.54"/>
  </r>
  <r>
    <n v="2628"/>
    <x v="1609"/>
    <x v="0"/>
    <x v="9"/>
    <n v="2"/>
    <m/>
    <n v="0"/>
    <x v="1"/>
    <n v="0"/>
    <x v="501"/>
    <x v="0"/>
    <x v="1"/>
    <n v="2466.4299999999998"/>
  </r>
  <r>
    <n v="2629"/>
    <x v="1610"/>
    <x v="5"/>
    <x v="19"/>
    <n v="2"/>
    <m/>
    <n v="0"/>
    <x v="1"/>
    <n v="0"/>
    <x v="306"/>
    <x v="4"/>
    <x v="0"/>
    <n v="1765.52"/>
  </r>
  <r>
    <n v="2630"/>
    <x v="1611"/>
    <x v="2"/>
    <x v="2"/>
    <n v="2"/>
    <n v="856.83"/>
    <n v="1713.66"/>
    <x v="1"/>
    <n v="1713.66"/>
    <x v="281"/>
    <x v="1"/>
    <x v="0"/>
    <n v="1369.89"/>
  </r>
  <r>
    <n v="2631"/>
    <x v="1612"/>
    <x v="3"/>
    <x v="21"/>
    <n v="2"/>
    <n v="1753.02"/>
    <n v="3506.04"/>
    <x v="37"/>
    <n v="2699.6507999999999"/>
    <x v="423"/>
    <x v="5"/>
    <x v="0"/>
    <n v="-766.47"/>
  </r>
  <r>
    <n v="2632"/>
    <x v="1613"/>
    <x v="2"/>
    <x v="2"/>
    <n v="3"/>
    <n v="4127.32"/>
    <n v="12381.96"/>
    <x v="1"/>
    <n v="12381.96"/>
    <x v="4"/>
    <x v="5"/>
    <x v="1"/>
    <n v="989.17"/>
  </r>
  <r>
    <n v="2633"/>
    <x v="1614"/>
    <x v="3"/>
    <x v="23"/>
    <n v="-1"/>
    <m/>
    <n v="0"/>
    <x v="57"/>
    <n v="0"/>
    <x v="485"/>
    <x v="5"/>
    <x v="1"/>
    <n v="300.47000000000003"/>
  </r>
  <r>
    <n v="2634"/>
    <x v="1615"/>
    <x v="3"/>
    <x v="21"/>
    <n v="-2"/>
    <m/>
    <n v="0"/>
    <x v="78"/>
    <n v="0"/>
    <x v="4"/>
    <x v="4"/>
    <x v="1"/>
    <n v="2065.7399999999998"/>
  </r>
  <r>
    <n v="2635"/>
    <x v="1616"/>
    <x v="2"/>
    <x v="17"/>
    <n v="2"/>
    <m/>
    <n v="0"/>
    <x v="1"/>
    <n v="0"/>
    <x v="347"/>
    <x v="5"/>
    <x v="0"/>
    <n v="461.83"/>
  </r>
  <r>
    <n v="2636"/>
    <x v="1617"/>
    <x v="5"/>
    <x v="12"/>
    <n v="3"/>
    <n v="1006.98"/>
    <n v="3020.94"/>
    <x v="1"/>
    <n v="3020.94"/>
    <x v="271"/>
    <x v="2"/>
    <x v="1"/>
    <n v="1576.71"/>
  </r>
  <r>
    <n v="2637"/>
    <x v="1618"/>
    <x v="1"/>
    <x v="22"/>
    <n v="2"/>
    <m/>
    <n v="0"/>
    <x v="122"/>
    <n v="0"/>
    <x v="4"/>
    <x v="0"/>
    <x v="1"/>
    <n v="1326.41"/>
  </r>
  <r>
    <n v="2638"/>
    <x v="1619"/>
    <x v="1"/>
    <x v="22"/>
    <n v="6"/>
    <n v="2012.14"/>
    <n v="12072.84"/>
    <x v="1"/>
    <n v="12072.84"/>
    <x v="388"/>
    <x v="0"/>
    <x v="1"/>
    <n v="3.53"/>
  </r>
  <r>
    <n v="2639"/>
    <x v="1620"/>
    <x v="2"/>
    <x v="10"/>
    <n v="-1"/>
    <n v="4947.96"/>
    <n v="-4947.96"/>
    <x v="1"/>
    <n v="-4947.96"/>
    <x v="4"/>
    <x v="5"/>
    <x v="0"/>
    <n v="1245.6099999999999"/>
  </r>
  <r>
    <n v="2640"/>
    <x v="1621"/>
    <x v="1"/>
    <x v="22"/>
    <n v="6"/>
    <n v="4720.2299999999996"/>
    <n v="28321.379999999997"/>
    <x v="70"/>
    <n v="8779.6278000000002"/>
    <x v="264"/>
    <x v="1"/>
    <x v="1"/>
    <n v="2243.09"/>
  </r>
  <r>
    <n v="2641"/>
    <x v="1622"/>
    <x v="5"/>
    <x v="19"/>
    <n v="6"/>
    <m/>
    <n v="0"/>
    <x v="1"/>
    <n v="0"/>
    <x v="110"/>
    <x v="0"/>
    <x v="1"/>
    <n v="-151.61000000000001"/>
  </r>
  <r>
    <n v="2642"/>
    <x v="1623"/>
    <x v="1"/>
    <x v="15"/>
    <n v="-1"/>
    <n v="1043.58"/>
    <n v="-1043.58"/>
    <x v="1"/>
    <n v="-1043.58"/>
    <x v="35"/>
    <x v="4"/>
    <x v="1"/>
    <n v="1206.72"/>
  </r>
  <r>
    <n v="2643"/>
    <x v="1624"/>
    <x v="1"/>
    <x v="15"/>
    <n v="2"/>
    <m/>
    <n v="0"/>
    <x v="26"/>
    <n v="0"/>
    <x v="89"/>
    <x v="3"/>
    <x v="1"/>
    <n v="2911.37"/>
  </r>
  <r>
    <n v="2644"/>
    <x v="1625"/>
    <x v="0"/>
    <x v="0"/>
    <n v="2"/>
    <m/>
    <n v="0"/>
    <x v="1"/>
    <n v="0"/>
    <x v="502"/>
    <x v="2"/>
    <x v="0"/>
    <n v="2044.35"/>
  </r>
  <r>
    <n v="2645"/>
    <x v="1626"/>
    <x v="3"/>
    <x v="7"/>
    <n v="2"/>
    <m/>
    <n v="0"/>
    <x v="98"/>
    <n v="0"/>
    <x v="503"/>
    <x v="1"/>
    <x v="1"/>
    <n v="1141.67"/>
  </r>
  <r>
    <n v="2646"/>
    <x v="1627"/>
    <x v="0"/>
    <x v="5"/>
    <n v="6"/>
    <m/>
    <n v="0"/>
    <x v="1"/>
    <n v="0"/>
    <x v="63"/>
    <x v="0"/>
    <x v="0"/>
    <n v="2299.84"/>
  </r>
  <r>
    <n v="2647"/>
    <x v="1628"/>
    <x v="3"/>
    <x v="3"/>
    <n v="5"/>
    <m/>
    <n v="0"/>
    <x v="1"/>
    <n v="0"/>
    <x v="448"/>
    <x v="4"/>
    <x v="1"/>
    <n v="-102.81"/>
  </r>
  <r>
    <n v="2648"/>
    <x v="1629"/>
    <x v="0"/>
    <x v="9"/>
    <n v="2"/>
    <n v="4899.84"/>
    <n v="9799.68"/>
    <x v="1"/>
    <n v="9799.68"/>
    <x v="125"/>
    <x v="1"/>
    <x v="0"/>
    <n v="1775.2"/>
  </r>
  <r>
    <n v="2649"/>
    <x v="1630"/>
    <x v="3"/>
    <x v="7"/>
    <n v="3"/>
    <n v="3838.55"/>
    <n v="11515.650000000001"/>
    <x v="53"/>
    <n v="1036.4084999999998"/>
    <x v="504"/>
    <x v="5"/>
    <x v="0"/>
    <n v="2380.44"/>
  </r>
  <r>
    <n v="2650"/>
    <x v="1631"/>
    <x v="2"/>
    <x v="13"/>
    <n v="2"/>
    <m/>
    <n v="0"/>
    <x v="1"/>
    <n v="0"/>
    <x v="39"/>
    <x v="3"/>
    <x v="0"/>
    <n v="2003.15"/>
  </r>
  <r>
    <n v="1040"/>
    <x v="1632"/>
    <x v="1"/>
    <x v="1"/>
    <n v="2"/>
    <n v="1640.04"/>
    <n v="3280.08"/>
    <x v="1"/>
    <n v="3280.08"/>
    <x v="127"/>
    <x v="3"/>
    <x v="0"/>
    <n v="288.44"/>
  </r>
  <r>
    <n v="2652"/>
    <x v="1633"/>
    <x v="0"/>
    <x v="5"/>
    <n v="2"/>
    <m/>
    <n v="0"/>
    <x v="1"/>
    <n v="0"/>
    <x v="4"/>
    <x v="1"/>
    <x v="0"/>
    <n v="1472.41"/>
  </r>
  <r>
    <n v="2653"/>
    <x v="1634"/>
    <x v="4"/>
    <x v="8"/>
    <n v="2"/>
    <m/>
    <n v="0"/>
    <x v="71"/>
    <n v="0"/>
    <x v="505"/>
    <x v="5"/>
    <x v="1"/>
    <n v="-327.41000000000003"/>
  </r>
  <r>
    <n v="2654"/>
    <x v="1635"/>
    <x v="2"/>
    <x v="13"/>
    <n v="6"/>
    <m/>
    <n v="0"/>
    <x v="114"/>
    <n v="0"/>
    <x v="152"/>
    <x v="4"/>
    <x v="1"/>
    <n v="250.85"/>
  </r>
  <r>
    <n v="2655"/>
    <x v="1636"/>
    <x v="3"/>
    <x v="23"/>
    <n v="4"/>
    <m/>
    <n v="0"/>
    <x v="1"/>
    <n v="0"/>
    <x v="4"/>
    <x v="0"/>
    <x v="0"/>
    <n v="-630.72"/>
  </r>
  <r>
    <n v="2656"/>
    <x v="1637"/>
    <x v="2"/>
    <x v="10"/>
    <n v="2"/>
    <m/>
    <n v="0"/>
    <x v="1"/>
    <n v="0"/>
    <x v="381"/>
    <x v="1"/>
    <x v="0"/>
    <n v="1096.6099999999999"/>
  </r>
  <r>
    <n v="1033"/>
    <x v="1638"/>
    <x v="5"/>
    <x v="6"/>
    <n v="2"/>
    <n v="3863.95"/>
    <n v="7727.9"/>
    <x v="55"/>
    <n v="772.78999999999974"/>
    <x v="4"/>
    <x v="5"/>
    <x v="0"/>
    <n v="1784.65"/>
  </r>
  <r>
    <n v="2658"/>
    <x v="1639"/>
    <x v="0"/>
    <x v="20"/>
    <n v="2"/>
    <n v="3726.31"/>
    <n v="7452.62"/>
    <x v="1"/>
    <n v="7452.62"/>
    <x v="4"/>
    <x v="2"/>
    <x v="0"/>
    <n v="1524.78"/>
  </r>
  <r>
    <n v="2659"/>
    <x v="1640"/>
    <x v="4"/>
    <x v="14"/>
    <n v="2"/>
    <n v="1059.0899999999999"/>
    <n v="2118.1799999999998"/>
    <x v="72"/>
    <n v="-508.36319999999995"/>
    <x v="17"/>
    <x v="0"/>
    <x v="0"/>
    <n v="-521.41"/>
  </r>
  <r>
    <n v="2660"/>
    <x v="1641"/>
    <x v="4"/>
    <x v="16"/>
    <n v="2"/>
    <m/>
    <n v="0"/>
    <x v="1"/>
    <n v="0"/>
    <x v="4"/>
    <x v="4"/>
    <x v="0"/>
    <n v="1006.1"/>
  </r>
  <r>
    <n v="2661"/>
    <x v="1642"/>
    <x v="5"/>
    <x v="6"/>
    <n v="2"/>
    <m/>
    <n v="0"/>
    <x v="1"/>
    <n v="0"/>
    <x v="142"/>
    <x v="1"/>
    <x v="1"/>
    <n v="1249.5899999999999"/>
  </r>
  <r>
    <n v="2662"/>
    <x v="1643"/>
    <x v="4"/>
    <x v="4"/>
    <n v="-1"/>
    <n v="2718.51"/>
    <n v="-2718.51"/>
    <x v="1"/>
    <n v="-2718.51"/>
    <x v="221"/>
    <x v="5"/>
    <x v="0"/>
    <n v="903.59"/>
  </r>
  <r>
    <n v="2663"/>
    <x v="1644"/>
    <x v="3"/>
    <x v="7"/>
    <n v="-2"/>
    <n v="2212.25"/>
    <n v="-4424.5"/>
    <x v="90"/>
    <n v="-2875.9250000000002"/>
    <x v="91"/>
    <x v="2"/>
    <x v="0"/>
    <n v="2992.12"/>
  </r>
  <r>
    <n v="2664"/>
    <x v="1645"/>
    <x v="2"/>
    <x v="17"/>
    <n v="2"/>
    <m/>
    <n v="0"/>
    <x v="1"/>
    <n v="0"/>
    <x v="506"/>
    <x v="4"/>
    <x v="0"/>
    <n v="-338.97"/>
  </r>
  <r>
    <n v="2665"/>
    <x v="1646"/>
    <x v="1"/>
    <x v="18"/>
    <n v="3"/>
    <m/>
    <n v="0"/>
    <x v="1"/>
    <n v="0"/>
    <x v="246"/>
    <x v="5"/>
    <x v="0"/>
    <n v="122"/>
  </r>
  <r>
    <n v="2666"/>
    <x v="1647"/>
    <x v="5"/>
    <x v="12"/>
    <n v="2"/>
    <m/>
    <n v="0"/>
    <x v="1"/>
    <n v="0"/>
    <x v="4"/>
    <x v="5"/>
    <x v="1"/>
    <n v="1989.64"/>
  </r>
  <r>
    <n v="2667"/>
    <x v="1648"/>
    <x v="4"/>
    <x v="16"/>
    <n v="1"/>
    <n v="4710.7700000000004"/>
    <n v="4710.7700000000004"/>
    <x v="1"/>
    <n v="4710.7700000000004"/>
    <x v="4"/>
    <x v="1"/>
    <x v="1"/>
    <n v="2520.0500000000002"/>
  </r>
  <r>
    <n v="2668"/>
    <x v="1649"/>
    <x v="4"/>
    <x v="14"/>
    <n v="1"/>
    <m/>
    <n v="0"/>
    <x v="46"/>
    <n v="0"/>
    <x v="289"/>
    <x v="1"/>
    <x v="0"/>
    <n v="-3.95"/>
  </r>
  <r>
    <n v="2669"/>
    <x v="1650"/>
    <x v="4"/>
    <x v="16"/>
    <n v="-1"/>
    <m/>
    <n v="0"/>
    <x v="1"/>
    <n v="0"/>
    <x v="153"/>
    <x v="5"/>
    <x v="0"/>
    <n v="-760.17"/>
  </r>
  <r>
    <n v="2670"/>
    <x v="1651"/>
    <x v="4"/>
    <x v="16"/>
    <n v="2"/>
    <m/>
    <n v="0"/>
    <x v="1"/>
    <n v="0"/>
    <x v="190"/>
    <x v="5"/>
    <x v="0"/>
    <n v="775.45"/>
  </r>
  <r>
    <n v="2671"/>
    <x v="1652"/>
    <x v="3"/>
    <x v="23"/>
    <n v="2"/>
    <n v="2377.81"/>
    <n v="4755.62"/>
    <x v="13"/>
    <n v="2044.9166000000002"/>
    <x v="4"/>
    <x v="2"/>
    <x v="1"/>
    <n v="1967.3"/>
  </r>
  <r>
    <n v="1026"/>
    <x v="1653"/>
    <x v="5"/>
    <x v="11"/>
    <n v="2"/>
    <m/>
    <n v="0"/>
    <x v="1"/>
    <n v="0"/>
    <x v="413"/>
    <x v="1"/>
    <x v="0"/>
    <n v="2344.12"/>
  </r>
  <r>
    <n v="2673"/>
    <x v="1654"/>
    <x v="3"/>
    <x v="3"/>
    <n v="2"/>
    <m/>
    <n v="0"/>
    <x v="1"/>
    <n v="0"/>
    <x v="4"/>
    <x v="3"/>
    <x v="1"/>
    <n v="2493.87"/>
  </r>
  <r>
    <n v="2674"/>
    <x v="1655"/>
    <x v="4"/>
    <x v="14"/>
    <n v="2"/>
    <n v="1261.5899999999999"/>
    <n v="2523.1799999999998"/>
    <x v="1"/>
    <n v="2523.1799999999998"/>
    <x v="494"/>
    <x v="2"/>
    <x v="1"/>
    <n v="534.09"/>
  </r>
  <r>
    <n v="2675"/>
    <x v="1656"/>
    <x v="2"/>
    <x v="2"/>
    <n v="1"/>
    <m/>
    <n v="0"/>
    <x v="116"/>
    <n v="0"/>
    <x v="504"/>
    <x v="2"/>
    <x v="0"/>
    <n v="2164.08"/>
  </r>
  <r>
    <n v="1014"/>
    <x v="1657"/>
    <x v="0"/>
    <x v="5"/>
    <n v="2"/>
    <m/>
    <n v="0"/>
    <x v="1"/>
    <n v="0"/>
    <x v="209"/>
    <x v="0"/>
    <x v="1"/>
    <n v="2219.4899999999998"/>
  </r>
  <r>
    <n v="2677"/>
    <x v="1658"/>
    <x v="2"/>
    <x v="13"/>
    <n v="5"/>
    <n v="1727.66"/>
    <n v="8638.3000000000011"/>
    <x v="72"/>
    <n v="-2073.192"/>
    <x v="238"/>
    <x v="5"/>
    <x v="1"/>
    <n v="-546.05999999999995"/>
  </r>
  <r>
    <n v="2678"/>
    <x v="1659"/>
    <x v="5"/>
    <x v="12"/>
    <n v="-2"/>
    <m/>
    <n v="0"/>
    <x v="115"/>
    <n v="0"/>
    <x v="157"/>
    <x v="4"/>
    <x v="0"/>
    <n v="-333.97"/>
  </r>
  <r>
    <n v="2679"/>
    <x v="1660"/>
    <x v="3"/>
    <x v="21"/>
    <n v="2"/>
    <n v="2514.6999999999998"/>
    <n v="5029.3999999999996"/>
    <x v="1"/>
    <n v="5029.3999999999996"/>
    <x v="507"/>
    <x v="4"/>
    <x v="0"/>
    <n v="2652.58"/>
  </r>
  <r>
    <n v="2680"/>
    <x v="1661"/>
    <x v="2"/>
    <x v="13"/>
    <n v="6"/>
    <m/>
    <n v="0"/>
    <x v="1"/>
    <n v="0"/>
    <x v="4"/>
    <x v="0"/>
    <x v="0"/>
    <n v="-963.81"/>
  </r>
  <r>
    <n v="2681"/>
    <x v="1662"/>
    <x v="1"/>
    <x v="18"/>
    <n v="-1"/>
    <n v="4770.92"/>
    <n v="-4770.92"/>
    <x v="1"/>
    <n v="-4770.92"/>
    <x v="508"/>
    <x v="5"/>
    <x v="1"/>
    <n v="433.04"/>
  </r>
  <r>
    <n v="2682"/>
    <x v="1663"/>
    <x v="4"/>
    <x v="16"/>
    <n v="2"/>
    <n v="4784.55"/>
    <n v="9569.1"/>
    <x v="1"/>
    <n v="9569.1"/>
    <x v="463"/>
    <x v="3"/>
    <x v="0"/>
    <n v="2034.52"/>
  </r>
  <r>
    <n v="2683"/>
    <x v="1664"/>
    <x v="1"/>
    <x v="1"/>
    <n v="5"/>
    <n v="3163.97"/>
    <n v="15819.849999999999"/>
    <x v="1"/>
    <n v="15819.849999999999"/>
    <x v="4"/>
    <x v="0"/>
    <x v="1"/>
    <n v="1411.27"/>
  </r>
  <r>
    <n v="2684"/>
    <x v="1665"/>
    <x v="2"/>
    <x v="17"/>
    <n v="2"/>
    <n v="794.81"/>
    <n v="1589.62"/>
    <x v="74"/>
    <n v="-190.75440000000015"/>
    <x v="509"/>
    <x v="3"/>
    <x v="1"/>
    <n v="-391.38"/>
  </r>
  <r>
    <n v="2685"/>
    <x v="1666"/>
    <x v="2"/>
    <x v="10"/>
    <n v="2"/>
    <n v="1804.59"/>
    <n v="3609.18"/>
    <x v="1"/>
    <n v="3609.18"/>
    <x v="200"/>
    <x v="1"/>
    <x v="1"/>
    <n v="-208.79"/>
  </r>
  <r>
    <n v="2686"/>
    <x v="1667"/>
    <x v="3"/>
    <x v="23"/>
    <n v="2"/>
    <m/>
    <n v="0"/>
    <x v="99"/>
    <n v="0"/>
    <x v="4"/>
    <x v="5"/>
    <x v="0"/>
    <n v="2957.49"/>
  </r>
  <r>
    <n v="2687"/>
    <x v="1668"/>
    <x v="2"/>
    <x v="10"/>
    <n v="0"/>
    <m/>
    <n v="0"/>
    <x v="1"/>
    <n v="0"/>
    <x v="370"/>
    <x v="2"/>
    <x v="0"/>
    <n v="510.99"/>
  </r>
  <r>
    <n v="2688"/>
    <x v="1669"/>
    <x v="4"/>
    <x v="4"/>
    <n v="2"/>
    <m/>
    <n v="0"/>
    <x v="112"/>
    <n v="0"/>
    <x v="4"/>
    <x v="4"/>
    <x v="0"/>
    <n v="161.9"/>
  </r>
  <r>
    <n v="2689"/>
    <x v="1670"/>
    <x v="3"/>
    <x v="23"/>
    <n v="4"/>
    <n v="4777.51"/>
    <n v="19110.04"/>
    <x v="1"/>
    <n v="19110.04"/>
    <x v="22"/>
    <x v="4"/>
    <x v="0"/>
    <n v="-204.04"/>
  </r>
  <r>
    <n v="2690"/>
    <x v="1671"/>
    <x v="0"/>
    <x v="20"/>
    <n v="2"/>
    <n v="2862.03"/>
    <n v="5724.06"/>
    <x v="1"/>
    <n v="5724.06"/>
    <x v="510"/>
    <x v="2"/>
    <x v="0"/>
    <n v="115.86"/>
  </r>
  <r>
    <n v="2691"/>
    <x v="1672"/>
    <x v="4"/>
    <x v="4"/>
    <n v="1"/>
    <m/>
    <n v="0"/>
    <x v="126"/>
    <n v="0"/>
    <x v="419"/>
    <x v="3"/>
    <x v="0"/>
    <n v="-182.86"/>
  </r>
  <r>
    <n v="2692"/>
    <x v="1673"/>
    <x v="5"/>
    <x v="19"/>
    <n v="2"/>
    <m/>
    <n v="0"/>
    <x v="1"/>
    <n v="0"/>
    <x v="69"/>
    <x v="2"/>
    <x v="0"/>
    <n v="-364.29"/>
  </r>
  <r>
    <n v="2693"/>
    <x v="1674"/>
    <x v="0"/>
    <x v="5"/>
    <n v="4"/>
    <n v="4366.3999999999996"/>
    <n v="17465.599999999999"/>
    <x v="1"/>
    <n v="17465.599999999999"/>
    <x v="4"/>
    <x v="4"/>
    <x v="0"/>
    <n v="-542.72"/>
  </r>
  <r>
    <n v="2694"/>
    <x v="1675"/>
    <x v="2"/>
    <x v="13"/>
    <n v="2"/>
    <n v="1617.83"/>
    <n v="3235.66"/>
    <x v="68"/>
    <n v="-582.41879999999981"/>
    <x v="75"/>
    <x v="0"/>
    <x v="0"/>
    <n v="1532.93"/>
  </r>
  <r>
    <n v="2695"/>
    <x v="1676"/>
    <x v="0"/>
    <x v="5"/>
    <n v="2"/>
    <n v="4834.87"/>
    <n v="9669.74"/>
    <x v="1"/>
    <n v="9669.74"/>
    <x v="4"/>
    <x v="3"/>
    <x v="1"/>
    <n v="1655.07"/>
  </r>
  <r>
    <n v="2696"/>
    <x v="1677"/>
    <x v="1"/>
    <x v="1"/>
    <n v="2"/>
    <n v="2579.8000000000002"/>
    <n v="5159.6000000000004"/>
    <x v="45"/>
    <n v="-1341.4960000000001"/>
    <x v="26"/>
    <x v="1"/>
    <x v="1"/>
    <n v="-804.09"/>
  </r>
  <r>
    <n v="2697"/>
    <x v="1678"/>
    <x v="5"/>
    <x v="12"/>
    <n v="2"/>
    <n v="3300.82"/>
    <n v="6601.64"/>
    <x v="1"/>
    <n v="6601.64"/>
    <x v="342"/>
    <x v="1"/>
    <x v="1"/>
    <n v="394.83"/>
  </r>
  <r>
    <n v="2698"/>
    <x v="1679"/>
    <x v="1"/>
    <x v="15"/>
    <n v="2"/>
    <n v="1810.81"/>
    <n v="3621.62"/>
    <x v="126"/>
    <n v="1810.81"/>
    <x v="4"/>
    <x v="5"/>
    <x v="0"/>
    <n v="1605.28"/>
  </r>
  <r>
    <n v="2699"/>
    <x v="1680"/>
    <x v="0"/>
    <x v="9"/>
    <n v="6"/>
    <m/>
    <n v="0"/>
    <x v="1"/>
    <n v="0"/>
    <x v="344"/>
    <x v="0"/>
    <x v="0"/>
    <n v="1068.6600000000001"/>
  </r>
  <r>
    <n v="2700"/>
    <x v="1681"/>
    <x v="2"/>
    <x v="17"/>
    <n v="2"/>
    <m/>
    <n v="0"/>
    <x v="1"/>
    <n v="0"/>
    <x v="4"/>
    <x v="2"/>
    <x v="0"/>
    <n v="588.04"/>
  </r>
  <r>
    <n v="2701"/>
    <x v="1682"/>
    <x v="3"/>
    <x v="21"/>
    <n v="-1"/>
    <n v="2085.92"/>
    <n v="-2085.92"/>
    <x v="1"/>
    <n v="-2085.92"/>
    <x v="295"/>
    <x v="3"/>
    <x v="0"/>
    <n v="1301.3699999999999"/>
  </r>
  <r>
    <n v="2702"/>
    <x v="1683"/>
    <x v="4"/>
    <x v="16"/>
    <n v="-2"/>
    <m/>
    <n v="0"/>
    <x v="1"/>
    <n v="0"/>
    <x v="498"/>
    <x v="4"/>
    <x v="0"/>
    <n v="606.51"/>
  </r>
  <r>
    <n v="2703"/>
    <x v="1684"/>
    <x v="3"/>
    <x v="3"/>
    <n v="-2"/>
    <m/>
    <n v="0"/>
    <x v="1"/>
    <n v="0"/>
    <x v="511"/>
    <x v="4"/>
    <x v="0"/>
    <n v="2193.86"/>
  </r>
  <r>
    <n v="2704"/>
    <x v="1685"/>
    <x v="1"/>
    <x v="15"/>
    <n v="1"/>
    <m/>
    <n v="0"/>
    <x v="1"/>
    <n v="0"/>
    <x v="178"/>
    <x v="2"/>
    <x v="0"/>
    <n v="7.12"/>
  </r>
  <r>
    <n v="2705"/>
    <x v="1686"/>
    <x v="5"/>
    <x v="6"/>
    <n v="2"/>
    <n v="4870.82"/>
    <n v="9741.64"/>
    <x v="1"/>
    <n v="9741.64"/>
    <x v="35"/>
    <x v="0"/>
    <x v="1"/>
    <n v="2833.18"/>
  </r>
  <r>
    <n v="2706"/>
    <x v="1687"/>
    <x v="4"/>
    <x v="14"/>
    <n v="6"/>
    <m/>
    <n v="0"/>
    <x v="1"/>
    <n v="0"/>
    <x v="135"/>
    <x v="5"/>
    <x v="0"/>
    <n v="2379.5"/>
  </r>
  <r>
    <n v="2707"/>
    <x v="1688"/>
    <x v="1"/>
    <x v="1"/>
    <n v="5"/>
    <m/>
    <n v="0"/>
    <x v="1"/>
    <n v="0"/>
    <x v="494"/>
    <x v="2"/>
    <x v="1"/>
    <n v="2763.02"/>
  </r>
  <r>
    <n v="2708"/>
    <x v="1689"/>
    <x v="3"/>
    <x v="3"/>
    <n v="4"/>
    <n v="4882.6899999999996"/>
    <n v="19530.759999999998"/>
    <x v="1"/>
    <n v="19530.759999999998"/>
    <x v="67"/>
    <x v="2"/>
    <x v="1"/>
    <n v="2658.6"/>
  </r>
  <r>
    <n v="2709"/>
    <x v="1690"/>
    <x v="1"/>
    <x v="15"/>
    <n v="2"/>
    <m/>
    <n v="0"/>
    <x v="118"/>
    <n v="0"/>
    <x v="366"/>
    <x v="4"/>
    <x v="0"/>
    <n v="-473.04"/>
  </r>
  <r>
    <n v="2710"/>
    <x v="1691"/>
    <x v="5"/>
    <x v="19"/>
    <n v="2"/>
    <n v="2565.5500000000002"/>
    <n v="5131.1000000000004"/>
    <x v="1"/>
    <n v="5131.1000000000004"/>
    <x v="31"/>
    <x v="3"/>
    <x v="0"/>
    <n v="62.05"/>
  </r>
  <r>
    <n v="2711"/>
    <x v="1692"/>
    <x v="5"/>
    <x v="19"/>
    <n v="2"/>
    <m/>
    <n v="0"/>
    <x v="1"/>
    <n v="0"/>
    <x v="443"/>
    <x v="5"/>
    <x v="1"/>
    <n v="-25.26"/>
  </r>
  <r>
    <n v="2712"/>
    <x v="1693"/>
    <x v="1"/>
    <x v="22"/>
    <n v="2"/>
    <m/>
    <n v="0"/>
    <x v="1"/>
    <n v="0"/>
    <x v="99"/>
    <x v="3"/>
    <x v="1"/>
    <n v="-973.58"/>
  </r>
  <r>
    <n v="2713"/>
    <x v="1694"/>
    <x v="2"/>
    <x v="10"/>
    <n v="0"/>
    <n v="1559.67"/>
    <n v="0"/>
    <x v="1"/>
    <n v="0"/>
    <x v="16"/>
    <x v="5"/>
    <x v="0"/>
    <n v="2605.5500000000002"/>
  </r>
  <r>
    <n v="2714"/>
    <x v="1695"/>
    <x v="2"/>
    <x v="17"/>
    <n v="-2"/>
    <n v="1171.79"/>
    <n v="-2343.58"/>
    <x v="1"/>
    <n v="-2343.58"/>
    <x v="4"/>
    <x v="0"/>
    <x v="1"/>
    <n v="-392.96"/>
  </r>
  <r>
    <n v="2715"/>
    <x v="1696"/>
    <x v="2"/>
    <x v="13"/>
    <n v="4"/>
    <m/>
    <n v="0"/>
    <x v="1"/>
    <n v="0"/>
    <x v="512"/>
    <x v="1"/>
    <x v="0"/>
    <n v="-144.72"/>
  </r>
  <r>
    <n v="2716"/>
    <x v="1697"/>
    <x v="2"/>
    <x v="2"/>
    <n v="1"/>
    <m/>
    <n v="0"/>
    <x v="99"/>
    <n v="0"/>
    <x v="4"/>
    <x v="5"/>
    <x v="1"/>
    <n v="2134.2800000000002"/>
  </r>
  <r>
    <n v="2717"/>
    <x v="1698"/>
    <x v="0"/>
    <x v="5"/>
    <n v="2"/>
    <m/>
    <n v="0"/>
    <x v="1"/>
    <n v="0"/>
    <x v="210"/>
    <x v="5"/>
    <x v="0"/>
    <n v="2786.83"/>
  </r>
  <r>
    <n v="2718"/>
    <x v="1699"/>
    <x v="0"/>
    <x v="0"/>
    <n v="3"/>
    <n v="909.31"/>
    <n v="2727.93"/>
    <x v="1"/>
    <n v="2727.93"/>
    <x v="30"/>
    <x v="5"/>
    <x v="0"/>
    <n v="1389.16"/>
  </r>
  <r>
    <n v="2719"/>
    <x v="1700"/>
    <x v="5"/>
    <x v="6"/>
    <n v="0"/>
    <n v="1602.49"/>
    <n v="0"/>
    <x v="1"/>
    <n v="0"/>
    <x v="157"/>
    <x v="3"/>
    <x v="1"/>
    <n v="-886.11"/>
  </r>
  <r>
    <n v="2720"/>
    <x v="1701"/>
    <x v="5"/>
    <x v="12"/>
    <n v="2"/>
    <n v="3476.53"/>
    <n v="6953.06"/>
    <x v="1"/>
    <n v="6953.06"/>
    <x v="300"/>
    <x v="5"/>
    <x v="0"/>
    <n v="-522.33000000000004"/>
  </r>
  <r>
    <n v="2721"/>
    <x v="1702"/>
    <x v="0"/>
    <x v="9"/>
    <n v="2"/>
    <n v="1109.5999999999999"/>
    <n v="2219.1999999999998"/>
    <x v="15"/>
    <n v="2130.4319999999998"/>
    <x v="4"/>
    <x v="4"/>
    <x v="0"/>
    <n v="885.21"/>
  </r>
  <r>
    <n v="2722"/>
    <x v="1703"/>
    <x v="0"/>
    <x v="20"/>
    <n v="2"/>
    <m/>
    <n v="0"/>
    <x v="1"/>
    <n v="0"/>
    <x v="4"/>
    <x v="3"/>
    <x v="0"/>
    <n v="-367.6"/>
  </r>
  <r>
    <n v="2723"/>
    <x v="1704"/>
    <x v="4"/>
    <x v="14"/>
    <n v="2"/>
    <m/>
    <n v="0"/>
    <x v="1"/>
    <n v="0"/>
    <x v="358"/>
    <x v="5"/>
    <x v="0"/>
    <n v="253.64"/>
  </r>
  <r>
    <n v="2724"/>
    <x v="1705"/>
    <x v="0"/>
    <x v="0"/>
    <n v="2"/>
    <n v="716.3"/>
    <n v="1432.6"/>
    <x v="1"/>
    <n v="1432.6"/>
    <x v="236"/>
    <x v="0"/>
    <x v="0"/>
    <n v="-400.16"/>
  </r>
  <r>
    <n v="2725"/>
    <x v="1706"/>
    <x v="1"/>
    <x v="22"/>
    <n v="2"/>
    <m/>
    <n v="0"/>
    <x v="1"/>
    <n v="0"/>
    <x v="54"/>
    <x v="4"/>
    <x v="0"/>
    <n v="2116.0700000000002"/>
  </r>
  <r>
    <n v="2726"/>
    <x v="1707"/>
    <x v="5"/>
    <x v="11"/>
    <n v="2"/>
    <m/>
    <n v="0"/>
    <x v="91"/>
    <n v="0"/>
    <x v="4"/>
    <x v="2"/>
    <x v="0"/>
    <n v="1751.12"/>
  </r>
  <r>
    <n v="2727"/>
    <x v="1708"/>
    <x v="3"/>
    <x v="7"/>
    <n v="2"/>
    <m/>
    <n v="0"/>
    <x v="1"/>
    <n v="0"/>
    <x v="513"/>
    <x v="1"/>
    <x v="0"/>
    <n v="1804.04"/>
  </r>
  <r>
    <n v="2728"/>
    <x v="1709"/>
    <x v="4"/>
    <x v="4"/>
    <n v="2"/>
    <n v="1935.05"/>
    <n v="3870.1"/>
    <x v="1"/>
    <n v="3870.1"/>
    <x v="409"/>
    <x v="3"/>
    <x v="0"/>
    <n v="1483.93"/>
  </r>
  <r>
    <n v="2729"/>
    <x v="1710"/>
    <x v="5"/>
    <x v="19"/>
    <n v="5"/>
    <m/>
    <n v="0"/>
    <x v="127"/>
    <n v="0"/>
    <x v="4"/>
    <x v="1"/>
    <x v="0"/>
    <n v="-973.04"/>
  </r>
  <r>
    <n v="2730"/>
    <x v="1711"/>
    <x v="4"/>
    <x v="14"/>
    <n v="2"/>
    <m/>
    <n v="0"/>
    <x v="1"/>
    <n v="0"/>
    <x v="361"/>
    <x v="0"/>
    <x v="0"/>
    <n v="2203.9699999999998"/>
  </r>
  <r>
    <n v="2731"/>
    <x v="1712"/>
    <x v="1"/>
    <x v="1"/>
    <n v="-1"/>
    <n v="1635.12"/>
    <n v="-1635.12"/>
    <x v="1"/>
    <n v="-1635.12"/>
    <x v="427"/>
    <x v="2"/>
    <x v="1"/>
    <n v="-526.88"/>
  </r>
  <r>
    <n v="2732"/>
    <x v="1713"/>
    <x v="2"/>
    <x v="17"/>
    <n v="6"/>
    <m/>
    <n v="0"/>
    <x v="97"/>
    <n v="0"/>
    <x v="4"/>
    <x v="4"/>
    <x v="0"/>
    <n v="-833.43"/>
  </r>
  <r>
    <n v="2733"/>
    <x v="1714"/>
    <x v="0"/>
    <x v="5"/>
    <n v="2"/>
    <m/>
    <n v="0"/>
    <x v="1"/>
    <n v="0"/>
    <x v="336"/>
    <x v="2"/>
    <x v="1"/>
    <n v="2523.7199999999998"/>
  </r>
  <r>
    <n v="2734"/>
    <x v="1715"/>
    <x v="5"/>
    <x v="12"/>
    <n v="4"/>
    <n v="3261.51"/>
    <n v="13046.04"/>
    <x v="83"/>
    <n v="2348.2872000000007"/>
    <x v="4"/>
    <x v="4"/>
    <x v="0"/>
    <n v="1429.02"/>
  </r>
  <r>
    <n v="2735"/>
    <x v="1716"/>
    <x v="3"/>
    <x v="7"/>
    <n v="2"/>
    <n v="541.71"/>
    <n v="1083.42"/>
    <x v="1"/>
    <n v="1083.42"/>
    <x v="284"/>
    <x v="3"/>
    <x v="1"/>
    <n v="1872.65"/>
  </r>
  <r>
    <n v="2736"/>
    <x v="1717"/>
    <x v="0"/>
    <x v="0"/>
    <n v="2"/>
    <m/>
    <n v="0"/>
    <x v="1"/>
    <n v="0"/>
    <x v="246"/>
    <x v="0"/>
    <x v="0"/>
    <n v="-253.78"/>
  </r>
  <r>
    <n v="2737"/>
    <x v="1718"/>
    <x v="3"/>
    <x v="21"/>
    <n v="2"/>
    <n v="1927.98"/>
    <n v="3855.96"/>
    <x v="1"/>
    <n v="3855.96"/>
    <x v="79"/>
    <x v="5"/>
    <x v="0"/>
    <n v="-251.21"/>
  </r>
  <r>
    <n v="2738"/>
    <x v="1719"/>
    <x v="5"/>
    <x v="12"/>
    <n v="2"/>
    <m/>
    <n v="0"/>
    <x v="97"/>
    <n v="0"/>
    <x v="268"/>
    <x v="2"/>
    <x v="1"/>
    <n v="733.8"/>
  </r>
  <r>
    <n v="2739"/>
    <x v="1720"/>
    <x v="2"/>
    <x v="17"/>
    <n v="4"/>
    <n v="4316.8500000000004"/>
    <n v="17267.400000000001"/>
    <x v="1"/>
    <n v="17267.400000000001"/>
    <x v="37"/>
    <x v="1"/>
    <x v="0"/>
    <n v="2259.3000000000002"/>
  </r>
  <r>
    <n v="2740"/>
    <x v="1721"/>
    <x v="0"/>
    <x v="5"/>
    <n v="1"/>
    <m/>
    <n v="0"/>
    <x v="1"/>
    <n v="0"/>
    <x v="4"/>
    <x v="2"/>
    <x v="1"/>
    <n v="996.39"/>
  </r>
  <r>
    <n v="2741"/>
    <x v="1722"/>
    <x v="1"/>
    <x v="15"/>
    <n v="1"/>
    <m/>
    <n v="0"/>
    <x v="26"/>
    <n v="0"/>
    <x v="134"/>
    <x v="2"/>
    <x v="0"/>
    <n v="2013.85"/>
  </r>
  <r>
    <n v="2742"/>
    <x v="1723"/>
    <x v="3"/>
    <x v="3"/>
    <n v="-2"/>
    <m/>
    <n v="0"/>
    <x v="1"/>
    <n v="0"/>
    <x v="1"/>
    <x v="3"/>
    <x v="0"/>
    <n v="1045.71"/>
  </r>
  <r>
    <n v="1032"/>
    <x v="1724"/>
    <x v="1"/>
    <x v="15"/>
    <n v="-1"/>
    <n v="4146.91"/>
    <n v="-4146.91"/>
    <x v="75"/>
    <n v="124.40730000000011"/>
    <x v="79"/>
    <x v="0"/>
    <x v="1"/>
    <n v="930.16"/>
  </r>
  <r>
    <n v="2744"/>
    <x v="1725"/>
    <x v="4"/>
    <x v="4"/>
    <n v="-2"/>
    <m/>
    <n v="0"/>
    <x v="1"/>
    <n v="0"/>
    <x v="4"/>
    <x v="2"/>
    <x v="1"/>
    <n v="-635.51"/>
  </r>
  <r>
    <n v="2745"/>
    <x v="1726"/>
    <x v="0"/>
    <x v="0"/>
    <n v="-1"/>
    <n v="869.82"/>
    <n v="-869.82"/>
    <x v="1"/>
    <n v="-869.82"/>
    <x v="448"/>
    <x v="3"/>
    <x v="0"/>
    <n v="737.77"/>
  </r>
  <r>
    <n v="2746"/>
    <x v="1727"/>
    <x v="0"/>
    <x v="0"/>
    <n v="2"/>
    <n v="668.51"/>
    <n v="1337.02"/>
    <x v="79"/>
    <n v="-26.740400000000022"/>
    <x v="126"/>
    <x v="3"/>
    <x v="0"/>
    <n v="2100.4"/>
  </r>
  <r>
    <n v="2747"/>
    <x v="1728"/>
    <x v="4"/>
    <x v="16"/>
    <n v="1"/>
    <n v="1369.29"/>
    <n v="1369.29"/>
    <x v="1"/>
    <n v="1369.29"/>
    <x v="342"/>
    <x v="2"/>
    <x v="0"/>
    <n v="325.08"/>
  </r>
  <r>
    <n v="2748"/>
    <x v="1729"/>
    <x v="3"/>
    <x v="21"/>
    <n v="4"/>
    <n v="3977.88"/>
    <n v="15911.52"/>
    <x v="1"/>
    <n v="15911.52"/>
    <x v="395"/>
    <x v="1"/>
    <x v="0"/>
    <n v="2431.13"/>
  </r>
  <r>
    <n v="2749"/>
    <x v="1730"/>
    <x v="1"/>
    <x v="1"/>
    <n v="5"/>
    <m/>
    <n v="0"/>
    <x v="1"/>
    <n v="0"/>
    <x v="4"/>
    <x v="5"/>
    <x v="0"/>
    <n v="2595.31"/>
  </r>
  <r>
    <n v="1049"/>
    <x v="1731"/>
    <x v="1"/>
    <x v="22"/>
    <n v="2"/>
    <n v="1360.22"/>
    <n v="2720.44"/>
    <x v="1"/>
    <n v="2720.44"/>
    <x v="503"/>
    <x v="2"/>
    <x v="0"/>
    <n v="276.89999999999998"/>
  </r>
  <r>
    <n v="2751"/>
    <x v="1732"/>
    <x v="1"/>
    <x v="22"/>
    <n v="2"/>
    <m/>
    <n v="0"/>
    <x v="98"/>
    <n v="0"/>
    <x v="73"/>
    <x v="3"/>
    <x v="0"/>
    <n v="1778.54"/>
  </r>
  <r>
    <n v="2752"/>
    <x v="1733"/>
    <x v="2"/>
    <x v="10"/>
    <n v="2"/>
    <n v="4552.8"/>
    <n v="9105.6"/>
    <x v="100"/>
    <n v="-91.056000000000083"/>
    <x v="4"/>
    <x v="5"/>
    <x v="1"/>
    <n v="1802.91"/>
  </r>
  <r>
    <n v="1002"/>
    <x v="1734"/>
    <x v="0"/>
    <x v="5"/>
    <n v="-1"/>
    <n v="4351.1099999999997"/>
    <n v="-4351.1099999999997"/>
    <x v="1"/>
    <n v="-4351.1099999999997"/>
    <x v="43"/>
    <x v="5"/>
    <x v="0"/>
    <n v="-190.68"/>
  </r>
  <r>
    <n v="2754"/>
    <x v="1735"/>
    <x v="0"/>
    <x v="9"/>
    <n v="1"/>
    <m/>
    <n v="0"/>
    <x v="1"/>
    <n v="0"/>
    <x v="267"/>
    <x v="3"/>
    <x v="0"/>
    <n v="-0.15"/>
  </r>
  <r>
    <n v="2755"/>
    <x v="1736"/>
    <x v="3"/>
    <x v="21"/>
    <n v="-2"/>
    <m/>
    <n v="0"/>
    <x v="95"/>
    <n v="0"/>
    <x v="514"/>
    <x v="0"/>
    <x v="1"/>
    <n v="1174.6400000000001"/>
  </r>
  <r>
    <n v="2756"/>
    <x v="1737"/>
    <x v="4"/>
    <x v="14"/>
    <n v="6"/>
    <m/>
    <n v="0"/>
    <x v="1"/>
    <n v="0"/>
    <x v="111"/>
    <x v="5"/>
    <x v="0"/>
    <n v="813.53"/>
  </r>
  <r>
    <n v="2757"/>
    <x v="1738"/>
    <x v="3"/>
    <x v="23"/>
    <n v="3"/>
    <n v="4923.95"/>
    <n v="14771.849999999999"/>
    <x v="1"/>
    <n v="14771.849999999999"/>
    <x v="481"/>
    <x v="5"/>
    <x v="1"/>
    <n v="794.65"/>
  </r>
  <r>
    <n v="1029"/>
    <x v="1739"/>
    <x v="4"/>
    <x v="8"/>
    <n v="2"/>
    <n v="2965.32"/>
    <n v="5930.64"/>
    <x v="1"/>
    <n v="5930.64"/>
    <x v="4"/>
    <x v="2"/>
    <x v="0"/>
    <n v="-786.53"/>
  </r>
  <r>
    <n v="2759"/>
    <x v="1740"/>
    <x v="2"/>
    <x v="17"/>
    <n v="2"/>
    <m/>
    <n v="0"/>
    <x v="55"/>
    <n v="0"/>
    <x v="333"/>
    <x v="1"/>
    <x v="0"/>
    <n v="-300.89999999999998"/>
  </r>
  <r>
    <n v="2760"/>
    <x v="1741"/>
    <x v="2"/>
    <x v="13"/>
    <n v="2"/>
    <m/>
    <n v="0"/>
    <x v="1"/>
    <n v="0"/>
    <x v="459"/>
    <x v="0"/>
    <x v="1"/>
    <n v="-833.77"/>
  </r>
  <r>
    <n v="2761"/>
    <x v="1742"/>
    <x v="5"/>
    <x v="11"/>
    <n v="2"/>
    <n v="3586.76"/>
    <n v="7173.52"/>
    <x v="1"/>
    <n v="7173.52"/>
    <x v="30"/>
    <x v="5"/>
    <x v="0"/>
    <n v="594.95000000000005"/>
  </r>
  <r>
    <n v="2762"/>
    <x v="1743"/>
    <x v="5"/>
    <x v="12"/>
    <n v="2"/>
    <n v="1278.8499999999999"/>
    <n v="2557.6999999999998"/>
    <x v="1"/>
    <n v="2557.6999999999998"/>
    <x v="395"/>
    <x v="4"/>
    <x v="1"/>
    <n v="1989.71"/>
  </r>
  <r>
    <n v="2763"/>
    <x v="1744"/>
    <x v="3"/>
    <x v="23"/>
    <n v="3"/>
    <n v="3360.01"/>
    <n v="10080.030000000001"/>
    <x v="1"/>
    <n v="10080.030000000001"/>
    <x v="4"/>
    <x v="4"/>
    <x v="0"/>
    <n v="1547.22"/>
  </r>
  <r>
    <n v="2764"/>
    <x v="1745"/>
    <x v="3"/>
    <x v="21"/>
    <n v="3"/>
    <m/>
    <n v="0"/>
    <x v="1"/>
    <n v="0"/>
    <x v="88"/>
    <x v="1"/>
    <x v="1"/>
    <n v="2347.0700000000002"/>
  </r>
  <r>
    <n v="2765"/>
    <x v="1746"/>
    <x v="5"/>
    <x v="12"/>
    <n v="2"/>
    <m/>
    <n v="0"/>
    <x v="1"/>
    <n v="0"/>
    <x v="75"/>
    <x v="5"/>
    <x v="0"/>
    <n v="2047.44"/>
  </r>
  <r>
    <n v="2766"/>
    <x v="1747"/>
    <x v="0"/>
    <x v="9"/>
    <n v="2"/>
    <m/>
    <n v="0"/>
    <x v="1"/>
    <n v="0"/>
    <x v="274"/>
    <x v="5"/>
    <x v="0"/>
    <n v="621.85"/>
  </r>
  <r>
    <n v="2767"/>
    <x v="1748"/>
    <x v="4"/>
    <x v="14"/>
    <n v="2"/>
    <n v="4149.42"/>
    <n v="8298.84"/>
    <x v="77"/>
    <n v="7219.9908000000005"/>
    <x v="4"/>
    <x v="4"/>
    <x v="1"/>
    <n v="1926.29"/>
  </r>
  <r>
    <n v="2768"/>
    <x v="1749"/>
    <x v="4"/>
    <x v="8"/>
    <n v="2"/>
    <m/>
    <n v="0"/>
    <x v="70"/>
    <n v="0"/>
    <x v="324"/>
    <x v="5"/>
    <x v="0"/>
    <n v="465.45"/>
  </r>
  <r>
    <n v="2769"/>
    <x v="1750"/>
    <x v="4"/>
    <x v="16"/>
    <n v="2"/>
    <m/>
    <n v="0"/>
    <x v="1"/>
    <n v="0"/>
    <x v="122"/>
    <x v="1"/>
    <x v="1"/>
    <n v="2102.88"/>
  </r>
  <r>
    <n v="2770"/>
    <x v="1751"/>
    <x v="4"/>
    <x v="14"/>
    <n v="2"/>
    <n v="1439.18"/>
    <n v="2878.36"/>
    <x v="99"/>
    <n v="1467.9636"/>
    <x v="457"/>
    <x v="5"/>
    <x v="0"/>
    <n v="2007.56"/>
  </r>
  <r>
    <n v="1032"/>
    <x v="1752"/>
    <x v="2"/>
    <x v="2"/>
    <n v="2"/>
    <n v="3956.83"/>
    <n v="7913.66"/>
    <x v="1"/>
    <n v="7913.66"/>
    <x v="213"/>
    <x v="4"/>
    <x v="1"/>
    <n v="1061.44"/>
  </r>
  <r>
    <n v="2772"/>
    <x v="1753"/>
    <x v="0"/>
    <x v="20"/>
    <n v="2"/>
    <m/>
    <n v="0"/>
    <x v="1"/>
    <n v="0"/>
    <x v="383"/>
    <x v="4"/>
    <x v="1"/>
    <n v="-865.59"/>
  </r>
  <r>
    <n v="2773"/>
    <x v="1754"/>
    <x v="1"/>
    <x v="15"/>
    <n v="2"/>
    <m/>
    <n v="0"/>
    <x v="1"/>
    <n v="0"/>
    <x v="4"/>
    <x v="1"/>
    <x v="0"/>
    <n v="1944.87"/>
  </r>
  <r>
    <n v="2774"/>
    <x v="1755"/>
    <x v="3"/>
    <x v="7"/>
    <n v="2"/>
    <m/>
    <n v="0"/>
    <x v="1"/>
    <n v="0"/>
    <x v="448"/>
    <x v="2"/>
    <x v="0"/>
    <n v="1081.4100000000001"/>
  </r>
  <r>
    <n v="2775"/>
    <x v="1756"/>
    <x v="2"/>
    <x v="10"/>
    <n v="5"/>
    <m/>
    <n v="0"/>
    <x v="28"/>
    <n v="0"/>
    <x v="504"/>
    <x v="1"/>
    <x v="1"/>
    <n v="1182.1199999999999"/>
  </r>
  <r>
    <n v="2776"/>
    <x v="1757"/>
    <x v="1"/>
    <x v="22"/>
    <n v="2"/>
    <n v="891.42"/>
    <n v="1782.84"/>
    <x v="1"/>
    <n v="1782.84"/>
    <x v="199"/>
    <x v="2"/>
    <x v="0"/>
    <n v="664.02"/>
  </r>
  <r>
    <n v="2777"/>
    <x v="1758"/>
    <x v="2"/>
    <x v="10"/>
    <n v="2"/>
    <m/>
    <n v="0"/>
    <x v="32"/>
    <n v="0"/>
    <x v="192"/>
    <x v="5"/>
    <x v="1"/>
    <n v="1373.67"/>
  </r>
  <r>
    <n v="2778"/>
    <x v="1759"/>
    <x v="5"/>
    <x v="12"/>
    <n v="0"/>
    <n v="578.58000000000004"/>
    <n v="0"/>
    <x v="43"/>
    <n v="0"/>
    <x v="125"/>
    <x v="1"/>
    <x v="0"/>
    <n v="414.18"/>
  </r>
  <r>
    <n v="2779"/>
    <x v="1760"/>
    <x v="4"/>
    <x v="4"/>
    <n v="2"/>
    <m/>
    <n v="0"/>
    <x v="33"/>
    <n v="0"/>
    <x v="266"/>
    <x v="5"/>
    <x v="0"/>
    <n v="2573.85"/>
  </r>
  <r>
    <n v="2780"/>
    <x v="1761"/>
    <x v="5"/>
    <x v="6"/>
    <n v="2"/>
    <n v="2534.9"/>
    <n v="5069.8"/>
    <x v="1"/>
    <n v="5069.8"/>
    <x v="276"/>
    <x v="1"/>
    <x v="1"/>
    <n v="1529.17"/>
  </r>
  <r>
    <n v="2781"/>
    <x v="1762"/>
    <x v="0"/>
    <x v="9"/>
    <n v="2"/>
    <m/>
    <n v="0"/>
    <x v="89"/>
    <n v="0"/>
    <x v="304"/>
    <x v="1"/>
    <x v="0"/>
    <n v="1947.29"/>
  </r>
  <r>
    <n v="2782"/>
    <x v="1763"/>
    <x v="0"/>
    <x v="20"/>
    <n v="2"/>
    <n v="449.09"/>
    <n v="898.18"/>
    <x v="1"/>
    <n v="898.18"/>
    <x v="4"/>
    <x v="2"/>
    <x v="0"/>
    <n v="2797.37"/>
  </r>
  <r>
    <n v="2783"/>
    <x v="1764"/>
    <x v="3"/>
    <x v="3"/>
    <n v="2"/>
    <m/>
    <n v="0"/>
    <x v="1"/>
    <n v="0"/>
    <x v="31"/>
    <x v="2"/>
    <x v="0"/>
    <n v="45.06"/>
  </r>
  <r>
    <n v="2784"/>
    <x v="1765"/>
    <x v="1"/>
    <x v="15"/>
    <n v="2"/>
    <m/>
    <n v="0"/>
    <x v="1"/>
    <n v="0"/>
    <x v="210"/>
    <x v="5"/>
    <x v="0"/>
    <n v="2921.6"/>
  </r>
  <r>
    <n v="2785"/>
    <x v="1766"/>
    <x v="2"/>
    <x v="10"/>
    <n v="0"/>
    <m/>
    <n v="0"/>
    <x v="1"/>
    <n v="0"/>
    <x v="108"/>
    <x v="2"/>
    <x v="0"/>
    <n v="385.61"/>
  </r>
  <r>
    <n v="1026"/>
    <x v="1767"/>
    <x v="1"/>
    <x v="18"/>
    <n v="2"/>
    <m/>
    <n v="0"/>
    <x v="71"/>
    <n v="0"/>
    <x v="190"/>
    <x v="0"/>
    <x v="0"/>
    <n v="688.48"/>
  </r>
  <r>
    <n v="2787"/>
    <x v="1768"/>
    <x v="3"/>
    <x v="23"/>
    <n v="2"/>
    <m/>
    <n v="0"/>
    <x v="1"/>
    <n v="0"/>
    <x v="4"/>
    <x v="4"/>
    <x v="0"/>
    <n v="1459.62"/>
  </r>
  <r>
    <n v="2788"/>
    <x v="1769"/>
    <x v="3"/>
    <x v="7"/>
    <n v="-1"/>
    <n v="3267.28"/>
    <n v="-3267.28"/>
    <x v="1"/>
    <n v="-3267.28"/>
    <x v="177"/>
    <x v="3"/>
    <x v="1"/>
    <n v="81.99"/>
  </r>
  <r>
    <n v="2789"/>
    <x v="1770"/>
    <x v="3"/>
    <x v="3"/>
    <n v="3"/>
    <n v="3735.56"/>
    <n v="11206.68"/>
    <x v="1"/>
    <n v="11206.68"/>
    <x v="4"/>
    <x v="5"/>
    <x v="0"/>
    <n v="-690.11"/>
  </r>
  <r>
    <n v="2790"/>
    <x v="1771"/>
    <x v="0"/>
    <x v="5"/>
    <n v="3"/>
    <n v="2675.27"/>
    <n v="8025.8099999999995"/>
    <x v="12"/>
    <n v="4735.2279000000008"/>
    <x v="60"/>
    <x v="0"/>
    <x v="1"/>
    <n v="1960.51"/>
  </r>
  <r>
    <n v="2791"/>
    <x v="1772"/>
    <x v="4"/>
    <x v="14"/>
    <n v="3"/>
    <m/>
    <n v="0"/>
    <x v="1"/>
    <n v="0"/>
    <x v="101"/>
    <x v="5"/>
    <x v="0"/>
    <n v="-166.3"/>
  </r>
  <r>
    <n v="2792"/>
    <x v="1773"/>
    <x v="4"/>
    <x v="16"/>
    <n v="2"/>
    <n v="1039.1500000000001"/>
    <n v="2078.3000000000002"/>
    <x v="1"/>
    <n v="2078.3000000000002"/>
    <x v="4"/>
    <x v="5"/>
    <x v="0"/>
    <n v="2620.13"/>
  </r>
  <r>
    <n v="2793"/>
    <x v="1774"/>
    <x v="3"/>
    <x v="3"/>
    <n v="-2"/>
    <n v="4836.47"/>
    <n v="-9672.94"/>
    <x v="1"/>
    <n v="-9672.94"/>
    <x v="14"/>
    <x v="1"/>
    <x v="0"/>
    <n v="-608.29999999999995"/>
  </r>
  <r>
    <n v="2794"/>
    <x v="1775"/>
    <x v="5"/>
    <x v="19"/>
    <n v="2"/>
    <m/>
    <n v="0"/>
    <x v="1"/>
    <n v="0"/>
    <x v="118"/>
    <x v="3"/>
    <x v="0"/>
    <n v="2860.66"/>
  </r>
  <r>
    <n v="2795"/>
    <x v="1776"/>
    <x v="0"/>
    <x v="5"/>
    <n v="2"/>
    <m/>
    <n v="0"/>
    <x v="1"/>
    <n v="0"/>
    <x v="4"/>
    <x v="2"/>
    <x v="0"/>
    <n v="984.22"/>
  </r>
  <r>
    <n v="2796"/>
    <x v="1777"/>
    <x v="1"/>
    <x v="1"/>
    <n v="3"/>
    <m/>
    <n v="0"/>
    <x v="1"/>
    <n v="0"/>
    <x v="4"/>
    <x v="0"/>
    <x v="0"/>
    <n v="2.81"/>
  </r>
  <r>
    <n v="2797"/>
    <x v="1778"/>
    <x v="3"/>
    <x v="3"/>
    <n v="-1"/>
    <n v="1257.81"/>
    <n v="-1257.81"/>
    <x v="1"/>
    <n v="-1257.81"/>
    <x v="342"/>
    <x v="1"/>
    <x v="0"/>
    <n v="2957.6"/>
  </r>
  <r>
    <n v="2798"/>
    <x v="1779"/>
    <x v="5"/>
    <x v="12"/>
    <n v="0"/>
    <m/>
    <n v="0"/>
    <x v="1"/>
    <n v="0"/>
    <x v="345"/>
    <x v="5"/>
    <x v="0"/>
    <n v="386.97"/>
  </r>
  <r>
    <n v="2799"/>
    <x v="1780"/>
    <x v="4"/>
    <x v="14"/>
    <n v="2"/>
    <m/>
    <n v="0"/>
    <x v="1"/>
    <n v="0"/>
    <x v="14"/>
    <x v="5"/>
    <x v="0"/>
    <n v="683.04"/>
  </r>
  <r>
    <n v="2800"/>
    <x v="1781"/>
    <x v="0"/>
    <x v="5"/>
    <n v="2"/>
    <n v="3410.38"/>
    <n v="6820.76"/>
    <x v="1"/>
    <n v="6820.76"/>
    <x v="230"/>
    <x v="4"/>
    <x v="0"/>
    <n v="1733.81"/>
  </r>
  <r>
    <n v="2801"/>
    <x v="1782"/>
    <x v="3"/>
    <x v="21"/>
    <n v="2"/>
    <n v="1870.82"/>
    <n v="3741.64"/>
    <x v="1"/>
    <n v="3741.64"/>
    <x v="4"/>
    <x v="1"/>
    <x v="0"/>
    <n v="-45.08"/>
  </r>
  <r>
    <n v="2802"/>
    <x v="1783"/>
    <x v="2"/>
    <x v="10"/>
    <n v="-1"/>
    <m/>
    <n v="0"/>
    <x v="1"/>
    <n v="0"/>
    <x v="4"/>
    <x v="3"/>
    <x v="0"/>
    <n v="365.63"/>
  </r>
  <r>
    <n v="2803"/>
    <x v="1784"/>
    <x v="4"/>
    <x v="4"/>
    <n v="5"/>
    <n v="4418.75"/>
    <n v="22093.75"/>
    <x v="1"/>
    <n v="22093.75"/>
    <x v="271"/>
    <x v="3"/>
    <x v="0"/>
    <n v="693.65"/>
  </r>
  <r>
    <n v="2804"/>
    <x v="1785"/>
    <x v="3"/>
    <x v="7"/>
    <n v="6"/>
    <n v="4784"/>
    <n v="28704"/>
    <x v="1"/>
    <n v="28704"/>
    <x v="57"/>
    <x v="2"/>
    <x v="1"/>
    <n v="2969.42"/>
  </r>
  <r>
    <n v="2805"/>
    <x v="1786"/>
    <x v="2"/>
    <x v="13"/>
    <n v="0"/>
    <n v="4930.08"/>
    <n v="0"/>
    <x v="11"/>
    <n v="0"/>
    <x v="251"/>
    <x v="3"/>
    <x v="1"/>
    <n v="623.04999999999995"/>
  </r>
  <r>
    <n v="2806"/>
    <x v="1787"/>
    <x v="0"/>
    <x v="5"/>
    <n v="2"/>
    <m/>
    <n v="0"/>
    <x v="1"/>
    <n v="0"/>
    <x v="108"/>
    <x v="3"/>
    <x v="0"/>
    <n v="2658.95"/>
  </r>
  <r>
    <n v="2807"/>
    <x v="1788"/>
    <x v="0"/>
    <x v="0"/>
    <n v="2"/>
    <n v="3064.28"/>
    <n v="6128.56"/>
    <x v="130"/>
    <n v="-245.14240000000024"/>
    <x v="298"/>
    <x v="4"/>
    <x v="1"/>
    <n v="2540.5300000000002"/>
  </r>
  <r>
    <n v="2808"/>
    <x v="1789"/>
    <x v="2"/>
    <x v="13"/>
    <n v="2"/>
    <n v="4234.7700000000004"/>
    <n v="8469.5400000000009"/>
    <x v="1"/>
    <n v="8469.5400000000009"/>
    <x v="4"/>
    <x v="0"/>
    <x v="0"/>
    <n v="-664.44"/>
  </r>
  <r>
    <n v="1026"/>
    <x v="1790"/>
    <x v="2"/>
    <x v="17"/>
    <n v="0"/>
    <m/>
    <n v="0"/>
    <x v="1"/>
    <n v="0"/>
    <x v="4"/>
    <x v="2"/>
    <x v="0"/>
    <n v="1975.98"/>
  </r>
  <r>
    <n v="2810"/>
    <x v="1791"/>
    <x v="0"/>
    <x v="5"/>
    <n v="2"/>
    <n v="2038.37"/>
    <n v="4076.74"/>
    <x v="89"/>
    <n v="-285.37180000000023"/>
    <x v="4"/>
    <x v="2"/>
    <x v="1"/>
    <n v="1762.96"/>
  </r>
  <r>
    <n v="2811"/>
    <x v="1792"/>
    <x v="5"/>
    <x v="19"/>
    <n v="2"/>
    <n v="4426.1499999999996"/>
    <n v="8852.2999999999993"/>
    <x v="1"/>
    <n v="8852.2999999999993"/>
    <x v="82"/>
    <x v="0"/>
    <x v="1"/>
    <n v="1639.67"/>
  </r>
  <r>
    <n v="2812"/>
    <x v="1793"/>
    <x v="4"/>
    <x v="16"/>
    <n v="2"/>
    <m/>
    <n v="0"/>
    <x v="1"/>
    <n v="0"/>
    <x v="356"/>
    <x v="5"/>
    <x v="1"/>
    <n v="-662.74"/>
  </r>
  <r>
    <n v="2813"/>
    <x v="1794"/>
    <x v="3"/>
    <x v="3"/>
    <n v="2"/>
    <m/>
    <n v="0"/>
    <x v="12"/>
    <n v="0"/>
    <x v="286"/>
    <x v="1"/>
    <x v="0"/>
    <n v="-756.66"/>
  </r>
  <r>
    <n v="2814"/>
    <x v="1795"/>
    <x v="0"/>
    <x v="5"/>
    <n v="2"/>
    <n v="1888.27"/>
    <n v="3776.54"/>
    <x v="1"/>
    <n v="3776.54"/>
    <x v="21"/>
    <x v="2"/>
    <x v="1"/>
    <n v="2441.5100000000002"/>
  </r>
  <r>
    <n v="1042"/>
    <x v="1796"/>
    <x v="0"/>
    <x v="5"/>
    <n v="6"/>
    <n v="2422.0100000000002"/>
    <n v="14532.060000000001"/>
    <x v="1"/>
    <n v="14532.060000000001"/>
    <x v="4"/>
    <x v="5"/>
    <x v="1"/>
    <n v="339.16"/>
  </r>
  <r>
    <n v="2816"/>
    <x v="1797"/>
    <x v="1"/>
    <x v="18"/>
    <n v="2"/>
    <n v="3817.72"/>
    <n v="7635.44"/>
    <x v="94"/>
    <n v="5039.3903999999993"/>
    <x v="147"/>
    <x v="1"/>
    <x v="1"/>
    <n v="-69.09"/>
  </r>
  <r>
    <n v="2817"/>
    <x v="1798"/>
    <x v="5"/>
    <x v="6"/>
    <n v="2"/>
    <m/>
    <n v="0"/>
    <x v="125"/>
    <n v="0"/>
    <x v="87"/>
    <x v="2"/>
    <x v="0"/>
    <n v="495.32"/>
  </r>
  <r>
    <n v="2818"/>
    <x v="1799"/>
    <x v="5"/>
    <x v="12"/>
    <n v="2"/>
    <n v="739.57"/>
    <n v="1479.14"/>
    <x v="1"/>
    <n v="1479.14"/>
    <x v="457"/>
    <x v="2"/>
    <x v="0"/>
    <n v="1148.8699999999999"/>
  </r>
  <r>
    <n v="2819"/>
    <x v="1800"/>
    <x v="3"/>
    <x v="21"/>
    <n v="-1"/>
    <m/>
    <n v="0"/>
    <x v="1"/>
    <n v="0"/>
    <x v="4"/>
    <x v="1"/>
    <x v="0"/>
    <n v="526.19000000000005"/>
  </r>
  <r>
    <n v="2820"/>
    <x v="1801"/>
    <x v="3"/>
    <x v="23"/>
    <n v="1"/>
    <n v="2454.71"/>
    <n v="2454.71"/>
    <x v="105"/>
    <n v="2209.239"/>
    <x v="515"/>
    <x v="2"/>
    <x v="1"/>
    <n v="2850.37"/>
  </r>
  <r>
    <n v="2821"/>
    <x v="1802"/>
    <x v="5"/>
    <x v="12"/>
    <n v="2"/>
    <m/>
    <n v="0"/>
    <x v="25"/>
    <n v="0"/>
    <x v="488"/>
    <x v="1"/>
    <x v="0"/>
    <n v="412.63"/>
  </r>
  <r>
    <n v="2822"/>
    <x v="1803"/>
    <x v="4"/>
    <x v="14"/>
    <n v="-2"/>
    <n v="3864.37"/>
    <n v="-7728.74"/>
    <x v="1"/>
    <n v="-7728.74"/>
    <x v="254"/>
    <x v="3"/>
    <x v="0"/>
    <n v="957.65"/>
  </r>
  <r>
    <n v="2823"/>
    <x v="1804"/>
    <x v="1"/>
    <x v="15"/>
    <n v="0"/>
    <m/>
    <n v="0"/>
    <x v="1"/>
    <n v="0"/>
    <x v="494"/>
    <x v="1"/>
    <x v="0"/>
    <n v="-724.81"/>
  </r>
  <r>
    <n v="2824"/>
    <x v="1805"/>
    <x v="2"/>
    <x v="17"/>
    <n v="2"/>
    <m/>
    <n v="0"/>
    <x v="16"/>
    <n v="0"/>
    <x v="446"/>
    <x v="0"/>
    <x v="0"/>
    <n v="1113.29"/>
  </r>
  <r>
    <n v="2825"/>
    <x v="1806"/>
    <x v="3"/>
    <x v="3"/>
    <n v="2"/>
    <m/>
    <n v="0"/>
    <x v="1"/>
    <n v="0"/>
    <x v="4"/>
    <x v="1"/>
    <x v="1"/>
    <n v="2935.9"/>
  </r>
  <r>
    <n v="2826"/>
    <x v="1807"/>
    <x v="4"/>
    <x v="14"/>
    <n v="-1"/>
    <m/>
    <n v="0"/>
    <x v="1"/>
    <n v="0"/>
    <x v="4"/>
    <x v="2"/>
    <x v="0"/>
    <n v="2275.7399999999998"/>
  </r>
  <r>
    <n v="2827"/>
    <x v="1808"/>
    <x v="0"/>
    <x v="0"/>
    <n v="2"/>
    <n v="3996.87"/>
    <n v="7993.74"/>
    <x v="1"/>
    <n v="7993.74"/>
    <x v="293"/>
    <x v="2"/>
    <x v="0"/>
    <n v="496.23"/>
  </r>
  <r>
    <n v="2828"/>
    <x v="1809"/>
    <x v="2"/>
    <x v="2"/>
    <n v="2"/>
    <n v="2963.02"/>
    <n v="5926.04"/>
    <x v="1"/>
    <n v="5926.04"/>
    <x v="255"/>
    <x v="3"/>
    <x v="1"/>
    <n v="180.31"/>
  </r>
  <r>
    <n v="2829"/>
    <x v="1810"/>
    <x v="1"/>
    <x v="18"/>
    <n v="2"/>
    <n v="4817.45"/>
    <n v="9634.9"/>
    <x v="89"/>
    <n v="-674.44300000000055"/>
    <x v="4"/>
    <x v="5"/>
    <x v="1"/>
    <n v="2048.06"/>
  </r>
  <r>
    <n v="2830"/>
    <x v="1811"/>
    <x v="4"/>
    <x v="4"/>
    <n v="2"/>
    <n v="3588.42"/>
    <n v="7176.84"/>
    <x v="15"/>
    <n v="6889.7663999999995"/>
    <x v="33"/>
    <x v="0"/>
    <x v="0"/>
    <n v="1952.28"/>
  </r>
  <r>
    <n v="2831"/>
    <x v="797"/>
    <x v="5"/>
    <x v="6"/>
    <n v="2"/>
    <m/>
    <n v="0"/>
    <x v="1"/>
    <n v="0"/>
    <x v="132"/>
    <x v="1"/>
    <x v="1"/>
    <n v="2091.3000000000002"/>
  </r>
  <r>
    <n v="2832"/>
    <x v="1812"/>
    <x v="2"/>
    <x v="17"/>
    <n v="2"/>
    <m/>
    <n v="0"/>
    <x v="10"/>
    <n v="0"/>
    <x v="424"/>
    <x v="2"/>
    <x v="0"/>
    <n v="-402.75"/>
  </r>
  <r>
    <n v="2833"/>
    <x v="1813"/>
    <x v="0"/>
    <x v="20"/>
    <n v="5"/>
    <n v="4273.33"/>
    <n v="21366.65"/>
    <x v="1"/>
    <n v="21366.65"/>
    <x v="4"/>
    <x v="3"/>
    <x v="0"/>
    <n v="900.12"/>
  </r>
  <r>
    <n v="2834"/>
    <x v="1814"/>
    <x v="1"/>
    <x v="22"/>
    <n v="-2"/>
    <n v="3522.98"/>
    <n v="-7045.96"/>
    <x v="1"/>
    <n v="-7045.96"/>
    <x v="341"/>
    <x v="0"/>
    <x v="0"/>
    <n v="2242.67"/>
  </r>
  <r>
    <n v="2835"/>
    <x v="1815"/>
    <x v="5"/>
    <x v="11"/>
    <n v="5"/>
    <m/>
    <n v="0"/>
    <x v="98"/>
    <n v="0"/>
    <x v="200"/>
    <x v="4"/>
    <x v="1"/>
    <n v="-618.55999999999995"/>
  </r>
  <r>
    <n v="2836"/>
    <x v="1816"/>
    <x v="5"/>
    <x v="19"/>
    <n v="4"/>
    <n v="4609.95"/>
    <n v="18439.8"/>
    <x v="1"/>
    <n v="18439.8"/>
    <x v="516"/>
    <x v="3"/>
    <x v="1"/>
    <n v="-154.75"/>
  </r>
  <r>
    <n v="2837"/>
    <x v="1817"/>
    <x v="0"/>
    <x v="0"/>
    <n v="2"/>
    <n v="4443.01"/>
    <n v="8886.02"/>
    <x v="1"/>
    <n v="8886.02"/>
    <x v="138"/>
    <x v="3"/>
    <x v="1"/>
    <n v="-919.16"/>
  </r>
  <r>
    <n v="2838"/>
    <x v="1818"/>
    <x v="5"/>
    <x v="19"/>
    <n v="2"/>
    <m/>
    <n v="0"/>
    <x v="101"/>
    <n v="0"/>
    <x v="4"/>
    <x v="2"/>
    <x v="1"/>
    <n v="182.38"/>
  </r>
  <r>
    <n v="2839"/>
    <x v="1819"/>
    <x v="2"/>
    <x v="17"/>
    <n v="2"/>
    <n v="561.24"/>
    <n v="1122.48"/>
    <x v="1"/>
    <n v="1122.48"/>
    <x v="517"/>
    <x v="4"/>
    <x v="0"/>
    <n v="2551.12"/>
  </r>
  <r>
    <n v="2840"/>
    <x v="1820"/>
    <x v="1"/>
    <x v="15"/>
    <n v="2"/>
    <n v="2297.54"/>
    <n v="4595.08"/>
    <x v="1"/>
    <n v="4595.08"/>
    <x v="124"/>
    <x v="4"/>
    <x v="1"/>
    <n v="490.32"/>
  </r>
  <r>
    <n v="2841"/>
    <x v="1821"/>
    <x v="0"/>
    <x v="20"/>
    <n v="2"/>
    <n v="4154.05"/>
    <n v="8308.1"/>
    <x v="1"/>
    <n v="8308.1"/>
    <x v="312"/>
    <x v="2"/>
    <x v="1"/>
    <n v="265"/>
  </r>
  <r>
    <n v="2842"/>
    <x v="1822"/>
    <x v="3"/>
    <x v="7"/>
    <n v="0"/>
    <n v="1812.58"/>
    <n v="0"/>
    <x v="1"/>
    <n v="0"/>
    <x v="273"/>
    <x v="0"/>
    <x v="1"/>
    <n v="445.27"/>
  </r>
  <r>
    <n v="2843"/>
    <x v="1823"/>
    <x v="4"/>
    <x v="16"/>
    <n v="2"/>
    <n v="1110.1099999999999"/>
    <n v="2220.2199999999998"/>
    <x v="1"/>
    <n v="2220.2199999999998"/>
    <x v="217"/>
    <x v="2"/>
    <x v="1"/>
    <n v="2926.44"/>
  </r>
  <r>
    <n v="2844"/>
    <x v="1824"/>
    <x v="0"/>
    <x v="9"/>
    <n v="2"/>
    <n v="2549.59"/>
    <n v="5099.18"/>
    <x v="1"/>
    <n v="5099.18"/>
    <x v="518"/>
    <x v="0"/>
    <x v="0"/>
    <n v="2612.63"/>
  </r>
  <r>
    <n v="2845"/>
    <x v="1825"/>
    <x v="1"/>
    <x v="18"/>
    <n v="-2"/>
    <m/>
    <n v="0"/>
    <x v="1"/>
    <n v="0"/>
    <x v="113"/>
    <x v="0"/>
    <x v="1"/>
    <n v="-693.63"/>
  </r>
  <r>
    <n v="2846"/>
    <x v="1826"/>
    <x v="2"/>
    <x v="13"/>
    <n v="-2"/>
    <n v="2525.04"/>
    <n v="-5050.08"/>
    <x v="118"/>
    <n v="-3535.0559999999996"/>
    <x v="273"/>
    <x v="4"/>
    <x v="0"/>
    <n v="1003.34"/>
  </r>
  <r>
    <n v="2847"/>
    <x v="1827"/>
    <x v="2"/>
    <x v="17"/>
    <n v="2"/>
    <n v="3424.29"/>
    <n v="6848.58"/>
    <x v="16"/>
    <n v="-547.88640000000044"/>
    <x v="298"/>
    <x v="5"/>
    <x v="1"/>
    <n v="2560.3200000000002"/>
  </r>
  <r>
    <n v="2848"/>
    <x v="1828"/>
    <x v="1"/>
    <x v="22"/>
    <n v="2"/>
    <m/>
    <n v="0"/>
    <x v="1"/>
    <n v="0"/>
    <x v="475"/>
    <x v="1"/>
    <x v="0"/>
    <n v="2638.28"/>
  </r>
  <r>
    <n v="2849"/>
    <x v="1829"/>
    <x v="3"/>
    <x v="7"/>
    <n v="2"/>
    <m/>
    <n v="0"/>
    <x v="90"/>
    <n v="0"/>
    <x v="4"/>
    <x v="2"/>
    <x v="1"/>
    <n v="1750.23"/>
  </r>
  <r>
    <n v="2850"/>
    <x v="1830"/>
    <x v="0"/>
    <x v="0"/>
    <n v="2"/>
    <n v="2687.96"/>
    <n v="5375.92"/>
    <x v="1"/>
    <n v="5375.92"/>
    <x v="322"/>
    <x v="0"/>
    <x v="1"/>
    <n v="2288"/>
  </r>
  <r>
    <n v="2851"/>
    <x v="1831"/>
    <x v="5"/>
    <x v="6"/>
    <n v="2"/>
    <n v="1525.28"/>
    <n v="3050.56"/>
    <x v="1"/>
    <n v="3050.56"/>
    <x v="65"/>
    <x v="4"/>
    <x v="0"/>
    <n v="-560.49"/>
  </r>
  <r>
    <n v="2852"/>
    <x v="1832"/>
    <x v="2"/>
    <x v="17"/>
    <n v="2"/>
    <n v="1816.76"/>
    <n v="3633.52"/>
    <x v="1"/>
    <n v="3633.52"/>
    <x v="4"/>
    <x v="2"/>
    <x v="0"/>
    <n v="630.13"/>
  </r>
  <r>
    <n v="2853"/>
    <x v="1833"/>
    <x v="4"/>
    <x v="16"/>
    <n v="2"/>
    <n v="1212.44"/>
    <n v="2424.88"/>
    <x v="106"/>
    <n v="266.73679999999996"/>
    <x v="243"/>
    <x v="2"/>
    <x v="0"/>
    <n v="175.39"/>
  </r>
  <r>
    <n v="2854"/>
    <x v="1834"/>
    <x v="0"/>
    <x v="0"/>
    <n v="2"/>
    <n v="3303.02"/>
    <n v="6606.04"/>
    <x v="5"/>
    <n v="1981.8120000000004"/>
    <x v="4"/>
    <x v="2"/>
    <x v="1"/>
    <n v="276.29000000000002"/>
  </r>
  <r>
    <n v="2855"/>
    <x v="1835"/>
    <x v="0"/>
    <x v="0"/>
    <n v="2"/>
    <n v="1831.4"/>
    <n v="3662.8"/>
    <x v="1"/>
    <n v="3662.8"/>
    <x v="275"/>
    <x v="4"/>
    <x v="0"/>
    <n v="719.33"/>
  </r>
  <r>
    <n v="2856"/>
    <x v="1836"/>
    <x v="5"/>
    <x v="12"/>
    <n v="2"/>
    <m/>
    <n v="0"/>
    <x v="1"/>
    <n v="0"/>
    <x v="4"/>
    <x v="4"/>
    <x v="1"/>
    <n v="1448.8"/>
  </r>
  <r>
    <n v="2857"/>
    <x v="1837"/>
    <x v="0"/>
    <x v="9"/>
    <n v="5"/>
    <m/>
    <n v="0"/>
    <x v="1"/>
    <n v="0"/>
    <x v="281"/>
    <x v="2"/>
    <x v="1"/>
    <n v="-625.91999999999996"/>
  </r>
  <r>
    <n v="2858"/>
    <x v="1838"/>
    <x v="0"/>
    <x v="5"/>
    <n v="-1"/>
    <n v="3270.29"/>
    <n v="-3270.29"/>
    <x v="1"/>
    <n v="-3270.29"/>
    <x v="323"/>
    <x v="5"/>
    <x v="0"/>
    <n v="-539.25"/>
  </r>
  <r>
    <n v="2859"/>
    <x v="1839"/>
    <x v="3"/>
    <x v="7"/>
    <n v="2"/>
    <m/>
    <n v="0"/>
    <x v="107"/>
    <n v="0"/>
    <x v="519"/>
    <x v="3"/>
    <x v="1"/>
    <n v="1686.29"/>
  </r>
  <r>
    <n v="2860"/>
    <x v="1840"/>
    <x v="0"/>
    <x v="9"/>
    <n v="2"/>
    <n v="4428.24"/>
    <n v="8856.48"/>
    <x v="48"/>
    <n v="8059.3967999999995"/>
    <x v="4"/>
    <x v="2"/>
    <x v="0"/>
    <n v="-641.59"/>
  </r>
  <r>
    <n v="2861"/>
    <x v="1841"/>
    <x v="5"/>
    <x v="11"/>
    <n v="4"/>
    <m/>
    <n v="0"/>
    <x v="82"/>
    <n v="0"/>
    <x v="200"/>
    <x v="0"/>
    <x v="0"/>
    <n v="-936.94"/>
  </r>
  <r>
    <n v="2862"/>
    <x v="1842"/>
    <x v="0"/>
    <x v="9"/>
    <n v="2"/>
    <m/>
    <n v="0"/>
    <x v="1"/>
    <n v="0"/>
    <x v="4"/>
    <x v="5"/>
    <x v="0"/>
    <n v="824.88"/>
  </r>
  <r>
    <n v="2863"/>
    <x v="1843"/>
    <x v="2"/>
    <x v="13"/>
    <n v="6"/>
    <n v="1459.76"/>
    <n v="8758.56"/>
    <x v="68"/>
    <n v="-1576.5407999999993"/>
    <x v="164"/>
    <x v="3"/>
    <x v="1"/>
    <n v="2541"/>
  </r>
  <r>
    <n v="2864"/>
    <x v="1844"/>
    <x v="1"/>
    <x v="22"/>
    <n v="5"/>
    <n v="2535.29"/>
    <n v="12676.45"/>
    <x v="1"/>
    <n v="12676.45"/>
    <x v="216"/>
    <x v="3"/>
    <x v="0"/>
    <n v="-456.39"/>
  </r>
  <r>
    <n v="2865"/>
    <x v="1569"/>
    <x v="0"/>
    <x v="5"/>
    <n v="2"/>
    <n v="2043.3"/>
    <n v="4086.6"/>
    <x v="18"/>
    <n v="2738.0219999999995"/>
    <x v="4"/>
    <x v="1"/>
    <x v="1"/>
    <n v="-389.95"/>
  </r>
  <r>
    <n v="2866"/>
    <x v="1845"/>
    <x v="0"/>
    <x v="20"/>
    <n v="2"/>
    <m/>
    <n v="0"/>
    <x v="1"/>
    <n v="0"/>
    <x v="480"/>
    <x v="3"/>
    <x v="0"/>
    <n v="883.66"/>
  </r>
  <r>
    <n v="2867"/>
    <x v="1846"/>
    <x v="0"/>
    <x v="20"/>
    <n v="2"/>
    <m/>
    <n v="0"/>
    <x v="1"/>
    <n v="0"/>
    <x v="4"/>
    <x v="0"/>
    <x v="0"/>
    <n v="478.82"/>
  </r>
  <r>
    <n v="2868"/>
    <x v="1847"/>
    <x v="3"/>
    <x v="7"/>
    <n v="4"/>
    <n v="1392.21"/>
    <n v="5568.84"/>
    <x v="1"/>
    <n v="5568.84"/>
    <x v="27"/>
    <x v="3"/>
    <x v="1"/>
    <n v="758.3"/>
  </r>
  <r>
    <n v="2869"/>
    <x v="1848"/>
    <x v="5"/>
    <x v="6"/>
    <n v="2"/>
    <n v="4238.91"/>
    <n v="8477.82"/>
    <x v="1"/>
    <n v="8477.82"/>
    <x v="4"/>
    <x v="4"/>
    <x v="1"/>
    <n v="-746.44"/>
  </r>
  <r>
    <n v="2870"/>
    <x v="1849"/>
    <x v="0"/>
    <x v="20"/>
    <n v="2"/>
    <n v="839.34"/>
    <n v="1678.68"/>
    <x v="1"/>
    <n v="1678.68"/>
    <x v="235"/>
    <x v="5"/>
    <x v="0"/>
    <n v="367.87"/>
  </r>
  <r>
    <n v="2871"/>
    <x v="1850"/>
    <x v="5"/>
    <x v="12"/>
    <n v="2"/>
    <m/>
    <n v="0"/>
    <x v="1"/>
    <n v="0"/>
    <x v="113"/>
    <x v="2"/>
    <x v="0"/>
    <n v="2126.04"/>
  </r>
  <r>
    <n v="2872"/>
    <x v="1851"/>
    <x v="0"/>
    <x v="9"/>
    <n v="-1"/>
    <m/>
    <n v="0"/>
    <x v="1"/>
    <n v="0"/>
    <x v="88"/>
    <x v="3"/>
    <x v="0"/>
    <n v="148.19999999999999"/>
  </r>
  <r>
    <n v="2873"/>
    <x v="1852"/>
    <x v="2"/>
    <x v="2"/>
    <n v="5"/>
    <n v="1354.14"/>
    <n v="6770.7000000000007"/>
    <x v="1"/>
    <n v="6770.7000000000007"/>
    <x v="160"/>
    <x v="1"/>
    <x v="1"/>
    <n v="2535.62"/>
  </r>
  <r>
    <n v="2874"/>
    <x v="606"/>
    <x v="0"/>
    <x v="5"/>
    <n v="2"/>
    <n v="3754.23"/>
    <n v="7508.46"/>
    <x v="57"/>
    <n v="976.09980000000007"/>
    <x v="190"/>
    <x v="2"/>
    <x v="0"/>
    <n v="-153.77000000000001"/>
  </r>
  <r>
    <n v="2875"/>
    <x v="1853"/>
    <x v="1"/>
    <x v="1"/>
    <n v="2"/>
    <m/>
    <n v="0"/>
    <x v="1"/>
    <n v="0"/>
    <x v="22"/>
    <x v="0"/>
    <x v="1"/>
    <n v="1291.9000000000001"/>
  </r>
  <r>
    <n v="2876"/>
    <x v="1854"/>
    <x v="0"/>
    <x v="9"/>
    <n v="6"/>
    <n v="3824.82"/>
    <n v="22948.920000000002"/>
    <x v="83"/>
    <n v="4130.8056000000015"/>
    <x v="178"/>
    <x v="3"/>
    <x v="0"/>
    <n v="688.53"/>
  </r>
  <r>
    <n v="2877"/>
    <x v="1855"/>
    <x v="2"/>
    <x v="17"/>
    <n v="2"/>
    <m/>
    <n v="0"/>
    <x v="69"/>
    <n v="0"/>
    <x v="4"/>
    <x v="4"/>
    <x v="1"/>
    <n v="2293.59"/>
  </r>
  <r>
    <n v="2878"/>
    <x v="1856"/>
    <x v="1"/>
    <x v="15"/>
    <n v="2"/>
    <m/>
    <n v="0"/>
    <x v="1"/>
    <n v="0"/>
    <x v="291"/>
    <x v="4"/>
    <x v="0"/>
    <n v="2309.5500000000002"/>
  </r>
  <r>
    <n v="2879"/>
    <x v="1857"/>
    <x v="1"/>
    <x v="15"/>
    <n v="2"/>
    <m/>
    <n v="0"/>
    <x v="27"/>
    <n v="0"/>
    <x v="4"/>
    <x v="0"/>
    <x v="1"/>
    <n v="1146.23"/>
  </r>
  <r>
    <n v="2880"/>
    <x v="1858"/>
    <x v="3"/>
    <x v="3"/>
    <n v="2"/>
    <m/>
    <n v="0"/>
    <x v="1"/>
    <n v="0"/>
    <x v="229"/>
    <x v="2"/>
    <x v="0"/>
    <n v="970.22"/>
  </r>
  <r>
    <n v="2881"/>
    <x v="1859"/>
    <x v="0"/>
    <x v="5"/>
    <n v="-2"/>
    <m/>
    <n v="0"/>
    <x v="1"/>
    <n v="0"/>
    <x v="293"/>
    <x v="4"/>
    <x v="0"/>
    <n v="1850.77"/>
  </r>
  <r>
    <n v="2882"/>
    <x v="1860"/>
    <x v="3"/>
    <x v="23"/>
    <n v="3"/>
    <n v="583.53"/>
    <n v="1750.59"/>
    <x v="1"/>
    <n v="1750.59"/>
    <x v="54"/>
    <x v="2"/>
    <x v="0"/>
    <n v="2334.42"/>
  </r>
  <r>
    <n v="2883"/>
    <x v="1861"/>
    <x v="4"/>
    <x v="16"/>
    <n v="2"/>
    <n v="2320.7600000000002"/>
    <n v="4641.5200000000004"/>
    <x v="1"/>
    <n v="4641.5200000000004"/>
    <x v="334"/>
    <x v="1"/>
    <x v="0"/>
    <n v="2529.16"/>
  </r>
  <r>
    <n v="2884"/>
    <x v="1862"/>
    <x v="0"/>
    <x v="20"/>
    <n v="2"/>
    <m/>
    <n v="0"/>
    <x v="33"/>
    <n v="0"/>
    <x v="54"/>
    <x v="5"/>
    <x v="1"/>
    <n v="896.38"/>
  </r>
  <r>
    <n v="2885"/>
    <x v="1863"/>
    <x v="4"/>
    <x v="14"/>
    <n v="2"/>
    <n v="2666.48"/>
    <n v="5332.96"/>
    <x v="1"/>
    <n v="5332.96"/>
    <x v="238"/>
    <x v="5"/>
    <x v="1"/>
    <n v="-17.89"/>
  </r>
  <r>
    <n v="2886"/>
    <x v="1864"/>
    <x v="4"/>
    <x v="16"/>
    <n v="2"/>
    <n v="3229.15"/>
    <n v="6458.3"/>
    <x v="75"/>
    <n v="-193.74900000000017"/>
    <x v="127"/>
    <x v="1"/>
    <x v="1"/>
    <n v="175.26"/>
  </r>
  <r>
    <n v="2887"/>
    <x v="1865"/>
    <x v="0"/>
    <x v="5"/>
    <n v="2"/>
    <n v="3331.72"/>
    <n v="6663.44"/>
    <x v="120"/>
    <n v="-1665.86"/>
    <x v="4"/>
    <x v="2"/>
    <x v="1"/>
    <n v="-267.95999999999998"/>
  </r>
  <r>
    <n v="2888"/>
    <x v="1866"/>
    <x v="5"/>
    <x v="6"/>
    <n v="-1"/>
    <m/>
    <n v="0"/>
    <x v="1"/>
    <n v="0"/>
    <x v="499"/>
    <x v="1"/>
    <x v="0"/>
    <n v="2007.16"/>
  </r>
  <r>
    <n v="2889"/>
    <x v="1867"/>
    <x v="2"/>
    <x v="2"/>
    <n v="5"/>
    <m/>
    <n v="0"/>
    <x v="1"/>
    <n v="0"/>
    <x v="150"/>
    <x v="4"/>
    <x v="0"/>
    <n v="1874.28"/>
  </r>
  <r>
    <n v="2890"/>
    <x v="1868"/>
    <x v="5"/>
    <x v="12"/>
    <n v="1"/>
    <n v="2357.36"/>
    <n v="2357.36"/>
    <x v="1"/>
    <n v="2357.36"/>
    <x v="397"/>
    <x v="5"/>
    <x v="0"/>
    <n v="468.3"/>
  </r>
  <r>
    <n v="2891"/>
    <x v="1869"/>
    <x v="1"/>
    <x v="1"/>
    <n v="2"/>
    <m/>
    <n v="0"/>
    <x v="1"/>
    <n v="0"/>
    <x v="4"/>
    <x v="1"/>
    <x v="0"/>
    <n v="-363.86"/>
  </r>
  <r>
    <n v="2892"/>
    <x v="1870"/>
    <x v="3"/>
    <x v="3"/>
    <n v="2"/>
    <m/>
    <n v="0"/>
    <x v="1"/>
    <n v="0"/>
    <x v="247"/>
    <x v="1"/>
    <x v="0"/>
    <n v="-502.19"/>
  </r>
  <r>
    <n v="2893"/>
    <x v="1871"/>
    <x v="2"/>
    <x v="2"/>
    <n v="2"/>
    <m/>
    <n v="0"/>
    <x v="1"/>
    <n v="0"/>
    <x v="494"/>
    <x v="3"/>
    <x v="1"/>
    <n v="1825.47"/>
  </r>
  <r>
    <n v="2894"/>
    <x v="1872"/>
    <x v="2"/>
    <x v="2"/>
    <n v="3"/>
    <m/>
    <n v="0"/>
    <x v="1"/>
    <n v="0"/>
    <x v="4"/>
    <x v="3"/>
    <x v="1"/>
    <n v="1479.24"/>
  </r>
  <r>
    <n v="1006"/>
    <x v="1873"/>
    <x v="2"/>
    <x v="17"/>
    <n v="2"/>
    <n v="3593.06"/>
    <n v="7186.12"/>
    <x v="94"/>
    <n v="4742.8391999999994"/>
    <x v="4"/>
    <x v="4"/>
    <x v="0"/>
    <n v="1031.6600000000001"/>
  </r>
  <r>
    <n v="2896"/>
    <x v="1874"/>
    <x v="5"/>
    <x v="12"/>
    <n v="2"/>
    <m/>
    <n v="0"/>
    <x v="1"/>
    <n v="0"/>
    <x v="309"/>
    <x v="4"/>
    <x v="0"/>
    <n v="2760.7"/>
  </r>
  <r>
    <n v="2897"/>
    <x v="1875"/>
    <x v="1"/>
    <x v="18"/>
    <n v="1"/>
    <n v="1194.44"/>
    <n v="1194.44"/>
    <x v="1"/>
    <n v="1194.44"/>
    <x v="110"/>
    <x v="0"/>
    <x v="1"/>
    <n v="1048.51"/>
  </r>
  <r>
    <n v="2898"/>
    <x v="1876"/>
    <x v="5"/>
    <x v="12"/>
    <n v="6"/>
    <m/>
    <n v="0"/>
    <x v="96"/>
    <n v="0"/>
    <x v="270"/>
    <x v="0"/>
    <x v="1"/>
    <n v="-274.57"/>
  </r>
  <r>
    <n v="2899"/>
    <x v="1877"/>
    <x v="3"/>
    <x v="7"/>
    <n v="2"/>
    <n v="3086.59"/>
    <n v="6173.18"/>
    <x v="1"/>
    <n v="6173.18"/>
    <x v="369"/>
    <x v="0"/>
    <x v="0"/>
    <n v="-745.27"/>
  </r>
  <r>
    <n v="2900"/>
    <x v="1878"/>
    <x v="5"/>
    <x v="12"/>
    <n v="2"/>
    <m/>
    <n v="0"/>
    <x v="1"/>
    <n v="0"/>
    <x v="4"/>
    <x v="1"/>
    <x v="1"/>
    <n v="36.92"/>
  </r>
  <r>
    <n v="2901"/>
    <x v="1879"/>
    <x v="2"/>
    <x v="10"/>
    <n v="2"/>
    <n v="1817.71"/>
    <n v="3635.42"/>
    <x v="1"/>
    <n v="3635.42"/>
    <x v="386"/>
    <x v="2"/>
    <x v="0"/>
    <n v="391.06"/>
  </r>
  <r>
    <n v="2902"/>
    <x v="1880"/>
    <x v="0"/>
    <x v="5"/>
    <n v="5"/>
    <n v="3153.37"/>
    <n v="15766.849999999999"/>
    <x v="1"/>
    <n v="15766.849999999999"/>
    <x v="134"/>
    <x v="3"/>
    <x v="0"/>
    <n v="-594.19000000000005"/>
  </r>
  <r>
    <n v="2903"/>
    <x v="1881"/>
    <x v="4"/>
    <x v="14"/>
    <n v="2"/>
    <m/>
    <n v="0"/>
    <x v="1"/>
    <n v="0"/>
    <x v="4"/>
    <x v="4"/>
    <x v="0"/>
    <n v="2232.1799999999998"/>
  </r>
  <r>
    <n v="2904"/>
    <x v="1882"/>
    <x v="4"/>
    <x v="4"/>
    <n v="5"/>
    <n v="1202.73"/>
    <n v="6013.65"/>
    <x v="1"/>
    <n v="6013.65"/>
    <x v="98"/>
    <x v="4"/>
    <x v="0"/>
    <n v="658.6"/>
  </r>
  <r>
    <n v="2905"/>
    <x v="1883"/>
    <x v="0"/>
    <x v="9"/>
    <n v="2"/>
    <n v="1478.93"/>
    <n v="2957.86"/>
    <x v="1"/>
    <n v="2957.86"/>
    <x v="0"/>
    <x v="4"/>
    <x v="0"/>
    <n v="25.28"/>
  </r>
  <r>
    <n v="2906"/>
    <x v="1884"/>
    <x v="5"/>
    <x v="19"/>
    <n v="2"/>
    <m/>
    <n v="0"/>
    <x v="66"/>
    <n v="0"/>
    <x v="230"/>
    <x v="1"/>
    <x v="0"/>
    <n v="-116.3"/>
  </r>
  <r>
    <n v="2907"/>
    <x v="1885"/>
    <x v="4"/>
    <x v="16"/>
    <n v="2"/>
    <m/>
    <n v="0"/>
    <x v="1"/>
    <n v="0"/>
    <x v="78"/>
    <x v="4"/>
    <x v="1"/>
    <n v="-782.3"/>
  </r>
  <r>
    <n v="2908"/>
    <x v="1886"/>
    <x v="0"/>
    <x v="9"/>
    <n v="2"/>
    <m/>
    <n v="0"/>
    <x v="115"/>
    <n v="0"/>
    <x v="145"/>
    <x v="5"/>
    <x v="0"/>
    <n v="-61.23"/>
  </r>
  <r>
    <n v="2909"/>
    <x v="1887"/>
    <x v="4"/>
    <x v="4"/>
    <n v="2"/>
    <n v="2928.84"/>
    <n v="5857.68"/>
    <x v="1"/>
    <n v="5857.68"/>
    <x v="356"/>
    <x v="0"/>
    <x v="1"/>
    <n v="-477.2"/>
  </r>
  <r>
    <n v="2910"/>
    <x v="1888"/>
    <x v="5"/>
    <x v="19"/>
    <n v="2"/>
    <n v="1027.54"/>
    <n v="2055.08"/>
    <x v="97"/>
    <n v="924.78599999999983"/>
    <x v="208"/>
    <x v="1"/>
    <x v="0"/>
    <n v="-580.87"/>
  </r>
  <r>
    <n v="2911"/>
    <x v="1889"/>
    <x v="5"/>
    <x v="6"/>
    <n v="1"/>
    <m/>
    <n v="0"/>
    <x v="1"/>
    <n v="0"/>
    <x v="4"/>
    <x v="1"/>
    <x v="1"/>
    <n v="2672.56"/>
  </r>
  <r>
    <n v="2912"/>
    <x v="1890"/>
    <x v="2"/>
    <x v="17"/>
    <n v="2"/>
    <m/>
    <n v="0"/>
    <x v="1"/>
    <n v="0"/>
    <x v="178"/>
    <x v="5"/>
    <x v="0"/>
    <n v="-97.77"/>
  </r>
  <r>
    <n v="2913"/>
    <x v="1891"/>
    <x v="2"/>
    <x v="10"/>
    <n v="2"/>
    <m/>
    <n v="0"/>
    <x v="1"/>
    <n v="0"/>
    <x v="4"/>
    <x v="1"/>
    <x v="0"/>
    <n v="1693.76"/>
  </r>
  <r>
    <n v="2914"/>
    <x v="1892"/>
    <x v="3"/>
    <x v="3"/>
    <n v="2"/>
    <m/>
    <n v="0"/>
    <x v="75"/>
    <n v="0"/>
    <x v="520"/>
    <x v="0"/>
    <x v="0"/>
    <n v="2321.6"/>
  </r>
  <r>
    <n v="2915"/>
    <x v="1893"/>
    <x v="3"/>
    <x v="3"/>
    <n v="2"/>
    <n v="3022.15"/>
    <n v="6044.3"/>
    <x v="1"/>
    <n v="6044.3"/>
    <x v="462"/>
    <x v="0"/>
    <x v="0"/>
    <n v="-528.82000000000005"/>
  </r>
  <r>
    <n v="2916"/>
    <x v="1894"/>
    <x v="1"/>
    <x v="18"/>
    <n v="2"/>
    <n v="2483.4899999999998"/>
    <n v="4966.9799999999996"/>
    <x v="1"/>
    <n v="4966.9799999999996"/>
    <x v="207"/>
    <x v="1"/>
    <x v="1"/>
    <n v="370.61"/>
  </r>
  <r>
    <n v="1027"/>
    <x v="1895"/>
    <x v="3"/>
    <x v="21"/>
    <n v="2"/>
    <n v="2092.33"/>
    <n v="4184.66"/>
    <x v="1"/>
    <n v="4184.66"/>
    <x v="503"/>
    <x v="1"/>
    <x v="0"/>
    <n v="-586.88"/>
  </r>
  <r>
    <n v="2918"/>
    <x v="1896"/>
    <x v="2"/>
    <x v="10"/>
    <n v="2"/>
    <m/>
    <n v="0"/>
    <x v="1"/>
    <n v="0"/>
    <x v="4"/>
    <x v="0"/>
    <x v="0"/>
    <n v="899.98"/>
  </r>
  <r>
    <n v="2919"/>
    <x v="1897"/>
    <x v="0"/>
    <x v="0"/>
    <n v="2"/>
    <n v="535.62"/>
    <n v="1071.24"/>
    <x v="1"/>
    <n v="1071.24"/>
    <x v="216"/>
    <x v="3"/>
    <x v="0"/>
    <n v="-637.47"/>
  </r>
  <r>
    <n v="2920"/>
    <x v="506"/>
    <x v="3"/>
    <x v="3"/>
    <n v="1"/>
    <m/>
    <n v="0"/>
    <x v="19"/>
    <n v="0"/>
    <x v="193"/>
    <x v="4"/>
    <x v="0"/>
    <n v="489.94"/>
  </r>
  <r>
    <n v="2921"/>
    <x v="1898"/>
    <x v="2"/>
    <x v="10"/>
    <n v="6"/>
    <m/>
    <n v="0"/>
    <x v="1"/>
    <n v="0"/>
    <x v="3"/>
    <x v="4"/>
    <x v="0"/>
    <n v="-821.17"/>
  </r>
  <r>
    <n v="2922"/>
    <x v="1899"/>
    <x v="1"/>
    <x v="22"/>
    <n v="2"/>
    <n v="2488.9499999999998"/>
    <n v="4977.8999999999996"/>
    <x v="85"/>
    <n v="-1144.9169999999999"/>
    <x v="4"/>
    <x v="4"/>
    <x v="0"/>
    <n v="2827.47"/>
  </r>
  <r>
    <n v="2923"/>
    <x v="1900"/>
    <x v="3"/>
    <x v="7"/>
    <n v="0"/>
    <m/>
    <n v="0"/>
    <x v="91"/>
    <n v="0"/>
    <x v="25"/>
    <x v="4"/>
    <x v="0"/>
    <n v="-674.63"/>
  </r>
  <r>
    <n v="2924"/>
    <x v="1901"/>
    <x v="1"/>
    <x v="15"/>
    <n v="2"/>
    <n v="4151.88"/>
    <n v="8303.76"/>
    <x v="67"/>
    <n v="7888.5720000000001"/>
    <x v="112"/>
    <x v="5"/>
    <x v="0"/>
    <n v="577.77"/>
  </r>
  <r>
    <n v="1004"/>
    <x v="1902"/>
    <x v="0"/>
    <x v="0"/>
    <n v="2"/>
    <n v="977.64"/>
    <n v="1955.28"/>
    <x v="1"/>
    <n v="1955.28"/>
    <x v="374"/>
    <x v="3"/>
    <x v="0"/>
    <n v="2702.46"/>
  </r>
  <r>
    <n v="2926"/>
    <x v="1903"/>
    <x v="5"/>
    <x v="12"/>
    <n v="4"/>
    <n v="3263.06"/>
    <n v="13052.24"/>
    <x v="117"/>
    <n v="10963.881599999999"/>
    <x v="27"/>
    <x v="2"/>
    <x v="0"/>
    <n v="2428.73"/>
  </r>
  <r>
    <n v="2927"/>
    <x v="1904"/>
    <x v="5"/>
    <x v="12"/>
    <n v="2"/>
    <m/>
    <n v="0"/>
    <x v="1"/>
    <n v="0"/>
    <x v="38"/>
    <x v="2"/>
    <x v="1"/>
    <n v="-674.94"/>
  </r>
  <r>
    <n v="2928"/>
    <x v="1905"/>
    <x v="2"/>
    <x v="10"/>
    <n v="0"/>
    <m/>
    <n v="0"/>
    <x v="107"/>
    <n v="0"/>
    <x v="341"/>
    <x v="0"/>
    <x v="0"/>
    <n v="642.22"/>
  </r>
  <r>
    <n v="2929"/>
    <x v="1906"/>
    <x v="4"/>
    <x v="14"/>
    <n v="2"/>
    <n v="4733.41"/>
    <n v="9466.82"/>
    <x v="20"/>
    <n v="-1230.6865999999989"/>
    <x v="288"/>
    <x v="3"/>
    <x v="0"/>
    <n v="2459.5"/>
  </r>
  <r>
    <n v="2930"/>
    <x v="1907"/>
    <x v="5"/>
    <x v="12"/>
    <n v="0"/>
    <n v="2642.73"/>
    <n v="0"/>
    <x v="48"/>
    <n v="0"/>
    <x v="358"/>
    <x v="1"/>
    <x v="0"/>
    <n v="996.68"/>
  </r>
  <r>
    <n v="2931"/>
    <x v="1908"/>
    <x v="0"/>
    <x v="20"/>
    <n v="2"/>
    <n v="2629.78"/>
    <n v="5259.56"/>
    <x v="19"/>
    <n v="-1577.8680000000004"/>
    <x v="4"/>
    <x v="0"/>
    <x v="0"/>
    <n v="2826.2"/>
  </r>
  <r>
    <n v="2932"/>
    <x v="1909"/>
    <x v="2"/>
    <x v="10"/>
    <n v="2"/>
    <m/>
    <n v="0"/>
    <x v="1"/>
    <n v="0"/>
    <x v="447"/>
    <x v="4"/>
    <x v="1"/>
    <n v="700.64"/>
  </r>
  <r>
    <n v="2933"/>
    <x v="1910"/>
    <x v="0"/>
    <x v="9"/>
    <n v="2"/>
    <n v="2891"/>
    <n v="5782"/>
    <x v="1"/>
    <n v="5782"/>
    <x v="457"/>
    <x v="0"/>
    <x v="0"/>
    <n v="1279.32"/>
  </r>
  <r>
    <n v="2934"/>
    <x v="1911"/>
    <x v="5"/>
    <x v="12"/>
    <n v="5"/>
    <m/>
    <n v="0"/>
    <x v="1"/>
    <n v="0"/>
    <x v="67"/>
    <x v="1"/>
    <x v="0"/>
    <n v="-811.78"/>
  </r>
  <r>
    <n v="2935"/>
    <x v="1912"/>
    <x v="2"/>
    <x v="2"/>
    <n v="2"/>
    <n v="3681.08"/>
    <n v="7362.16"/>
    <x v="1"/>
    <n v="7362.16"/>
    <x v="4"/>
    <x v="4"/>
    <x v="1"/>
    <n v="2705.42"/>
  </r>
  <r>
    <n v="2936"/>
    <x v="1913"/>
    <x v="2"/>
    <x v="2"/>
    <n v="2"/>
    <n v="4487.5"/>
    <n v="8975"/>
    <x v="1"/>
    <n v="8975"/>
    <x v="280"/>
    <x v="5"/>
    <x v="1"/>
    <n v="2518.5300000000002"/>
  </r>
  <r>
    <n v="2937"/>
    <x v="1914"/>
    <x v="3"/>
    <x v="7"/>
    <n v="-2"/>
    <m/>
    <n v="0"/>
    <x v="1"/>
    <n v="0"/>
    <x v="409"/>
    <x v="2"/>
    <x v="0"/>
    <n v="-889.53"/>
  </r>
  <r>
    <n v="2938"/>
    <x v="580"/>
    <x v="2"/>
    <x v="17"/>
    <n v="2"/>
    <n v="2429.63"/>
    <n v="4859.26"/>
    <x v="1"/>
    <n v="4859.26"/>
    <x v="4"/>
    <x v="1"/>
    <x v="1"/>
    <n v="-7.17"/>
  </r>
  <r>
    <n v="2939"/>
    <x v="1915"/>
    <x v="2"/>
    <x v="10"/>
    <n v="2"/>
    <m/>
    <n v="0"/>
    <x v="1"/>
    <n v="0"/>
    <x v="94"/>
    <x v="3"/>
    <x v="0"/>
    <n v="2143.94"/>
  </r>
  <r>
    <n v="2940"/>
    <x v="1916"/>
    <x v="2"/>
    <x v="13"/>
    <n v="2"/>
    <m/>
    <n v="0"/>
    <x v="1"/>
    <n v="0"/>
    <x v="338"/>
    <x v="4"/>
    <x v="0"/>
    <n v="1992.92"/>
  </r>
  <r>
    <n v="2941"/>
    <x v="1917"/>
    <x v="1"/>
    <x v="1"/>
    <n v="2"/>
    <n v="2144.36"/>
    <n v="4288.72"/>
    <x v="1"/>
    <n v="4288.72"/>
    <x v="448"/>
    <x v="5"/>
    <x v="0"/>
    <n v="1435.03"/>
  </r>
  <r>
    <n v="2942"/>
    <x v="1918"/>
    <x v="3"/>
    <x v="7"/>
    <n v="2"/>
    <m/>
    <n v="0"/>
    <x v="10"/>
    <n v="0"/>
    <x v="4"/>
    <x v="5"/>
    <x v="0"/>
    <n v="2500.35"/>
  </r>
  <r>
    <n v="2943"/>
    <x v="1919"/>
    <x v="0"/>
    <x v="5"/>
    <n v="2"/>
    <n v="4638.0200000000004"/>
    <n v="9276.0400000000009"/>
    <x v="1"/>
    <n v="9276.0400000000009"/>
    <x v="28"/>
    <x v="5"/>
    <x v="0"/>
    <n v="745.3"/>
  </r>
  <r>
    <n v="2944"/>
    <x v="1920"/>
    <x v="5"/>
    <x v="6"/>
    <n v="1"/>
    <n v="1313.35"/>
    <n v="1313.35"/>
    <x v="31"/>
    <n v="1050.68"/>
    <x v="357"/>
    <x v="4"/>
    <x v="0"/>
    <n v="-384.05"/>
  </r>
  <r>
    <n v="2945"/>
    <x v="1888"/>
    <x v="2"/>
    <x v="17"/>
    <n v="1"/>
    <m/>
    <n v="0"/>
    <x v="1"/>
    <n v="0"/>
    <x v="159"/>
    <x v="2"/>
    <x v="0"/>
    <n v="-130.97"/>
  </r>
  <r>
    <n v="2946"/>
    <x v="1921"/>
    <x v="5"/>
    <x v="12"/>
    <n v="-1"/>
    <m/>
    <n v="0"/>
    <x v="61"/>
    <n v="0"/>
    <x v="233"/>
    <x v="2"/>
    <x v="1"/>
    <n v="2187.48"/>
  </r>
  <r>
    <n v="2947"/>
    <x v="1922"/>
    <x v="2"/>
    <x v="17"/>
    <n v="2"/>
    <m/>
    <n v="0"/>
    <x v="101"/>
    <n v="0"/>
    <x v="460"/>
    <x v="2"/>
    <x v="0"/>
    <n v="1577.91"/>
  </r>
  <r>
    <n v="2948"/>
    <x v="1923"/>
    <x v="0"/>
    <x v="0"/>
    <n v="5"/>
    <n v="2494.15"/>
    <n v="12470.75"/>
    <x v="1"/>
    <n v="12470.75"/>
    <x v="323"/>
    <x v="0"/>
    <x v="1"/>
    <n v="-901.7"/>
  </r>
  <r>
    <n v="2949"/>
    <x v="1924"/>
    <x v="0"/>
    <x v="5"/>
    <n v="2"/>
    <m/>
    <n v="0"/>
    <x v="105"/>
    <n v="0"/>
    <x v="4"/>
    <x v="5"/>
    <x v="0"/>
    <n v="1569.63"/>
  </r>
  <r>
    <n v="2950"/>
    <x v="1925"/>
    <x v="3"/>
    <x v="3"/>
    <n v="2"/>
    <m/>
    <n v="0"/>
    <x v="2"/>
    <n v="0"/>
    <x v="214"/>
    <x v="3"/>
    <x v="0"/>
    <n v="1158.28"/>
  </r>
  <r>
    <n v="2951"/>
    <x v="1926"/>
    <x v="5"/>
    <x v="12"/>
    <n v="5"/>
    <m/>
    <n v="0"/>
    <x v="1"/>
    <n v="0"/>
    <x v="4"/>
    <x v="0"/>
    <x v="0"/>
    <n v="2454.0700000000002"/>
  </r>
  <r>
    <n v="2952"/>
    <x v="1927"/>
    <x v="2"/>
    <x v="17"/>
    <n v="-2"/>
    <n v="470.68"/>
    <n v="-941.36"/>
    <x v="82"/>
    <n v="-884.87839999999994"/>
    <x v="469"/>
    <x v="1"/>
    <x v="1"/>
    <n v="2812.7"/>
  </r>
  <r>
    <n v="2953"/>
    <x v="1928"/>
    <x v="2"/>
    <x v="17"/>
    <n v="3"/>
    <n v="3500.98"/>
    <n v="10502.94"/>
    <x v="1"/>
    <n v="10502.94"/>
    <x v="4"/>
    <x v="2"/>
    <x v="0"/>
    <n v="-865.81"/>
  </r>
  <r>
    <n v="2954"/>
    <x v="1929"/>
    <x v="5"/>
    <x v="11"/>
    <n v="2"/>
    <m/>
    <n v="0"/>
    <x v="1"/>
    <n v="0"/>
    <x v="43"/>
    <x v="4"/>
    <x v="1"/>
    <n v="1632.71"/>
  </r>
  <r>
    <n v="2955"/>
    <x v="1930"/>
    <x v="5"/>
    <x v="12"/>
    <n v="6"/>
    <m/>
    <n v="0"/>
    <x v="25"/>
    <n v="0"/>
    <x v="110"/>
    <x v="1"/>
    <x v="1"/>
    <n v="-646.89"/>
  </r>
  <r>
    <n v="2956"/>
    <x v="1931"/>
    <x v="1"/>
    <x v="1"/>
    <n v="2"/>
    <n v="2710.15"/>
    <n v="5420.3"/>
    <x v="1"/>
    <n v="5420.3"/>
    <x v="18"/>
    <x v="0"/>
    <x v="0"/>
    <n v="2.2200000000000002"/>
  </r>
  <r>
    <n v="2957"/>
    <x v="1932"/>
    <x v="3"/>
    <x v="3"/>
    <n v="2"/>
    <m/>
    <n v="0"/>
    <x v="51"/>
    <n v="0"/>
    <x v="455"/>
    <x v="1"/>
    <x v="0"/>
    <n v="301.72000000000003"/>
  </r>
  <r>
    <n v="2958"/>
    <x v="1933"/>
    <x v="4"/>
    <x v="14"/>
    <n v="-2"/>
    <m/>
    <n v="0"/>
    <x v="1"/>
    <n v="0"/>
    <x v="81"/>
    <x v="5"/>
    <x v="0"/>
    <n v="-645.12"/>
  </r>
  <r>
    <n v="2959"/>
    <x v="1934"/>
    <x v="2"/>
    <x v="2"/>
    <n v="2"/>
    <n v="4113.9799999999996"/>
    <n v="8227.9599999999991"/>
    <x v="1"/>
    <n v="8227.9599999999991"/>
    <x v="68"/>
    <x v="2"/>
    <x v="0"/>
    <n v="477.7"/>
  </r>
  <r>
    <n v="2960"/>
    <x v="1935"/>
    <x v="3"/>
    <x v="3"/>
    <n v="2"/>
    <n v="1536.53"/>
    <n v="3073.06"/>
    <x v="78"/>
    <n v="122.92240000000011"/>
    <x v="8"/>
    <x v="3"/>
    <x v="1"/>
    <n v="1052.28"/>
  </r>
  <r>
    <n v="1021"/>
    <x v="1936"/>
    <x v="4"/>
    <x v="14"/>
    <n v="2"/>
    <m/>
    <n v="0"/>
    <x v="15"/>
    <n v="0"/>
    <x v="92"/>
    <x v="5"/>
    <x v="0"/>
    <n v="796.33"/>
  </r>
  <r>
    <n v="2962"/>
    <x v="1937"/>
    <x v="3"/>
    <x v="3"/>
    <n v="2"/>
    <m/>
    <n v="0"/>
    <x v="57"/>
    <n v="0"/>
    <x v="226"/>
    <x v="0"/>
    <x v="0"/>
    <n v="-617.13"/>
  </r>
  <r>
    <n v="2963"/>
    <x v="1938"/>
    <x v="0"/>
    <x v="0"/>
    <n v="2"/>
    <n v="570.21"/>
    <n v="1140.42"/>
    <x v="1"/>
    <n v="1140.42"/>
    <x v="307"/>
    <x v="0"/>
    <x v="1"/>
    <n v="380.3"/>
  </r>
  <r>
    <n v="2964"/>
    <x v="1939"/>
    <x v="2"/>
    <x v="17"/>
    <n v="-1"/>
    <m/>
    <n v="0"/>
    <x v="78"/>
    <n v="0"/>
    <x v="338"/>
    <x v="4"/>
    <x v="0"/>
    <n v="-937.17"/>
  </r>
  <r>
    <n v="1038"/>
    <x v="1940"/>
    <x v="2"/>
    <x v="17"/>
    <n v="2"/>
    <m/>
    <n v="0"/>
    <x v="1"/>
    <n v="0"/>
    <x v="453"/>
    <x v="5"/>
    <x v="0"/>
    <n v="2689.89"/>
  </r>
  <r>
    <n v="2966"/>
    <x v="1941"/>
    <x v="4"/>
    <x v="4"/>
    <n v="2"/>
    <n v="1650.01"/>
    <n v="3300.02"/>
    <x v="1"/>
    <n v="3300.02"/>
    <x v="521"/>
    <x v="4"/>
    <x v="1"/>
    <n v="2561.34"/>
  </r>
  <r>
    <n v="2967"/>
    <x v="1942"/>
    <x v="5"/>
    <x v="6"/>
    <n v="2"/>
    <m/>
    <n v="0"/>
    <x v="1"/>
    <n v="0"/>
    <x v="201"/>
    <x v="4"/>
    <x v="1"/>
    <n v="-346.59"/>
  </r>
  <r>
    <n v="2968"/>
    <x v="1943"/>
    <x v="1"/>
    <x v="1"/>
    <n v="2"/>
    <m/>
    <n v="0"/>
    <x v="1"/>
    <n v="0"/>
    <x v="522"/>
    <x v="2"/>
    <x v="1"/>
    <n v="768.33"/>
  </r>
  <r>
    <n v="2969"/>
    <x v="1944"/>
    <x v="1"/>
    <x v="22"/>
    <n v="2"/>
    <n v="4858.47"/>
    <n v="9716.94"/>
    <x v="51"/>
    <n v="3109.4207999999999"/>
    <x v="3"/>
    <x v="3"/>
    <x v="1"/>
    <n v="1115.8900000000001"/>
  </r>
  <r>
    <n v="2970"/>
    <x v="1945"/>
    <x v="4"/>
    <x v="8"/>
    <n v="1"/>
    <m/>
    <n v="0"/>
    <x v="1"/>
    <n v="0"/>
    <x v="27"/>
    <x v="5"/>
    <x v="0"/>
    <n v="1214.1500000000001"/>
  </r>
  <r>
    <n v="2971"/>
    <x v="1946"/>
    <x v="5"/>
    <x v="19"/>
    <n v="6"/>
    <n v="1507.6"/>
    <n v="9045.5999999999985"/>
    <x v="1"/>
    <n v="9045.5999999999985"/>
    <x v="460"/>
    <x v="0"/>
    <x v="0"/>
    <n v="2280.06"/>
  </r>
  <r>
    <n v="2972"/>
    <x v="1947"/>
    <x v="5"/>
    <x v="19"/>
    <n v="5"/>
    <m/>
    <n v="0"/>
    <x v="1"/>
    <n v="0"/>
    <x v="4"/>
    <x v="5"/>
    <x v="0"/>
    <n v="2532.7600000000002"/>
  </r>
  <r>
    <n v="2973"/>
    <x v="1948"/>
    <x v="3"/>
    <x v="3"/>
    <n v="2"/>
    <m/>
    <n v="0"/>
    <x v="1"/>
    <n v="0"/>
    <x v="99"/>
    <x v="4"/>
    <x v="0"/>
    <n v="1576.16"/>
  </r>
  <r>
    <n v="2974"/>
    <x v="1949"/>
    <x v="3"/>
    <x v="21"/>
    <n v="6"/>
    <n v="1765.76"/>
    <n v="10594.56"/>
    <x v="125"/>
    <n v="6780.5183999999999"/>
    <x v="418"/>
    <x v="1"/>
    <x v="1"/>
    <n v="2947"/>
  </r>
  <r>
    <n v="2975"/>
    <x v="1950"/>
    <x v="3"/>
    <x v="23"/>
    <n v="2"/>
    <n v="3835.25"/>
    <n v="7670.5"/>
    <x v="1"/>
    <n v="7670.5"/>
    <x v="39"/>
    <x v="1"/>
    <x v="1"/>
    <n v="2378.4"/>
  </r>
  <r>
    <n v="2976"/>
    <x v="1951"/>
    <x v="4"/>
    <x v="14"/>
    <n v="2"/>
    <n v="1572.95"/>
    <n v="3145.9"/>
    <x v="1"/>
    <n v="3145.9"/>
    <x v="291"/>
    <x v="4"/>
    <x v="1"/>
    <n v="2532.02"/>
  </r>
  <r>
    <n v="2977"/>
    <x v="1952"/>
    <x v="5"/>
    <x v="6"/>
    <n v="-2"/>
    <n v="3205.93"/>
    <n v="-6411.86"/>
    <x v="1"/>
    <n v="-6411.86"/>
    <x v="4"/>
    <x v="2"/>
    <x v="0"/>
    <n v="1421.4"/>
  </r>
  <r>
    <n v="2978"/>
    <x v="1953"/>
    <x v="5"/>
    <x v="19"/>
    <n v="3"/>
    <m/>
    <n v="0"/>
    <x v="73"/>
    <n v="0"/>
    <x v="97"/>
    <x v="4"/>
    <x v="0"/>
    <n v="771.47"/>
  </r>
  <r>
    <n v="2979"/>
    <x v="1954"/>
    <x v="4"/>
    <x v="14"/>
    <n v="2"/>
    <m/>
    <n v="0"/>
    <x v="37"/>
    <n v="0"/>
    <x v="4"/>
    <x v="2"/>
    <x v="0"/>
    <n v="862.17"/>
  </r>
  <r>
    <n v="2980"/>
    <x v="1955"/>
    <x v="4"/>
    <x v="14"/>
    <n v="2"/>
    <m/>
    <n v="0"/>
    <x v="125"/>
    <n v="0"/>
    <x v="147"/>
    <x v="0"/>
    <x v="0"/>
    <n v="147.66999999999999"/>
  </r>
  <r>
    <n v="1040"/>
    <x v="1956"/>
    <x v="4"/>
    <x v="4"/>
    <n v="2"/>
    <m/>
    <n v="0"/>
    <x v="1"/>
    <n v="0"/>
    <x v="80"/>
    <x v="0"/>
    <x v="1"/>
    <n v="2959.73"/>
  </r>
  <r>
    <n v="2982"/>
    <x v="1957"/>
    <x v="4"/>
    <x v="8"/>
    <n v="-1"/>
    <n v="2497.52"/>
    <n v="-2497.52"/>
    <x v="1"/>
    <n v="-2497.52"/>
    <x v="233"/>
    <x v="1"/>
    <x v="0"/>
    <n v="-523.42999999999995"/>
  </r>
  <r>
    <n v="2983"/>
    <x v="1958"/>
    <x v="2"/>
    <x v="10"/>
    <n v="2"/>
    <m/>
    <n v="0"/>
    <x v="1"/>
    <n v="0"/>
    <x v="4"/>
    <x v="5"/>
    <x v="0"/>
    <n v="1347.94"/>
  </r>
  <r>
    <n v="2984"/>
    <x v="1959"/>
    <x v="2"/>
    <x v="2"/>
    <n v="4"/>
    <n v="2062.9"/>
    <n v="8251.6"/>
    <x v="1"/>
    <n v="8251.6"/>
    <x v="178"/>
    <x v="2"/>
    <x v="0"/>
    <n v="2471.06"/>
  </r>
  <r>
    <n v="2985"/>
    <x v="1960"/>
    <x v="0"/>
    <x v="9"/>
    <n v="2"/>
    <m/>
    <n v="0"/>
    <x v="23"/>
    <n v="0"/>
    <x v="48"/>
    <x v="4"/>
    <x v="0"/>
    <n v="774.28"/>
  </r>
  <r>
    <n v="2986"/>
    <x v="1961"/>
    <x v="5"/>
    <x v="12"/>
    <n v="-2"/>
    <m/>
    <n v="0"/>
    <x v="1"/>
    <n v="0"/>
    <x v="85"/>
    <x v="2"/>
    <x v="1"/>
    <n v="-283.42"/>
  </r>
  <r>
    <n v="2987"/>
    <x v="1962"/>
    <x v="3"/>
    <x v="3"/>
    <n v="6"/>
    <n v="2584.4299999999998"/>
    <n v="15506.579999999998"/>
    <x v="1"/>
    <n v="15506.579999999998"/>
    <x v="4"/>
    <x v="0"/>
    <x v="0"/>
    <n v="992.21"/>
  </r>
  <r>
    <n v="2988"/>
    <x v="1963"/>
    <x v="4"/>
    <x v="16"/>
    <n v="2"/>
    <m/>
    <n v="0"/>
    <x v="1"/>
    <n v="0"/>
    <x v="4"/>
    <x v="5"/>
    <x v="0"/>
    <n v="2784.91"/>
  </r>
  <r>
    <n v="2989"/>
    <x v="1964"/>
    <x v="2"/>
    <x v="17"/>
    <n v="-1"/>
    <n v="4084.97"/>
    <n v="-4084.97"/>
    <x v="116"/>
    <n v="-694.44490000000008"/>
    <x v="464"/>
    <x v="2"/>
    <x v="1"/>
    <n v="2395.4299999999998"/>
  </r>
  <r>
    <n v="2990"/>
    <x v="1965"/>
    <x v="0"/>
    <x v="0"/>
    <n v="0"/>
    <n v="3205.73"/>
    <n v="0"/>
    <x v="1"/>
    <n v="0"/>
    <x v="10"/>
    <x v="2"/>
    <x v="0"/>
    <n v="1600.5"/>
  </r>
  <r>
    <n v="2991"/>
    <x v="1966"/>
    <x v="5"/>
    <x v="19"/>
    <n v="2"/>
    <n v="2053.65"/>
    <n v="4107.3"/>
    <x v="1"/>
    <n v="4107.3"/>
    <x v="96"/>
    <x v="4"/>
    <x v="0"/>
    <n v="-86.89"/>
  </r>
  <r>
    <n v="2992"/>
    <x v="1967"/>
    <x v="0"/>
    <x v="9"/>
    <n v="2"/>
    <n v="4747.16"/>
    <n v="9494.32"/>
    <x v="55"/>
    <n v="949.43199999999979"/>
    <x v="523"/>
    <x v="3"/>
    <x v="1"/>
    <n v="2189.0500000000002"/>
  </r>
  <r>
    <n v="2993"/>
    <x v="1968"/>
    <x v="3"/>
    <x v="23"/>
    <n v="2"/>
    <m/>
    <n v="0"/>
    <x v="1"/>
    <n v="0"/>
    <x v="524"/>
    <x v="2"/>
    <x v="0"/>
    <n v="-568.91"/>
  </r>
  <r>
    <n v="2994"/>
    <x v="1969"/>
    <x v="4"/>
    <x v="8"/>
    <n v="5"/>
    <n v="919.26"/>
    <n v="4596.3"/>
    <x v="1"/>
    <n v="4596.3"/>
    <x v="4"/>
    <x v="4"/>
    <x v="0"/>
    <n v="2805.22"/>
  </r>
  <r>
    <n v="2995"/>
    <x v="1970"/>
    <x v="2"/>
    <x v="10"/>
    <n v="2"/>
    <n v="2617.66"/>
    <n v="5235.32"/>
    <x v="97"/>
    <n v="2355.8939999999998"/>
    <x v="175"/>
    <x v="2"/>
    <x v="0"/>
    <n v="1406.13"/>
  </r>
  <r>
    <n v="2996"/>
    <x v="1971"/>
    <x v="5"/>
    <x v="12"/>
    <n v="2"/>
    <n v="3750.45"/>
    <n v="7500.9"/>
    <x v="130"/>
    <n v="-300.03600000000023"/>
    <x v="455"/>
    <x v="1"/>
    <x v="0"/>
    <n v="1108.3800000000001"/>
  </r>
  <r>
    <n v="1027"/>
    <x v="684"/>
    <x v="1"/>
    <x v="15"/>
    <n v="2"/>
    <m/>
    <n v="0"/>
    <x v="1"/>
    <n v="0"/>
    <x v="4"/>
    <x v="4"/>
    <x v="0"/>
    <n v="1921.25"/>
  </r>
  <r>
    <n v="2998"/>
    <x v="1972"/>
    <x v="1"/>
    <x v="1"/>
    <n v="0"/>
    <n v="3453.58"/>
    <n v="0"/>
    <x v="1"/>
    <n v="0"/>
    <x v="525"/>
    <x v="2"/>
    <x v="1"/>
    <n v="2018.4"/>
  </r>
  <r>
    <n v="2999"/>
    <x v="1973"/>
    <x v="2"/>
    <x v="2"/>
    <n v="2"/>
    <m/>
    <n v="0"/>
    <x v="1"/>
    <n v="0"/>
    <x v="4"/>
    <x v="4"/>
    <x v="1"/>
    <n v="-828.2"/>
  </r>
  <r>
    <n v="1034"/>
    <x v="1974"/>
    <x v="5"/>
    <x v="6"/>
    <n v="2"/>
    <m/>
    <n v="0"/>
    <x v="1"/>
    <n v="0"/>
    <x v="478"/>
    <x v="4"/>
    <x v="0"/>
    <n v="-41.81"/>
  </r>
  <r>
    <n v="3001"/>
    <x v="1975"/>
    <x v="1"/>
    <x v="18"/>
    <n v="-1"/>
    <n v="1171.57"/>
    <n v="-1171.57"/>
    <x v="1"/>
    <n v="-1171.57"/>
    <x v="45"/>
    <x v="5"/>
    <x v="0"/>
    <n v="2541.21"/>
  </r>
  <r>
    <n v="1046"/>
    <x v="1976"/>
    <x v="4"/>
    <x v="8"/>
    <n v="2"/>
    <m/>
    <n v="0"/>
    <x v="1"/>
    <n v="0"/>
    <x v="526"/>
    <x v="0"/>
    <x v="1"/>
    <n v="900.65"/>
  </r>
  <r>
    <n v="3003"/>
    <x v="1977"/>
    <x v="0"/>
    <x v="9"/>
    <n v="-1"/>
    <m/>
    <n v="0"/>
    <x v="1"/>
    <n v="0"/>
    <x v="34"/>
    <x v="0"/>
    <x v="1"/>
    <n v="605.98"/>
  </r>
  <r>
    <n v="3004"/>
    <x v="1978"/>
    <x v="4"/>
    <x v="4"/>
    <n v="3"/>
    <n v="1759.66"/>
    <n v="5278.9800000000005"/>
    <x v="1"/>
    <n v="5278.9800000000005"/>
    <x v="113"/>
    <x v="2"/>
    <x v="0"/>
    <n v="1133.07"/>
  </r>
  <r>
    <n v="3005"/>
    <x v="1979"/>
    <x v="1"/>
    <x v="15"/>
    <n v="2"/>
    <m/>
    <n v="0"/>
    <x v="1"/>
    <n v="0"/>
    <x v="263"/>
    <x v="4"/>
    <x v="0"/>
    <n v="2378.14"/>
  </r>
  <r>
    <n v="3006"/>
    <x v="1980"/>
    <x v="2"/>
    <x v="2"/>
    <n v="2"/>
    <m/>
    <n v="0"/>
    <x v="45"/>
    <n v="0"/>
    <x v="4"/>
    <x v="5"/>
    <x v="1"/>
    <n v="1441.9"/>
  </r>
  <r>
    <n v="3007"/>
    <x v="1981"/>
    <x v="2"/>
    <x v="2"/>
    <n v="-2"/>
    <n v="3922.01"/>
    <n v="-7844.02"/>
    <x v="1"/>
    <n v="-7844.02"/>
    <x v="236"/>
    <x v="3"/>
    <x v="1"/>
    <n v="2186.58"/>
  </r>
  <r>
    <n v="3008"/>
    <x v="1982"/>
    <x v="3"/>
    <x v="7"/>
    <n v="2"/>
    <n v="2880.85"/>
    <n v="5761.7"/>
    <x v="1"/>
    <n v="5761.7"/>
    <x v="418"/>
    <x v="0"/>
    <x v="0"/>
    <n v="2519.23"/>
  </r>
  <r>
    <n v="3009"/>
    <x v="1983"/>
    <x v="0"/>
    <x v="0"/>
    <n v="2"/>
    <m/>
    <n v="0"/>
    <x v="1"/>
    <n v="0"/>
    <x v="480"/>
    <x v="3"/>
    <x v="0"/>
    <n v="25.22"/>
  </r>
  <r>
    <n v="3010"/>
    <x v="1984"/>
    <x v="1"/>
    <x v="1"/>
    <n v="-2"/>
    <m/>
    <n v="0"/>
    <x v="51"/>
    <n v="0"/>
    <x v="286"/>
    <x v="4"/>
    <x v="0"/>
    <n v="671.7"/>
  </r>
  <r>
    <n v="3011"/>
    <x v="1985"/>
    <x v="3"/>
    <x v="3"/>
    <n v="2"/>
    <n v="4016.78"/>
    <n v="8033.56"/>
    <x v="75"/>
    <n v="-241.00680000000023"/>
    <x v="304"/>
    <x v="0"/>
    <x v="1"/>
    <n v="729.73"/>
  </r>
  <r>
    <n v="3012"/>
    <x v="1986"/>
    <x v="3"/>
    <x v="23"/>
    <n v="2"/>
    <n v="673.96"/>
    <n v="1347.92"/>
    <x v="1"/>
    <n v="1347.92"/>
    <x v="4"/>
    <x v="3"/>
    <x v="1"/>
    <n v="799.35"/>
  </r>
  <r>
    <n v="3013"/>
    <x v="1987"/>
    <x v="4"/>
    <x v="16"/>
    <n v="2"/>
    <m/>
    <n v="0"/>
    <x v="129"/>
    <n v="0"/>
    <x v="402"/>
    <x v="3"/>
    <x v="0"/>
    <n v="-572.35"/>
  </r>
  <r>
    <n v="3014"/>
    <x v="1988"/>
    <x v="4"/>
    <x v="16"/>
    <n v="2"/>
    <m/>
    <n v="0"/>
    <x v="1"/>
    <n v="0"/>
    <x v="321"/>
    <x v="0"/>
    <x v="1"/>
    <n v="1056.99"/>
  </r>
  <r>
    <n v="3015"/>
    <x v="1989"/>
    <x v="0"/>
    <x v="20"/>
    <n v="2"/>
    <n v="3211"/>
    <n v="6422"/>
    <x v="10"/>
    <n v="2825.68"/>
    <x v="45"/>
    <x v="0"/>
    <x v="0"/>
    <n v="-659.55"/>
  </r>
  <r>
    <n v="3016"/>
    <x v="1990"/>
    <x v="3"/>
    <x v="3"/>
    <n v="5"/>
    <m/>
    <n v="0"/>
    <x v="1"/>
    <n v="0"/>
    <x v="73"/>
    <x v="4"/>
    <x v="0"/>
    <n v="426.15"/>
  </r>
  <r>
    <n v="3017"/>
    <x v="1991"/>
    <x v="2"/>
    <x v="17"/>
    <n v="2"/>
    <m/>
    <n v="0"/>
    <x v="1"/>
    <n v="0"/>
    <x v="99"/>
    <x v="1"/>
    <x v="0"/>
    <n v="1237.1300000000001"/>
  </r>
  <r>
    <n v="3018"/>
    <x v="1992"/>
    <x v="0"/>
    <x v="0"/>
    <n v="0"/>
    <n v="4744.8599999999997"/>
    <n v="0"/>
    <x v="1"/>
    <n v="0"/>
    <x v="372"/>
    <x v="4"/>
    <x v="0"/>
    <n v="2963.16"/>
  </r>
  <r>
    <n v="3019"/>
    <x v="1993"/>
    <x v="0"/>
    <x v="0"/>
    <n v="0"/>
    <n v="2705.09"/>
    <n v="0"/>
    <x v="1"/>
    <n v="0"/>
    <x v="95"/>
    <x v="4"/>
    <x v="0"/>
    <n v="-546.72"/>
  </r>
  <r>
    <n v="3020"/>
    <x v="1994"/>
    <x v="2"/>
    <x v="17"/>
    <n v="2"/>
    <m/>
    <n v="0"/>
    <x v="1"/>
    <n v="0"/>
    <x v="169"/>
    <x v="3"/>
    <x v="1"/>
    <n v="134.93"/>
  </r>
  <r>
    <n v="3021"/>
    <x v="1995"/>
    <x v="1"/>
    <x v="15"/>
    <n v="3"/>
    <m/>
    <n v="0"/>
    <x v="1"/>
    <n v="0"/>
    <x v="152"/>
    <x v="2"/>
    <x v="1"/>
    <n v="-571.78"/>
  </r>
  <r>
    <n v="3022"/>
    <x v="1996"/>
    <x v="3"/>
    <x v="3"/>
    <n v="3"/>
    <n v="1695.61"/>
    <n v="5086.83"/>
    <x v="1"/>
    <n v="5086.83"/>
    <x v="119"/>
    <x v="0"/>
    <x v="0"/>
    <n v="297.83"/>
  </r>
  <r>
    <n v="3023"/>
    <x v="1997"/>
    <x v="4"/>
    <x v="8"/>
    <n v="2"/>
    <m/>
    <n v="0"/>
    <x v="1"/>
    <n v="0"/>
    <x v="527"/>
    <x v="0"/>
    <x v="0"/>
    <n v="2001.88"/>
  </r>
  <r>
    <n v="3024"/>
    <x v="1998"/>
    <x v="4"/>
    <x v="14"/>
    <n v="2"/>
    <m/>
    <n v="0"/>
    <x v="21"/>
    <n v="0"/>
    <x v="4"/>
    <x v="2"/>
    <x v="0"/>
    <n v="1505.68"/>
  </r>
  <r>
    <n v="3025"/>
    <x v="1999"/>
    <x v="3"/>
    <x v="3"/>
    <n v="2"/>
    <m/>
    <n v="0"/>
    <x v="1"/>
    <n v="0"/>
    <x v="184"/>
    <x v="3"/>
    <x v="0"/>
    <n v="2275.0700000000002"/>
  </r>
  <r>
    <n v="3026"/>
    <x v="2000"/>
    <x v="0"/>
    <x v="9"/>
    <n v="2"/>
    <n v="3345.45"/>
    <n v="6690.9"/>
    <x v="1"/>
    <n v="6690.9"/>
    <x v="119"/>
    <x v="4"/>
    <x v="0"/>
    <n v="2896.95"/>
  </r>
  <r>
    <n v="3027"/>
    <x v="2001"/>
    <x v="3"/>
    <x v="21"/>
    <n v="2"/>
    <m/>
    <n v="0"/>
    <x v="1"/>
    <n v="0"/>
    <x v="135"/>
    <x v="2"/>
    <x v="1"/>
    <n v="1256.47"/>
  </r>
  <r>
    <n v="3028"/>
    <x v="2002"/>
    <x v="2"/>
    <x v="13"/>
    <n v="2"/>
    <m/>
    <n v="0"/>
    <x v="123"/>
    <n v="0"/>
    <x v="52"/>
    <x v="3"/>
    <x v="0"/>
    <n v="-436.73"/>
  </r>
  <r>
    <n v="1031"/>
    <x v="2003"/>
    <x v="0"/>
    <x v="0"/>
    <n v="2"/>
    <n v="2267.3000000000002"/>
    <n v="4534.6000000000004"/>
    <x v="53"/>
    <n v="408.11399999999992"/>
    <x v="57"/>
    <x v="3"/>
    <x v="0"/>
    <n v="1673.55"/>
  </r>
  <r>
    <n v="3030"/>
    <x v="225"/>
    <x v="3"/>
    <x v="21"/>
    <n v="2"/>
    <n v="4101.8900000000003"/>
    <n v="8203.7800000000007"/>
    <x v="1"/>
    <n v="8203.7800000000007"/>
    <x v="528"/>
    <x v="0"/>
    <x v="0"/>
    <n v="1196.03"/>
  </r>
  <r>
    <n v="3031"/>
    <x v="2004"/>
    <x v="1"/>
    <x v="22"/>
    <n v="-1"/>
    <m/>
    <n v="0"/>
    <x v="1"/>
    <n v="0"/>
    <x v="416"/>
    <x v="4"/>
    <x v="0"/>
    <n v="-970.17"/>
  </r>
  <r>
    <n v="3032"/>
    <x v="2005"/>
    <x v="2"/>
    <x v="13"/>
    <n v="5"/>
    <n v="3654.9"/>
    <n v="18274.5"/>
    <x v="1"/>
    <n v="18274.5"/>
    <x v="4"/>
    <x v="1"/>
    <x v="0"/>
    <n v="1069.81"/>
  </r>
  <r>
    <n v="3033"/>
    <x v="2006"/>
    <x v="4"/>
    <x v="14"/>
    <n v="2"/>
    <n v="1787.52"/>
    <n v="3575.04"/>
    <x v="1"/>
    <n v="3575.04"/>
    <x v="154"/>
    <x v="4"/>
    <x v="1"/>
    <n v="2626.27"/>
  </r>
  <r>
    <n v="3034"/>
    <x v="2007"/>
    <x v="4"/>
    <x v="8"/>
    <n v="2"/>
    <m/>
    <n v="0"/>
    <x v="1"/>
    <n v="0"/>
    <x v="4"/>
    <x v="1"/>
    <x v="1"/>
    <n v="2599.13"/>
  </r>
  <r>
    <n v="3035"/>
    <x v="2008"/>
    <x v="5"/>
    <x v="6"/>
    <n v="4"/>
    <m/>
    <n v="0"/>
    <x v="111"/>
    <n v="0"/>
    <x v="4"/>
    <x v="3"/>
    <x v="1"/>
    <n v="2640.01"/>
  </r>
  <r>
    <n v="3036"/>
    <x v="2009"/>
    <x v="5"/>
    <x v="19"/>
    <n v="2"/>
    <n v="3997.83"/>
    <n v="7995.66"/>
    <x v="1"/>
    <n v="7995.66"/>
    <x v="511"/>
    <x v="0"/>
    <x v="1"/>
    <n v="1399.12"/>
  </r>
  <r>
    <n v="3037"/>
    <x v="2010"/>
    <x v="1"/>
    <x v="1"/>
    <n v="2"/>
    <m/>
    <n v="0"/>
    <x v="110"/>
    <n v="0"/>
    <x v="43"/>
    <x v="0"/>
    <x v="0"/>
    <n v="-298.81"/>
  </r>
  <r>
    <n v="3038"/>
    <x v="2011"/>
    <x v="1"/>
    <x v="15"/>
    <n v="2"/>
    <n v="1318.04"/>
    <n v="2636.08"/>
    <x v="1"/>
    <n v="2636.08"/>
    <x v="366"/>
    <x v="1"/>
    <x v="0"/>
    <n v="-19.53"/>
  </r>
  <r>
    <n v="3039"/>
    <x v="2012"/>
    <x v="0"/>
    <x v="0"/>
    <n v="2"/>
    <m/>
    <n v="0"/>
    <x v="1"/>
    <n v="0"/>
    <x v="4"/>
    <x v="5"/>
    <x v="0"/>
    <n v="748.79"/>
  </r>
  <r>
    <n v="3040"/>
    <x v="2013"/>
    <x v="2"/>
    <x v="13"/>
    <n v="-2"/>
    <m/>
    <n v="0"/>
    <x v="1"/>
    <n v="0"/>
    <x v="14"/>
    <x v="4"/>
    <x v="1"/>
    <n v="2991.73"/>
  </r>
  <r>
    <n v="3041"/>
    <x v="2014"/>
    <x v="1"/>
    <x v="15"/>
    <n v="2"/>
    <m/>
    <n v="0"/>
    <x v="1"/>
    <n v="0"/>
    <x v="396"/>
    <x v="4"/>
    <x v="0"/>
    <n v="2179.9299999999998"/>
  </r>
  <r>
    <n v="3042"/>
    <x v="2015"/>
    <x v="1"/>
    <x v="22"/>
    <n v="3"/>
    <n v="848.45"/>
    <n v="2545.3500000000004"/>
    <x v="1"/>
    <n v="2545.3500000000004"/>
    <x v="4"/>
    <x v="3"/>
    <x v="0"/>
    <n v="1334.54"/>
  </r>
  <r>
    <n v="3043"/>
    <x v="2016"/>
    <x v="3"/>
    <x v="23"/>
    <n v="2"/>
    <n v="1137.77"/>
    <n v="2275.54"/>
    <x v="1"/>
    <n v="2275.54"/>
    <x v="529"/>
    <x v="0"/>
    <x v="0"/>
    <n v="-471.37"/>
  </r>
  <r>
    <n v="3044"/>
    <x v="2017"/>
    <x v="4"/>
    <x v="8"/>
    <n v="2"/>
    <n v="431.31"/>
    <n v="862.62"/>
    <x v="120"/>
    <n v="-215.655"/>
    <x v="367"/>
    <x v="2"/>
    <x v="0"/>
    <n v="2866.66"/>
  </r>
  <r>
    <n v="3045"/>
    <x v="2018"/>
    <x v="5"/>
    <x v="6"/>
    <n v="2"/>
    <n v="3180.69"/>
    <n v="6361.38"/>
    <x v="1"/>
    <n v="6361.38"/>
    <x v="271"/>
    <x v="4"/>
    <x v="1"/>
    <n v="2237.56"/>
  </r>
  <r>
    <n v="3046"/>
    <x v="2019"/>
    <x v="0"/>
    <x v="9"/>
    <n v="2"/>
    <m/>
    <n v="0"/>
    <x v="1"/>
    <n v="0"/>
    <x v="4"/>
    <x v="4"/>
    <x v="1"/>
    <n v="372.98"/>
  </r>
  <r>
    <n v="1037"/>
    <x v="2020"/>
    <x v="4"/>
    <x v="8"/>
    <n v="2"/>
    <m/>
    <n v="0"/>
    <x v="1"/>
    <n v="0"/>
    <x v="4"/>
    <x v="2"/>
    <x v="0"/>
    <n v="1396.38"/>
  </r>
  <r>
    <n v="3048"/>
    <x v="2021"/>
    <x v="1"/>
    <x v="1"/>
    <n v="2"/>
    <n v="1136.4100000000001"/>
    <n v="2272.8200000000002"/>
    <x v="1"/>
    <n v="2272.8200000000002"/>
    <x v="460"/>
    <x v="1"/>
    <x v="1"/>
    <n v="2504.79"/>
  </r>
  <r>
    <n v="3049"/>
    <x v="2022"/>
    <x v="5"/>
    <x v="12"/>
    <n v="-2"/>
    <m/>
    <n v="0"/>
    <x v="1"/>
    <n v="0"/>
    <x v="481"/>
    <x v="2"/>
    <x v="0"/>
    <n v="2001.07"/>
  </r>
  <r>
    <n v="3050"/>
    <x v="2023"/>
    <x v="0"/>
    <x v="20"/>
    <n v="2"/>
    <n v="3177.78"/>
    <n v="6355.56"/>
    <x v="1"/>
    <n v="6355.56"/>
    <x v="88"/>
    <x v="1"/>
    <x v="0"/>
    <n v="407.14"/>
  </r>
  <r>
    <n v="3051"/>
    <x v="2024"/>
    <x v="2"/>
    <x v="2"/>
    <n v="0"/>
    <m/>
    <n v="0"/>
    <x v="1"/>
    <n v="0"/>
    <x v="4"/>
    <x v="3"/>
    <x v="1"/>
    <n v="1877.82"/>
  </r>
  <r>
    <n v="3052"/>
    <x v="2025"/>
    <x v="3"/>
    <x v="3"/>
    <n v="-1"/>
    <n v="1290.42"/>
    <n v="-1290.42"/>
    <x v="1"/>
    <n v="-1290.42"/>
    <x v="530"/>
    <x v="1"/>
    <x v="1"/>
    <n v="-196.63"/>
  </r>
  <r>
    <n v="3053"/>
    <x v="2026"/>
    <x v="2"/>
    <x v="10"/>
    <n v="5"/>
    <m/>
    <n v="0"/>
    <x v="1"/>
    <n v="0"/>
    <x v="4"/>
    <x v="1"/>
    <x v="0"/>
    <n v="612.53"/>
  </r>
  <r>
    <n v="3054"/>
    <x v="2027"/>
    <x v="5"/>
    <x v="12"/>
    <n v="5"/>
    <n v="1722.34"/>
    <n v="8611.6999999999989"/>
    <x v="130"/>
    <n v="-344.46800000000025"/>
    <x v="362"/>
    <x v="0"/>
    <x v="1"/>
    <n v="2459.2800000000002"/>
  </r>
  <r>
    <n v="3055"/>
    <x v="2028"/>
    <x v="5"/>
    <x v="6"/>
    <n v="1"/>
    <m/>
    <n v="0"/>
    <x v="1"/>
    <n v="0"/>
    <x v="272"/>
    <x v="2"/>
    <x v="0"/>
    <n v="2024.8"/>
  </r>
  <r>
    <n v="3056"/>
    <x v="2029"/>
    <x v="2"/>
    <x v="10"/>
    <n v="4"/>
    <m/>
    <n v="0"/>
    <x v="1"/>
    <n v="0"/>
    <x v="93"/>
    <x v="2"/>
    <x v="0"/>
    <n v="2126.75"/>
  </r>
  <r>
    <n v="3057"/>
    <x v="2030"/>
    <x v="1"/>
    <x v="15"/>
    <n v="2"/>
    <m/>
    <n v="0"/>
    <x v="65"/>
    <n v="0"/>
    <x v="200"/>
    <x v="1"/>
    <x v="0"/>
    <n v="2241.83"/>
  </r>
  <r>
    <n v="3058"/>
    <x v="2031"/>
    <x v="4"/>
    <x v="16"/>
    <n v="2"/>
    <n v="2948.36"/>
    <n v="5896.72"/>
    <x v="1"/>
    <n v="5896.72"/>
    <x v="4"/>
    <x v="5"/>
    <x v="1"/>
    <n v="1074.3499999999999"/>
  </r>
  <r>
    <n v="3059"/>
    <x v="2032"/>
    <x v="4"/>
    <x v="4"/>
    <n v="-2"/>
    <n v="4949.17"/>
    <n v="-9898.34"/>
    <x v="1"/>
    <n v="-9898.34"/>
    <x v="58"/>
    <x v="3"/>
    <x v="1"/>
    <n v="1267.49"/>
  </r>
  <r>
    <n v="3060"/>
    <x v="2033"/>
    <x v="3"/>
    <x v="21"/>
    <n v="2"/>
    <m/>
    <n v="0"/>
    <x v="58"/>
    <n v="0"/>
    <x v="217"/>
    <x v="2"/>
    <x v="0"/>
    <n v="1011.23"/>
  </r>
  <r>
    <n v="3061"/>
    <x v="2034"/>
    <x v="4"/>
    <x v="4"/>
    <n v="-1"/>
    <n v="1873.39"/>
    <n v="-1873.39"/>
    <x v="123"/>
    <n v="-487.08140000000003"/>
    <x v="528"/>
    <x v="4"/>
    <x v="1"/>
    <n v="1596.53"/>
  </r>
  <r>
    <n v="3062"/>
    <x v="2035"/>
    <x v="4"/>
    <x v="14"/>
    <n v="2"/>
    <n v="4312.55"/>
    <n v="8625.1"/>
    <x v="1"/>
    <n v="8625.1"/>
    <x v="107"/>
    <x v="4"/>
    <x v="0"/>
    <n v="496.16"/>
  </r>
  <r>
    <n v="3063"/>
    <x v="2036"/>
    <x v="4"/>
    <x v="16"/>
    <n v="2"/>
    <n v="4971.93"/>
    <n v="9943.86"/>
    <x v="115"/>
    <n v="4872.4913999999999"/>
    <x v="457"/>
    <x v="4"/>
    <x v="0"/>
    <n v="1941.61"/>
  </r>
  <r>
    <n v="3064"/>
    <x v="2037"/>
    <x v="1"/>
    <x v="1"/>
    <n v="2"/>
    <m/>
    <n v="0"/>
    <x v="72"/>
    <n v="0"/>
    <x v="74"/>
    <x v="4"/>
    <x v="0"/>
    <n v="2520.12"/>
  </r>
  <r>
    <n v="3065"/>
    <x v="2038"/>
    <x v="4"/>
    <x v="4"/>
    <n v="-1"/>
    <n v="873.64"/>
    <n v="-873.64"/>
    <x v="91"/>
    <n v="-725.12119999999993"/>
    <x v="422"/>
    <x v="5"/>
    <x v="0"/>
    <n v="1107.8499999999999"/>
  </r>
  <r>
    <n v="3066"/>
    <x v="2039"/>
    <x v="2"/>
    <x v="17"/>
    <n v="2"/>
    <m/>
    <n v="0"/>
    <x v="25"/>
    <n v="0"/>
    <x v="183"/>
    <x v="2"/>
    <x v="0"/>
    <n v="80.290000000000006"/>
  </r>
  <r>
    <n v="3067"/>
    <x v="2040"/>
    <x v="4"/>
    <x v="8"/>
    <n v="0"/>
    <m/>
    <n v="0"/>
    <x v="1"/>
    <n v="0"/>
    <x v="100"/>
    <x v="3"/>
    <x v="0"/>
    <n v="2711.03"/>
  </r>
  <r>
    <n v="3068"/>
    <x v="2041"/>
    <x v="2"/>
    <x v="10"/>
    <n v="2"/>
    <m/>
    <n v="0"/>
    <x v="38"/>
    <n v="0"/>
    <x v="4"/>
    <x v="5"/>
    <x v="0"/>
    <n v="1886.51"/>
  </r>
  <r>
    <n v="3069"/>
    <x v="2042"/>
    <x v="1"/>
    <x v="1"/>
    <n v="2"/>
    <m/>
    <n v="0"/>
    <x v="1"/>
    <n v="0"/>
    <x v="11"/>
    <x v="3"/>
    <x v="0"/>
    <n v="-524.33000000000004"/>
  </r>
  <r>
    <n v="3070"/>
    <x v="2043"/>
    <x v="1"/>
    <x v="22"/>
    <n v="2"/>
    <m/>
    <n v="0"/>
    <x v="1"/>
    <n v="0"/>
    <x v="169"/>
    <x v="0"/>
    <x v="1"/>
    <n v="1136.04"/>
  </r>
  <r>
    <n v="3071"/>
    <x v="2044"/>
    <x v="2"/>
    <x v="10"/>
    <n v="2"/>
    <n v="4617.8500000000004"/>
    <n v="9235.7000000000007"/>
    <x v="79"/>
    <n v="-184.71400000000017"/>
    <x v="531"/>
    <x v="0"/>
    <x v="0"/>
    <n v="1778.15"/>
  </r>
  <r>
    <n v="3072"/>
    <x v="2045"/>
    <x v="2"/>
    <x v="17"/>
    <n v="6"/>
    <m/>
    <n v="0"/>
    <x v="1"/>
    <n v="0"/>
    <x v="52"/>
    <x v="1"/>
    <x v="0"/>
    <n v="1650.33"/>
  </r>
  <r>
    <n v="3073"/>
    <x v="2046"/>
    <x v="3"/>
    <x v="7"/>
    <n v="1"/>
    <n v="478.6"/>
    <n v="478.6"/>
    <x v="68"/>
    <n v="-86.147999999999968"/>
    <x v="51"/>
    <x v="3"/>
    <x v="1"/>
    <n v="1139.8399999999999"/>
  </r>
  <r>
    <n v="3074"/>
    <x v="2047"/>
    <x v="3"/>
    <x v="23"/>
    <n v="2"/>
    <m/>
    <n v="0"/>
    <x v="1"/>
    <n v="0"/>
    <x v="532"/>
    <x v="2"/>
    <x v="1"/>
    <n v="-906.63"/>
  </r>
  <r>
    <n v="3075"/>
    <x v="2048"/>
    <x v="3"/>
    <x v="21"/>
    <n v="2"/>
    <n v="1501.49"/>
    <n v="3002.98"/>
    <x v="36"/>
    <n v="1711.6986000000002"/>
    <x v="385"/>
    <x v="4"/>
    <x v="0"/>
    <n v="-100.14"/>
  </r>
  <r>
    <n v="3076"/>
    <x v="2049"/>
    <x v="4"/>
    <x v="4"/>
    <n v="0"/>
    <m/>
    <n v="0"/>
    <x v="1"/>
    <n v="0"/>
    <x v="293"/>
    <x v="5"/>
    <x v="0"/>
    <n v="1933.72"/>
  </r>
  <r>
    <n v="3077"/>
    <x v="2050"/>
    <x v="5"/>
    <x v="6"/>
    <n v="4"/>
    <m/>
    <n v="0"/>
    <x v="11"/>
    <n v="0"/>
    <x v="533"/>
    <x v="1"/>
    <x v="0"/>
    <n v="-528.22"/>
  </r>
  <r>
    <n v="3078"/>
    <x v="2051"/>
    <x v="1"/>
    <x v="1"/>
    <n v="2"/>
    <n v="2563.2399999999998"/>
    <n v="5126.4799999999996"/>
    <x v="1"/>
    <n v="5126.4799999999996"/>
    <x v="4"/>
    <x v="1"/>
    <x v="1"/>
    <n v="195.81"/>
  </r>
  <r>
    <n v="3079"/>
    <x v="2052"/>
    <x v="2"/>
    <x v="17"/>
    <n v="2"/>
    <n v="2839.98"/>
    <n v="5679.96"/>
    <x v="1"/>
    <n v="5679.96"/>
    <x v="247"/>
    <x v="2"/>
    <x v="1"/>
    <n v="-48.25"/>
  </r>
  <r>
    <n v="3080"/>
    <x v="2053"/>
    <x v="4"/>
    <x v="4"/>
    <n v="2"/>
    <m/>
    <n v="0"/>
    <x v="1"/>
    <n v="0"/>
    <x v="281"/>
    <x v="3"/>
    <x v="1"/>
    <n v="2067.89"/>
  </r>
  <r>
    <n v="3081"/>
    <x v="2054"/>
    <x v="4"/>
    <x v="8"/>
    <n v="2"/>
    <m/>
    <n v="0"/>
    <x v="1"/>
    <n v="0"/>
    <x v="4"/>
    <x v="1"/>
    <x v="0"/>
    <n v="-245.42"/>
  </r>
  <r>
    <n v="3082"/>
    <x v="2055"/>
    <x v="5"/>
    <x v="11"/>
    <n v="5"/>
    <m/>
    <n v="0"/>
    <x v="1"/>
    <n v="0"/>
    <x v="26"/>
    <x v="5"/>
    <x v="0"/>
    <n v="664.73"/>
  </r>
  <r>
    <n v="3083"/>
    <x v="2056"/>
    <x v="4"/>
    <x v="4"/>
    <n v="2"/>
    <n v="1573.64"/>
    <n v="3147.28"/>
    <x v="1"/>
    <n v="3147.28"/>
    <x v="35"/>
    <x v="0"/>
    <x v="0"/>
    <n v="792.35"/>
  </r>
  <r>
    <n v="3084"/>
    <x v="2057"/>
    <x v="4"/>
    <x v="8"/>
    <n v="2"/>
    <n v="2316.64"/>
    <n v="4633.28"/>
    <x v="5"/>
    <n v="1389.9840000000002"/>
    <x v="429"/>
    <x v="1"/>
    <x v="1"/>
    <n v="-657.76"/>
  </r>
  <r>
    <n v="3085"/>
    <x v="2058"/>
    <x v="4"/>
    <x v="4"/>
    <n v="4"/>
    <m/>
    <n v="0"/>
    <x v="1"/>
    <n v="0"/>
    <x v="348"/>
    <x v="2"/>
    <x v="0"/>
    <n v="2563.31"/>
  </r>
  <r>
    <n v="3086"/>
    <x v="2059"/>
    <x v="3"/>
    <x v="21"/>
    <n v="-1"/>
    <m/>
    <n v="0"/>
    <x v="1"/>
    <n v="0"/>
    <x v="233"/>
    <x v="0"/>
    <x v="1"/>
    <n v="918.53"/>
  </r>
  <r>
    <n v="3087"/>
    <x v="2060"/>
    <x v="0"/>
    <x v="0"/>
    <n v="2"/>
    <n v="692.46"/>
    <n v="1384.92"/>
    <x v="61"/>
    <n v="-276.98399999999998"/>
    <x v="494"/>
    <x v="3"/>
    <x v="0"/>
    <n v="-901.21"/>
  </r>
  <r>
    <n v="1028"/>
    <x v="2061"/>
    <x v="0"/>
    <x v="0"/>
    <n v="-2"/>
    <n v="3344.74"/>
    <n v="-6689.48"/>
    <x v="9"/>
    <n v="668.94800000000055"/>
    <x v="152"/>
    <x v="1"/>
    <x v="1"/>
    <n v="2728.08"/>
  </r>
  <r>
    <n v="3089"/>
    <x v="2062"/>
    <x v="3"/>
    <x v="3"/>
    <n v="-2"/>
    <n v="3153.72"/>
    <n v="-6307.44"/>
    <x v="1"/>
    <n v="-6307.44"/>
    <x v="152"/>
    <x v="4"/>
    <x v="1"/>
    <n v="2686.96"/>
  </r>
  <r>
    <n v="3090"/>
    <x v="2063"/>
    <x v="5"/>
    <x v="12"/>
    <n v="-2"/>
    <n v="3033.2"/>
    <n v="-6066.4"/>
    <x v="1"/>
    <n v="-6066.4"/>
    <x v="498"/>
    <x v="5"/>
    <x v="1"/>
    <n v="490.69"/>
  </r>
  <r>
    <n v="3091"/>
    <x v="2064"/>
    <x v="3"/>
    <x v="21"/>
    <n v="2"/>
    <n v="1091.76"/>
    <n v="2183.52"/>
    <x v="96"/>
    <n v="1004.4191999999999"/>
    <x v="374"/>
    <x v="4"/>
    <x v="0"/>
    <n v="2584.69"/>
  </r>
  <r>
    <n v="3092"/>
    <x v="2065"/>
    <x v="1"/>
    <x v="1"/>
    <n v="2"/>
    <m/>
    <n v="0"/>
    <x v="1"/>
    <n v="0"/>
    <x v="311"/>
    <x v="3"/>
    <x v="0"/>
    <n v="250.05"/>
  </r>
  <r>
    <n v="3093"/>
    <x v="2066"/>
    <x v="2"/>
    <x v="17"/>
    <n v="2"/>
    <n v="1551.41"/>
    <n v="3102.82"/>
    <x v="96"/>
    <n v="1427.2972"/>
    <x v="528"/>
    <x v="0"/>
    <x v="0"/>
    <n v="763.37"/>
  </r>
  <r>
    <n v="3094"/>
    <x v="2067"/>
    <x v="5"/>
    <x v="12"/>
    <n v="2"/>
    <n v="4382.8599999999997"/>
    <n v="8765.7199999999993"/>
    <x v="1"/>
    <n v="8765.7199999999993"/>
    <x v="140"/>
    <x v="5"/>
    <x v="0"/>
    <n v="1172.7"/>
  </r>
  <r>
    <n v="3095"/>
    <x v="2068"/>
    <x v="3"/>
    <x v="21"/>
    <n v="1"/>
    <m/>
    <n v="0"/>
    <x v="1"/>
    <n v="0"/>
    <x v="200"/>
    <x v="5"/>
    <x v="0"/>
    <n v="2699.57"/>
  </r>
  <r>
    <n v="3096"/>
    <x v="2069"/>
    <x v="2"/>
    <x v="17"/>
    <n v="2"/>
    <n v="2312.09"/>
    <n v="4624.18"/>
    <x v="1"/>
    <n v="4624.18"/>
    <x v="272"/>
    <x v="3"/>
    <x v="0"/>
    <n v="508.96"/>
  </r>
  <r>
    <n v="3097"/>
    <x v="2070"/>
    <x v="2"/>
    <x v="17"/>
    <n v="2"/>
    <n v="3111.65"/>
    <n v="6223.3"/>
    <x v="1"/>
    <n v="6223.3"/>
    <x v="293"/>
    <x v="4"/>
    <x v="1"/>
    <n v="2868.09"/>
  </r>
  <r>
    <n v="1028"/>
    <x v="2071"/>
    <x v="5"/>
    <x v="11"/>
    <n v="2"/>
    <n v="2996.43"/>
    <n v="5992.86"/>
    <x v="1"/>
    <n v="5992.86"/>
    <x v="4"/>
    <x v="5"/>
    <x v="0"/>
    <n v="2205.5700000000002"/>
  </r>
  <r>
    <n v="3099"/>
    <x v="2072"/>
    <x v="3"/>
    <x v="21"/>
    <n v="2"/>
    <n v="4426.87"/>
    <n v="8853.74"/>
    <x v="1"/>
    <n v="8853.74"/>
    <x v="18"/>
    <x v="5"/>
    <x v="1"/>
    <n v="2480.9499999999998"/>
  </r>
  <r>
    <n v="3100"/>
    <x v="2073"/>
    <x v="1"/>
    <x v="22"/>
    <n v="2"/>
    <m/>
    <n v="0"/>
    <x v="1"/>
    <n v="0"/>
    <x v="231"/>
    <x v="1"/>
    <x v="1"/>
    <n v="2379.7399999999998"/>
  </r>
  <r>
    <n v="3101"/>
    <x v="2074"/>
    <x v="3"/>
    <x v="3"/>
    <n v="1"/>
    <m/>
    <n v="0"/>
    <x v="1"/>
    <n v="0"/>
    <x v="17"/>
    <x v="2"/>
    <x v="1"/>
    <n v="478.53"/>
  </r>
  <r>
    <n v="1025"/>
    <x v="2075"/>
    <x v="5"/>
    <x v="11"/>
    <n v="0"/>
    <m/>
    <n v="0"/>
    <x v="1"/>
    <n v="0"/>
    <x v="104"/>
    <x v="1"/>
    <x v="1"/>
    <n v="-861.84"/>
  </r>
  <r>
    <n v="3103"/>
    <x v="2076"/>
    <x v="4"/>
    <x v="16"/>
    <n v="5"/>
    <m/>
    <n v="0"/>
    <x v="1"/>
    <n v="0"/>
    <x v="155"/>
    <x v="3"/>
    <x v="0"/>
    <n v="654.74"/>
  </r>
  <r>
    <n v="3104"/>
    <x v="2077"/>
    <x v="5"/>
    <x v="6"/>
    <n v="2"/>
    <n v="4274.01"/>
    <n v="8548.02"/>
    <x v="103"/>
    <n v="6154.5744000000004"/>
    <x v="288"/>
    <x v="1"/>
    <x v="1"/>
    <n v="2263.5700000000002"/>
  </r>
  <r>
    <n v="3105"/>
    <x v="2078"/>
    <x v="3"/>
    <x v="3"/>
    <n v="2"/>
    <m/>
    <n v="0"/>
    <x v="1"/>
    <n v="0"/>
    <x v="407"/>
    <x v="4"/>
    <x v="0"/>
    <n v="1488.64"/>
  </r>
  <r>
    <n v="3106"/>
    <x v="2079"/>
    <x v="3"/>
    <x v="7"/>
    <n v="6"/>
    <m/>
    <n v="0"/>
    <x v="1"/>
    <n v="0"/>
    <x v="141"/>
    <x v="0"/>
    <x v="0"/>
    <n v="-521.15"/>
  </r>
  <r>
    <n v="3107"/>
    <x v="2080"/>
    <x v="0"/>
    <x v="0"/>
    <n v="2"/>
    <n v="2068.64"/>
    <n v="4137.28"/>
    <x v="1"/>
    <n v="4137.28"/>
    <x v="4"/>
    <x v="2"/>
    <x v="0"/>
    <n v="2447.29"/>
  </r>
  <r>
    <n v="3108"/>
    <x v="2081"/>
    <x v="5"/>
    <x v="12"/>
    <n v="2"/>
    <m/>
    <n v="0"/>
    <x v="1"/>
    <n v="0"/>
    <x v="120"/>
    <x v="2"/>
    <x v="0"/>
    <n v="-815.76"/>
  </r>
  <r>
    <n v="3109"/>
    <x v="2082"/>
    <x v="4"/>
    <x v="4"/>
    <n v="5"/>
    <m/>
    <n v="0"/>
    <x v="90"/>
    <n v="0"/>
    <x v="4"/>
    <x v="1"/>
    <x v="0"/>
    <n v="445.05"/>
  </r>
  <r>
    <n v="3110"/>
    <x v="2083"/>
    <x v="0"/>
    <x v="5"/>
    <n v="2"/>
    <n v="4103.32"/>
    <n v="8206.64"/>
    <x v="1"/>
    <n v="8206.64"/>
    <x v="358"/>
    <x v="0"/>
    <x v="0"/>
    <n v="-828.25"/>
  </r>
  <r>
    <n v="3111"/>
    <x v="2084"/>
    <x v="4"/>
    <x v="14"/>
    <n v="-1"/>
    <n v="839.87"/>
    <n v="-839.87"/>
    <x v="1"/>
    <n v="-839.87"/>
    <x v="4"/>
    <x v="3"/>
    <x v="0"/>
    <n v="-286.10000000000002"/>
  </r>
  <r>
    <n v="3112"/>
    <x v="2085"/>
    <x v="2"/>
    <x v="2"/>
    <n v="2"/>
    <n v="3026.75"/>
    <n v="6053.5"/>
    <x v="1"/>
    <n v="6053.5"/>
    <x v="348"/>
    <x v="0"/>
    <x v="1"/>
    <n v="-565.91999999999996"/>
  </r>
  <r>
    <n v="3113"/>
    <x v="2086"/>
    <x v="2"/>
    <x v="2"/>
    <n v="4"/>
    <n v="3256.86"/>
    <n v="13027.44"/>
    <x v="49"/>
    <n v="2996.3112000000001"/>
    <x v="486"/>
    <x v="3"/>
    <x v="1"/>
    <n v="-109.08"/>
  </r>
  <r>
    <n v="3114"/>
    <x v="2087"/>
    <x v="0"/>
    <x v="0"/>
    <n v="2"/>
    <n v="4082.61"/>
    <n v="8165.22"/>
    <x v="1"/>
    <n v="8165.22"/>
    <x v="4"/>
    <x v="5"/>
    <x v="0"/>
    <n v="-454.61"/>
  </r>
  <r>
    <n v="3115"/>
    <x v="2088"/>
    <x v="3"/>
    <x v="23"/>
    <n v="2"/>
    <m/>
    <n v="0"/>
    <x v="1"/>
    <n v="0"/>
    <x v="451"/>
    <x v="4"/>
    <x v="0"/>
    <n v="-546.69000000000005"/>
  </r>
  <r>
    <n v="3116"/>
    <x v="2089"/>
    <x v="5"/>
    <x v="12"/>
    <n v="2"/>
    <n v="1237.1500000000001"/>
    <n v="2474.3000000000002"/>
    <x v="1"/>
    <n v="2474.3000000000002"/>
    <x v="160"/>
    <x v="3"/>
    <x v="1"/>
    <n v="1357.42"/>
  </r>
  <r>
    <n v="3117"/>
    <x v="2090"/>
    <x v="1"/>
    <x v="18"/>
    <n v="4"/>
    <m/>
    <n v="0"/>
    <x v="69"/>
    <n v="0"/>
    <x v="134"/>
    <x v="3"/>
    <x v="1"/>
    <n v="-706.51"/>
  </r>
  <r>
    <n v="3118"/>
    <x v="2091"/>
    <x v="1"/>
    <x v="1"/>
    <n v="2"/>
    <n v="948.06"/>
    <n v="1896.12"/>
    <x v="0"/>
    <n v="758.44799999999998"/>
    <x v="27"/>
    <x v="5"/>
    <x v="1"/>
    <n v="69.349999999999994"/>
  </r>
  <r>
    <n v="3119"/>
    <x v="2092"/>
    <x v="0"/>
    <x v="0"/>
    <n v="2"/>
    <n v="722.74"/>
    <n v="1445.48"/>
    <x v="1"/>
    <n v="1445.48"/>
    <x v="288"/>
    <x v="5"/>
    <x v="0"/>
    <n v="1610.64"/>
  </r>
  <r>
    <n v="3120"/>
    <x v="2093"/>
    <x v="3"/>
    <x v="7"/>
    <n v="2"/>
    <n v="824.59"/>
    <n v="1649.18"/>
    <x v="77"/>
    <n v="1434.7866000000001"/>
    <x v="212"/>
    <x v="4"/>
    <x v="0"/>
    <n v="-276.22000000000003"/>
  </r>
  <r>
    <n v="3121"/>
    <x v="2094"/>
    <x v="1"/>
    <x v="15"/>
    <n v="2"/>
    <n v="1049.27"/>
    <n v="2098.54"/>
    <x v="1"/>
    <n v="2098.54"/>
    <x v="534"/>
    <x v="4"/>
    <x v="0"/>
    <n v="-648.45000000000005"/>
  </r>
  <r>
    <n v="3122"/>
    <x v="2095"/>
    <x v="3"/>
    <x v="3"/>
    <n v="2"/>
    <m/>
    <n v="0"/>
    <x v="7"/>
    <n v="0"/>
    <x v="42"/>
    <x v="5"/>
    <x v="0"/>
    <n v="551.79"/>
  </r>
  <r>
    <n v="3123"/>
    <x v="2096"/>
    <x v="1"/>
    <x v="15"/>
    <n v="5"/>
    <m/>
    <n v="0"/>
    <x v="1"/>
    <n v="0"/>
    <x v="357"/>
    <x v="4"/>
    <x v="0"/>
    <n v="1980.42"/>
  </r>
  <r>
    <n v="3124"/>
    <x v="2097"/>
    <x v="4"/>
    <x v="4"/>
    <n v="2"/>
    <m/>
    <n v="0"/>
    <x v="57"/>
    <n v="0"/>
    <x v="432"/>
    <x v="5"/>
    <x v="1"/>
    <n v="-399.81"/>
  </r>
  <r>
    <n v="3125"/>
    <x v="2098"/>
    <x v="5"/>
    <x v="6"/>
    <n v="5"/>
    <n v="4264.79"/>
    <n v="21323.95"/>
    <x v="1"/>
    <n v="21323.95"/>
    <x v="237"/>
    <x v="1"/>
    <x v="0"/>
    <n v="2388.91"/>
  </r>
  <r>
    <n v="3126"/>
    <x v="2099"/>
    <x v="4"/>
    <x v="16"/>
    <n v="4"/>
    <m/>
    <n v="0"/>
    <x v="1"/>
    <n v="0"/>
    <x v="22"/>
    <x v="2"/>
    <x v="1"/>
    <n v="2624.13"/>
  </r>
  <r>
    <n v="3127"/>
    <x v="2100"/>
    <x v="2"/>
    <x v="17"/>
    <n v="2"/>
    <n v="491.77"/>
    <n v="983.54"/>
    <x v="55"/>
    <n v="98.353999999999971"/>
    <x v="291"/>
    <x v="5"/>
    <x v="1"/>
    <n v="2069.0500000000002"/>
  </r>
  <r>
    <n v="3128"/>
    <x v="2101"/>
    <x v="5"/>
    <x v="6"/>
    <n v="2"/>
    <n v="3216.9"/>
    <n v="6433.8"/>
    <x v="1"/>
    <n v="6433.8"/>
    <x v="367"/>
    <x v="4"/>
    <x v="0"/>
    <n v="192.22"/>
  </r>
  <r>
    <n v="3129"/>
    <x v="2102"/>
    <x v="0"/>
    <x v="9"/>
    <n v="2"/>
    <n v="3201.09"/>
    <n v="6402.18"/>
    <x v="1"/>
    <n v="6402.18"/>
    <x v="251"/>
    <x v="5"/>
    <x v="0"/>
    <n v="2989.88"/>
  </r>
  <r>
    <n v="3130"/>
    <x v="2103"/>
    <x v="5"/>
    <x v="6"/>
    <n v="2"/>
    <n v="3742.62"/>
    <n v="7485.24"/>
    <x v="1"/>
    <n v="7485.24"/>
    <x v="142"/>
    <x v="2"/>
    <x v="0"/>
    <n v="2886.26"/>
  </r>
  <r>
    <n v="3131"/>
    <x v="2104"/>
    <x v="3"/>
    <x v="3"/>
    <n v="2"/>
    <n v="4938.03"/>
    <n v="9876.06"/>
    <x v="1"/>
    <n v="9876.06"/>
    <x v="535"/>
    <x v="0"/>
    <x v="1"/>
    <n v="878.99"/>
  </r>
  <r>
    <n v="3132"/>
    <x v="2105"/>
    <x v="1"/>
    <x v="18"/>
    <n v="6"/>
    <n v="2940.45"/>
    <n v="17642.699999999997"/>
    <x v="1"/>
    <n v="17642.699999999997"/>
    <x v="4"/>
    <x v="4"/>
    <x v="0"/>
    <n v="-583.80999999999995"/>
  </r>
  <r>
    <n v="3133"/>
    <x v="2106"/>
    <x v="1"/>
    <x v="18"/>
    <n v="1"/>
    <n v="974.54"/>
    <n v="974.54"/>
    <x v="87"/>
    <n v="545.74239999999998"/>
    <x v="95"/>
    <x v="4"/>
    <x v="1"/>
    <n v="2655.22"/>
  </r>
  <r>
    <n v="3134"/>
    <x v="2107"/>
    <x v="1"/>
    <x v="15"/>
    <n v="2"/>
    <m/>
    <n v="0"/>
    <x v="26"/>
    <n v="0"/>
    <x v="4"/>
    <x v="1"/>
    <x v="1"/>
    <n v="1130.74"/>
  </r>
  <r>
    <n v="3135"/>
    <x v="2108"/>
    <x v="1"/>
    <x v="1"/>
    <n v="1"/>
    <m/>
    <n v="0"/>
    <x v="93"/>
    <n v="0"/>
    <x v="4"/>
    <x v="4"/>
    <x v="1"/>
    <n v="2619.5"/>
  </r>
  <r>
    <n v="3136"/>
    <x v="2109"/>
    <x v="4"/>
    <x v="16"/>
    <n v="2"/>
    <n v="3622.93"/>
    <n v="7245.86"/>
    <x v="1"/>
    <n v="7245.86"/>
    <x v="458"/>
    <x v="0"/>
    <x v="0"/>
    <n v="813.36"/>
  </r>
  <r>
    <n v="3137"/>
    <x v="2110"/>
    <x v="1"/>
    <x v="1"/>
    <n v="2"/>
    <m/>
    <n v="0"/>
    <x v="1"/>
    <n v="0"/>
    <x v="374"/>
    <x v="3"/>
    <x v="0"/>
    <n v="-122.35"/>
  </r>
  <r>
    <n v="3138"/>
    <x v="2111"/>
    <x v="3"/>
    <x v="23"/>
    <n v="0"/>
    <n v="855.81"/>
    <n v="0"/>
    <x v="114"/>
    <n v="0"/>
    <x v="375"/>
    <x v="0"/>
    <x v="0"/>
    <n v="1801"/>
  </r>
  <r>
    <n v="3139"/>
    <x v="2112"/>
    <x v="4"/>
    <x v="8"/>
    <n v="6"/>
    <m/>
    <n v="0"/>
    <x v="1"/>
    <n v="0"/>
    <x v="4"/>
    <x v="4"/>
    <x v="1"/>
    <n v="563.12"/>
  </r>
  <r>
    <n v="3140"/>
    <x v="2113"/>
    <x v="0"/>
    <x v="20"/>
    <n v="2"/>
    <m/>
    <n v="0"/>
    <x v="1"/>
    <n v="0"/>
    <x v="4"/>
    <x v="1"/>
    <x v="1"/>
    <n v="2551.31"/>
  </r>
  <r>
    <n v="3141"/>
    <x v="2114"/>
    <x v="1"/>
    <x v="18"/>
    <n v="2"/>
    <m/>
    <n v="0"/>
    <x v="1"/>
    <n v="0"/>
    <x v="173"/>
    <x v="2"/>
    <x v="0"/>
    <n v="2279.1799999999998"/>
  </r>
  <r>
    <n v="3142"/>
    <x v="2115"/>
    <x v="5"/>
    <x v="19"/>
    <n v="1"/>
    <n v="4887.3599999999997"/>
    <n v="4887.3599999999997"/>
    <x v="1"/>
    <n v="4887.3599999999997"/>
    <x v="525"/>
    <x v="4"/>
    <x v="1"/>
    <n v="-243.32"/>
  </r>
  <r>
    <n v="3143"/>
    <x v="2116"/>
    <x v="4"/>
    <x v="8"/>
    <n v="2"/>
    <m/>
    <n v="0"/>
    <x v="1"/>
    <n v="0"/>
    <x v="4"/>
    <x v="4"/>
    <x v="1"/>
    <n v="-525.49"/>
  </r>
  <r>
    <n v="3144"/>
    <x v="2117"/>
    <x v="5"/>
    <x v="6"/>
    <n v="2"/>
    <n v="2664.43"/>
    <n v="5328.86"/>
    <x v="1"/>
    <n v="5328.86"/>
    <x v="266"/>
    <x v="4"/>
    <x v="0"/>
    <n v="1324.18"/>
  </r>
  <r>
    <n v="3145"/>
    <x v="2118"/>
    <x v="1"/>
    <x v="15"/>
    <n v="2"/>
    <n v="4414.97"/>
    <n v="8829.94"/>
    <x v="1"/>
    <n v="8829.94"/>
    <x v="4"/>
    <x v="4"/>
    <x v="1"/>
    <n v="2754.74"/>
  </r>
  <r>
    <n v="3146"/>
    <x v="2119"/>
    <x v="1"/>
    <x v="15"/>
    <n v="2"/>
    <m/>
    <n v="0"/>
    <x v="1"/>
    <n v="0"/>
    <x v="4"/>
    <x v="4"/>
    <x v="1"/>
    <n v="146.19"/>
  </r>
  <r>
    <n v="3147"/>
    <x v="517"/>
    <x v="5"/>
    <x v="6"/>
    <n v="2"/>
    <m/>
    <n v="0"/>
    <x v="1"/>
    <n v="0"/>
    <x v="1"/>
    <x v="3"/>
    <x v="0"/>
    <n v="2987.89"/>
  </r>
  <r>
    <n v="3148"/>
    <x v="2120"/>
    <x v="5"/>
    <x v="6"/>
    <n v="6"/>
    <m/>
    <n v="0"/>
    <x v="126"/>
    <n v="0"/>
    <x v="115"/>
    <x v="1"/>
    <x v="0"/>
    <n v="605.46"/>
  </r>
  <r>
    <n v="3149"/>
    <x v="2121"/>
    <x v="2"/>
    <x v="2"/>
    <n v="5"/>
    <m/>
    <n v="0"/>
    <x v="1"/>
    <n v="0"/>
    <x v="4"/>
    <x v="3"/>
    <x v="0"/>
    <n v="-681.76"/>
  </r>
  <r>
    <n v="3150"/>
    <x v="2122"/>
    <x v="4"/>
    <x v="16"/>
    <n v="0"/>
    <n v="850.69"/>
    <n v="0"/>
    <x v="12"/>
    <n v="0"/>
    <x v="151"/>
    <x v="3"/>
    <x v="0"/>
    <n v="2291.9299999999998"/>
  </r>
  <r>
    <n v="3151"/>
    <x v="2123"/>
    <x v="0"/>
    <x v="0"/>
    <n v="2"/>
    <m/>
    <n v="0"/>
    <x v="17"/>
    <n v="0"/>
    <x v="46"/>
    <x v="2"/>
    <x v="1"/>
    <n v="-858.13"/>
  </r>
  <r>
    <n v="3152"/>
    <x v="2124"/>
    <x v="4"/>
    <x v="16"/>
    <n v="-2"/>
    <n v="2116.65"/>
    <n v="-4233.3"/>
    <x v="3"/>
    <n v="-3344.3070000000002"/>
    <x v="134"/>
    <x v="2"/>
    <x v="0"/>
    <n v="385.42"/>
  </r>
  <r>
    <n v="3153"/>
    <x v="2125"/>
    <x v="5"/>
    <x v="6"/>
    <n v="2"/>
    <n v="4723.0200000000004"/>
    <n v="9446.0400000000009"/>
    <x v="73"/>
    <n v="4534.0992000000006"/>
    <x v="4"/>
    <x v="1"/>
    <x v="1"/>
    <n v="316.63"/>
  </r>
  <r>
    <n v="1047"/>
    <x v="2126"/>
    <x v="4"/>
    <x v="8"/>
    <n v="1"/>
    <n v="3154.48"/>
    <n v="3154.48"/>
    <x v="1"/>
    <n v="3154.48"/>
    <x v="416"/>
    <x v="1"/>
    <x v="0"/>
    <n v="-243.92"/>
  </r>
  <r>
    <n v="3155"/>
    <x v="2127"/>
    <x v="3"/>
    <x v="23"/>
    <n v="2"/>
    <m/>
    <n v="0"/>
    <x v="2"/>
    <n v="0"/>
    <x v="4"/>
    <x v="2"/>
    <x v="0"/>
    <n v="2621.96"/>
  </r>
  <r>
    <n v="3156"/>
    <x v="2128"/>
    <x v="2"/>
    <x v="2"/>
    <n v="1"/>
    <m/>
    <n v="0"/>
    <x v="73"/>
    <n v="0"/>
    <x v="4"/>
    <x v="1"/>
    <x v="0"/>
    <n v="2568.9"/>
  </r>
  <r>
    <n v="3157"/>
    <x v="2129"/>
    <x v="3"/>
    <x v="23"/>
    <n v="6"/>
    <n v="1768.88"/>
    <n v="10613.28"/>
    <x v="1"/>
    <n v="10613.28"/>
    <x v="536"/>
    <x v="5"/>
    <x v="1"/>
    <n v="-750.14"/>
  </r>
  <r>
    <n v="3158"/>
    <x v="2130"/>
    <x v="2"/>
    <x v="17"/>
    <n v="2"/>
    <m/>
    <n v="0"/>
    <x v="1"/>
    <n v="0"/>
    <x v="216"/>
    <x v="5"/>
    <x v="0"/>
    <n v="-274.08999999999997"/>
  </r>
  <r>
    <n v="3159"/>
    <x v="2131"/>
    <x v="4"/>
    <x v="16"/>
    <n v="2"/>
    <m/>
    <n v="0"/>
    <x v="1"/>
    <n v="0"/>
    <x v="156"/>
    <x v="0"/>
    <x v="1"/>
    <n v="1668.66"/>
  </r>
  <r>
    <n v="3160"/>
    <x v="2132"/>
    <x v="0"/>
    <x v="20"/>
    <n v="6"/>
    <n v="4976.8100000000004"/>
    <n v="29860.86"/>
    <x v="1"/>
    <n v="29860.86"/>
    <x v="481"/>
    <x v="1"/>
    <x v="0"/>
    <n v="845.06"/>
  </r>
  <r>
    <n v="3161"/>
    <x v="2133"/>
    <x v="3"/>
    <x v="3"/>
    <n v="2"/>
    <m/>
    <n v="0"/>
    <x v="1"/>
    <n v="0"/>
    <x v="537"/>
    <x v="2"/>
    <x v="0"/>
    <n v="1399.1"/>
  </r>
  <r>
    <n v="3162"/>
    <x v="2134"/>
    <x v="3"/>
    <x v="7"/>
    <n v="2"/>
    <m/>
    <n v="0"/>
    <x v="1"/>
    <n v="0"/>
    <x v="268"/>
    <x v="3"/>
    <x v="0"/>
    <n v="344.06"/>
  </r>
  <r>
    <n v="3163"/>
    <x v="2135"/>
    <x v="0"/>
    <x v="20"/>
    <n v="2"/>
    <m/>
    <n v="0"/>
    <x v="1"/>
    <n v="0"/>
    <x v="205"/>
    <x v="1"/>
    <x v="0"/>
    <n v="-13.76"/>
  </r>
  <r>
    <n v="3164"/>
    <x v="2136"/>
    <x v="1"/>
    <x v="15"/>
    <n v="3"/>
    <m/>
    <n v="0"/>
    <x v="48"/>
    <n v="0"/>
    <x v="153"/>
    <x v="3"/>
    <x v="0"/>
    <n v="-750.61"/>
  </r>
  <r>
    <n v="3165"/>
    <x v="2137"/>
    <x v="5"/>
    <x v="19"/>
    <n v="2"/>
    <n v="2994.31"/>
    <n v="5988.62"/>
    <x v="1"/>
    <n v="5988.62"/>
    <x v="4"/>
    <x v="3"/>
    <x v="0"/>
    <n v="-990.57"/>
  </r>
  <r>
    <n v="3166"/>
    <x v="2138"/>
    <x v="5"/>
    <x v="19"/>
    <n v="-2"/>
    <m/>
    <n v="0"/>
    <x v="1"/>
    <n v="0"/>
    <x v="474"/>
    <x v="5"/>
    <x v="1"/>
    <n v="1384.25"/>
  </r>
  <r>
    <n v="3167"/>
    <x v="2139"/>
    <x v="0"/>
    <x v="20"/>
    <n v="2"/>
    <m/>
    <n v="0"/>
    <x v="1"/>
    <n v="0"/>
    <x v="168"/>
    <x v="2"/>
    <x v="1"/>
    <n v="1078.74"/>
  </r>
  <r>
    <n v="3168"/>
    <x v="2140"/>
    <x v="0"/>
    <x v="20"/>
    <n v="-1"/>
    <n v="1845.75"/>
    <n v="-1845.75"/>
    <x v="1"/>
    <n v="-1845.75"/>
    <x v="198"/>
    <x v="3"/>
    <x v="1"/>
    <n v="268.45"/>
  </r>
  <r>
    <n v="3169"/>
    <x v="2141"/>
    <x v="1"/>
    <x v="1"/>
    <n v="-2"/>
    <m/>
    <n v="0"/>
    <x v="1"/>
    <n v="0"/>
    <x v="303"/>
    <x v="4"/>
    <x v="0"/>
    <n v="796.19"/>
  </r>
  <r>
    <n v="3170"/>
    <x v="2142"/>
    <x v="1"/>
    <x v="18"/>
    <n v="2"/>
    <n v="2229.77"/>
    <n v="4459.54"/>
    <x v="1"/>
    <n v="4459.54"/>
    <x v="4"/>
    <x v="1"/>
    <x v="0"/>
    <n v="2733.99"/>
  </r>
  <r>
    <n v="3171"/>
    <x v="2143"/>
    <x v="4"/>
    <x v="14"/>
    <n v="2"/>
    <n v="3618.17"/>
    <n v="7236.34"/>
    <x v="1"/>
    <n v="7236.34"/>
    <x v="205"/>
    <x v="1"/>
    <x v="1"/>
    <n v="726.81"/>
  </r>
  <r>
    <n v="3172"/>
    <x v="2144"/>
    <x v="2"/>
    <x v="10"/>
    <n v="3"/>
    <n v="4433.3500000000004"/>
    <n v="13300.050000000001"/>
    <x v="1"/>
    <n v="13300.050000000001"/>
    <x v="133"/>
    <x v="5"/>
    <x v="0"/>
    <n v="329.75"/>
  </r>
  <r>
    <n v="1050"/>
    <x v="2145"/>
    <x v="2"/>
    <x v="10"/>
    <n v="4"/>
    <n v="1205.98"/>
    <n v="4823.92"/>
    <x v="1"/>
    <n v="4823.92"/>
    <x v="4"/>
    <x v="0"/>
    <x v="0"/>
    <n v="-794.73"/>
  </r>
  <r>
    <n v="3174"/>
    <x v="2146"/>
    <x v="1"/>
    <x v="1"/>
    <n v="4"/>
    <n v="4345.79"/>
    <n v="17383.16"/>
    <x v="119"/>
    <n v="-2433.6423999999984"/>
    <x v="202"/>
    <x v="5"/>
    <x v="0"/>
    <n v="2747.47"/>
  </r>
  <r>
    <n v="3175"/>
    <x v="2147"/>
    <x v="0"/>
    <x v="9"/>
    <n v="3"/>
    <n v="2937.09"/>
    <n v="8811.27"/>
    <x v="1"/>
    <n v="8811.27"/>
    <x v="115"/>
    <x v="5"/>
    <x v="0"/>
    <n v="2471.63"/>
  </r>
  <r>
    <n v="3176"/>
    <x v="2148"/>
    <x v="5"/>
    <x v="12"/>
    <n v="2"/>
    <n v="4473.84"/>
    <n v="8947.68"/>
    <x v="118"/>
    <n v="6263.3760000000002"/>
    <x v="234"/>
    <x v="5"/>
    <x v="1"/>
    <n v="2874.33"/>
  </r>
  <r>
    <n v="3177"/>
    <x v="2149"/>
    <x v="0"/>
    <x v="0"/>
    <n v="-1"/>
    <m/>
    <n v="0"/>
    <x v="1"/>
    <n v="0"/>
    <x v="338"/>
    <x v="1"/>
    <x v="0"/>
    <n v="2693.49"/>
  </r>
  <r>
    <n v="3178"/>
    <x v="2150"/>
    <x v="1"/>
    <x v="18"/>
    <n v="2"/>
    <m/>
    <n v="0"/>
    <x v="129"/>
    <n v="0"/>
    <x v="4"/>
    <x v="4"/>
    <x v="0"/>
    <n v="-174.17"/>
  </r>
  <r>
    <n v="3179"/>
    <x v="976"/>
    <x v="1"/>
    <x v="1"/>
    <n v="1"/>
    <n v="2057.88"/>
    <n v="2057.88"/>
    <x v="1"/>
    <n v="2057.88"/>
    <x v="85"/>
    <x v="1"/>
    <x v="0"/>
    <n v="932.33"/>
  </r>
  <r>
    <n v="3180"/>
    <x v="2151"/>
    <x v="2"/>
    <x v="17"/>
    <n v="5"/>
    <n v="1981.32"/>
    <n v="9906.6"/>
    <x v="1"/>
    <n v="9906.6"/>
    <x v="247"/>
    <x v="3"/>
    <x v="0"/>
    <n v="1113.19"/>
  </r>
  <r>
    <n v="3181"/>
    <x v="2152"/>
    <x v="2"/>
    <x v="2"/>
    <n v="2"/>
    <m/>
    <n v="0"/>
    <x v="1"/>
    <n v="0"/>
    <x v="476"/>
    <x v="1"/>
    <x v="0"/>
    <n v="1727.03"/>
  </r>
  <r>
    <n v="3182"/>
    <x v="1025"/>
    <x v="5"/>
    <x v="12"/>
    <n v="2"/>
    <n v="3078.92"/>
    <n v="6157.84"/>
    <x v="1"/>
    <n v="6157.84"/>
    <x v="4"/>
    <x v="4"/>
    <x v="1"/>
    <n v="1935.04"/>
  </r>
  <r>
    <n v="3183"/>
    <x v="2153"/>
    <x v="3"/>
    <x v="21"/>
    <n v="2"/>
    <m/>
    <n v="0"/>
    <x v="1"/>
    <n v="0"/>
    <x v="538"/>
    <x v="3"/>
    <x v="0"/>
    <n v="2332.84"/>
  </r>
  <r>
    <n v="3184"/>
    <x v="2154"/>
    <x v="2"/>
    <x v="13"/>
    <n v="3"/>
    <m/>
    <n v="0"/>
    <x v="111"/>
    <n v="0"/>
    <x v="61"/>
    <x v="5"/>
    <x v="0"/>
    <n v="386.15"/>
  </r>
  <r>
    <n v="3185"/>
    <x v="2155"/>
    <x v="0"/>
    <x v="20"/>
    <n v="2"/>
    <m/>
    <n v="0"/>
    <x v="1"/>
    <n v="0"/>
    <x v="45"/>
    <x v="1"/>
    <x v="0"/>
    <n v="-726.08"/>
  </r>
  <r>
    <n v="3186"/>
    <x v="2156"/>
    <x v="0"/>
    <x v="20"/>
    <n v="5"/>
    <m/>
    <n v="0"/>
    <x v="1"/>
    <n v="0"/>
    <x v="4"/>
    <x v="4"/>
    <x v="1"/>
    <n v="-637.71"/>
  </r>
  <r>
    <n v="3187"/>
    <x v="2157"/>
    <x v="5"/>
    <x v="11"/>
    <n v="6"/>
    <n v="3998.97"/>
    <n v="23993.82"/>
    <x v="1"/>
    <n v="23993.82"/>
    <x v="443"/>
    <x v="2"/>
    <x v="0"/>
    <n v="716.49"/>
  </r>
  <r>
    <n v="3188"/>
    <x v="2158"/>
    <x v="3"/>
    <x v="3"/>
    <n v="2"/>
    <n v="936.76"/>
    <n v="1873.52"/>
    <x v="1"/>
    <n v="1873.52"/>
    <x v="4"/>
    <x v="4"/>
    <x v="1"/>
    <n v="1308.49"/>
  </r>
  <r>
    <n v="3189"/>
    <x v="2159"/>
    <x v="2"/>
    <x v="17"/>
    <n v="2"/>
    <n v="1299.74"/>
    <n v="2599.48"/>
    <x v="48"/>
    <n v="2365.5268000000001"/>
    <x v="488"/>
    <x v="3"/>
    <x v="0"/>
    <n v="1607.44"/>
  </r>
  <r>
    <n v="3190"/>
    <x v="2160"/>
    <x v="2"/>
    <x v="10"/>
    <n v="2"/>
    <m/>
    <n v="0"/>
    <x v="87"/>
    <n v="0"/>
    <x v="4"/>
    <x v="4"/>
    <x v="1"/>
    <n v="620.19000000000005"/>
  </r>
  <r>
    <n v="3191"/>
    <x v="2161"/>
    <x v="1"/>
    <x v="18"/>
    <n v="2"/>
    <m/>
    <n v="0"/>
    <x v="1"/>
    <n v="0"/>
    <x v="339"/>
    <x v="0"/>
    <x v="0"/>
    <n v="173.16"/>
  </r>
  <r>
    <n v="3192"/>
    <x v="2162"/>
    <x v="0"/>
    <x v="9"/>
    <n v="-2"/>
    <n v="3568.45"/>
    <n v="-7136.9"/>
    <x v="62"/>
    <n v="-4496.2469999999994"/>
    <x v="145"/>
    <x v="0"/>
    <x v="0"/>
    <n v="1683.74"/>
  </r>
  <r>
    <n v="3193"/>
    <x v="2163"/>
    <x v="0"/>
    <x v="5"/>
    <n v="3"/>
    <m/>
    <n v="0"/>
    <x v="1"/>
    <n v="0"/>
    <x v="146"/>
    <x v="1"/>
    <x v="0"/>
    <n v="1236.54"/>
  </r>
  <r>
    <n v="1022"/>
    <x v="2164"/>
    <x v="2"/>
    <x v="10"/>
    <n v="2"/>
    <n v="3611.35"/>
    <n v="7222.7"/>
    <x v="1"/>
    <n v="7222.7"/>
    <x v="390"/>
    <x v="1"/>
    <x v="0"/>
    <n v="-200.64"/>
  </r>
  <r>
    <n v="3195"/>
    <x v="2165"/>
    <x v="1"/>
    <x v="18"/>
    <n v="2"/>
    <n v="958.16"/>
    <n v="1916.32"/>
    <x v="1"/>
    <n v="1916.32"/>
    <x v="501"/>
    <x v="0"/>
    <x v="0"/>
    <n v="2567.6999999999998"/>
  </r>
  <r>
    <n v="3196"/>
    <x v="2166"/>
    <x v="5"/>
    <x v="12"/>
    <n v="2"/>
    <n v="4897.24"/>
    <n v="9794.48"/>
    <x v="1"/>
    <n v="9794.48"/>
    <x v="43"/>
    <x v="5"/>
    <x v="1"/>
    <n v="2989.6"/>
  </r>
  <r>
    <n v="3197"/>
    <x v="2167"/>
    <x v="3"/>
    <x v="23"/>
    <n v="5"/>
    <m/>
    <n v="0"/>
    <x v="74"/>
    <n v="0"/>
    <x v="167"/>
    <x v="4"/>
    <x v="0"/>
    <n v="2348.85"/>
  </r>
  <r>
    <n v="3198"/>
    <x v="2168"/>
    <x v="1"/>
    <x v="1"/>
    <n v="2"/>
    <m/>
    <n v="0"/>
    <x v="1"/>
    <n v="0"/>
    <x v="72"/>
    <x v="5"/>
    <x v="0"/>
    <n v="816.72"/>
  </r>
  <r>
    <n v="1003"/>
    <x v="2169"/>
    <x v="0"/>
    <x v="0"/>
    <n v="2"/>
    <m/>
    <n v="0"/>
    <x v="1"/>
    <n v="0"/>
    <x v="539"/>
    <x v="2"/>
    <x v="0"/>
    <n v="-756.14"/>
  </r>
  <r>
    <n v="3200"/>
    <x v="2170"/>
    <x v="3"/>
    <x v="23"/>
    <n v="2"/>
    <m/>
    <n v="0"/>
    <x v="1"/>
    <n v="0"/>
    <x v="403"/>
    <x v="2"/>
    <x v="1"/>
    <n v="2779.48"/>
  </r>
  <r>
    <n v="3201"/>
    <x v="2171"/>
    <x v="2"/>
    <x v="10"/>
    <n v="2"/>
    <n v="3494.89"/>
    <n v="6989.78"/>
    <x v="1"/>
    <n v="6989.78"/>
    <x v="203"/>
    <x v="4"/>
    <x v="0"/>
    <n v="1036.32"/>
  </r>
  <r>
    <n v="1006"/>
    <x v="2172"/>
    <x v="2"/>
    <x v="2"/>
    <n v="2"/>
    <n v="2520.44"/>
    <n v="5040.88"/>
    <x v="6"/>
    <n v="4284.7479999999996"/>
    <x v="32"/>
    <x v="3"/>
    <x v="0"/>
    <n v="2408.2800000000002"/>
  </r>
  <r>
    <n v="3203"/>
    <x v="2173"/>
    <x v="1"/>
    <x v="18"/>
    <n v="-1"/>
    <n v="4883.5200000000004"/>
    <n v="-4883.5200000000004"/>
    <x v="1"/>
    <n v="-4883.5200000000004"/>
    <x v="4"/>
    <x v="5"/>
    <x v="0"/>
    <n v="1510.55"/>
  </r>
  <r>
    <n v="3204"/>
    <x v="2174"/>
    <x v="3"/>
    <x v="7"/>
    <n v="0"/>
    <n v="781.13"/>
    <n v="0"/>
    <x v="1"/>
    <n v="0"/>
    <x v="416"/>
    <x v="2"/>
    <x v="0"/>
    <n v="2822.85"/>
  </r>
  <r>
    <n v="3205"/>
    <x v="2175"/>
    <x v="2"/>
    <x v="10"/>
    <n v="2"/>
    <m/>
    <n v="0"/>
    <x v="1"/>
    <n v="0"/>
    <x v="528"/>
    <x v="4"/>
    <x v="0"/>
    <n v="1723.22"/>
  </r>
  <r>
    <n v="3206"/>
    <x v="2176"/>
    <x v="5"/>
    <x v="19"/>
    <n v="-1"/>
    <m/>
    <n v="0"/>
    <x v="96"/>
    <n v="0"/>
    <x v="376"/>
    <x v="0"/>
    <x v="0"/>
    <n v="550.46"/>
  </r>
  <r>
    <n v="3207"/>
    <x v="2177"/>
    <x v="0"/>
    <x v="9"/>
    <n v="2"/>
    <m/>
    <n v="0"/>
    <x v="1"/>
    <n v="0"/>
    <x v="4"/>
    <x v="1"/>
    <x v="0"/>
    <n v="-547.29"/>
  </r>
  <r>
    <n v="3208"/>
    <x v="2178"/>
    <x v="3"/>
    <x v="21"/>
    <n v="4"/>
    <n v="4280.7"/>
    <n v="17122.8"/>
    <x v="1"/>
    <n v="17122.8"/>
    <x v="420"/>
    <x v="5"/>
    <x v="1"/>
    <n v="68.36"/>
  </r>
  <r>
    <n v="3209"/>
    <x v="2179"/>
    <x v="2"/>
    <x v="17"/>
    <n v="2"/>
    <n v="3221.55"/>
    <n v="6443.1"/>
    <x v="1"/>
    <n v="6443.1"/>
    <x v="473"/>
    <x v="1"/>
    <x v="1"/>
    <n v="1996.4"/>
  </r>
  <r>
    <n v="3210"/>
    <x v="2180"/>
    <x v="0"/>
    <x v="20"/>
    <n v="0"/>
    <m/>
    <n v="0"/>
    <x v="1"/>
    <n v="0"/>
    <x v="172"/>
    <x v="2"/>
    <x v="1"/>
    <n v="1580.66"/>
  </r>
  <r>
    <n v="3211"/>
    <x v="2181"/>
    <x v="4"/>
    <x v="4"/>
    <n v="2"/>
    <n v="1624.28"/>
    <n v="3248.56"/>
    <x v="14"/>
    <n v="-942.08240000000012"/>
    <x v="338"/>
    <x v="3"/>
    <x v="1"/>
    <n v="1863.17"/>
  </r>
  <r>
    <n v="3212"/>
    <x v="1882"/>
    <x v="1"/>
    <x v="1"/>
    <n v="2"/>
    <n v="4606.8500000000004"/>
    <n v="9213.7000000000007"/>
    <x v="103"/>
    <n v="6633.8640000000005"/>
    <x v="274"/>
    <x v="1"/>
    <x v="0"/>
    <n v="188.97"/>
  </r>
  <r>
    <n v="3213"/>
    <x v="2182"/>
    <x v="1"/>
    <x v="15"/>
    <n v="6"/>
    <n v="1213.25"/>
    <n v="7279.5"/>
    <x v="44"/>
    <n v="-800.74500000000069"/>
    <x v="159"/>
    <x v="1"/>
    <x v="0"/>
    <n v="-82.79"/>
  </r>
  <r>
    <n v="3214"/>
    <x v="1067"/>
    <x v="0"/>
    <x v="20"/>
    <n v="2"/>
    <m/>
    <n v="0"/>
    <x v="1"/>
    <n v="0"/>
    <x v="266"/>
    <x v="2"/>
    <x v="0"/>
    <n v="1084.99"/>
  </r>
  <r>
    <n v="3215"/>
    <x v="2183"/>
    <x v="0"/>
    <x v="20"/>
    <n v="1"/>
    <n v="552.80999999999995"/>
    <n v="552.80999999999995"/>
    <x v="13"/>
    <n v="237.70830000000001"/>
    <x v="4"/>
    <x v="0"/>
    <x v="0"/>
    <n v="206.75"/>
  </r>
  <r>
    <n v="3216"/>
    <x v="2184"/>
    <x v="2"/>
    <x v="10"/>
    <n v="0"/>
    <m/>
    <n v="0"/>
    <x v="35"/>
    <n v="0"/>
    <x v="226"/>
    <x v="5"/>
    <x v="0"/>
    <n v="1989.05"/>
  </r>
  <r>
    <n v="3217"/>
    <x v="2185"/>
    <x v="5"/>
    <x v="12"/>
    <n v="2"/>
    <n v="1039.75"/>
    <n v="2079.5"/>
    <x v="1"/>
    <n v="2079.5"/>
    <x v="145"/>
    <x v="5"/>
    <x v="0"/>
    <n v="902.04"/>
  </r>
  <r>
    <n v="3218"/>
    <x v="2186"/>
    <x v="4"/>
    <x v="4"/>
    <n v="0"/>
    <m/>
    <n v="0"/>
    <x v="117"/>
    <n v="0"/>
    <x v="320"/>
    <x v="5"/>
    <x v="1"/>
    <n v="946.6"/>
  </r>
  <r>
    <n v="3219"/>
    <x v="2187"/>
    <x v="2"/>
    <x v="17"/>
    <n v="5"/>
    <m/>
    <n v="0"/>
    <x v="1"/>
    <n v="0"/>
    <x v="540"/>
    <x v="3"/>
    <x v="0"/>
    <n v="908.45"/>
  </r>
  <r>
    <n v="1006"/>
    <x v="1539"/>
    <x v="0"/>
    <x v="20"/>
    <n v="2"/>
    <n v="732.96"/>
    <n v="1465.92"/>
    <x v="3"/>
    <n v="1158.0768"/>
    <x v="4"/>
    <x v="4"/>
    <x v="1"/>
    <n v="-702.58"/>
  </r>
  <r>
    <n v="3221"/>
    <x v="2188"/>
    <x v="3"/>
    <x v="3"/>
    <n v="-2"/>
    <m/>
    <n v="0"/>
    <x v="1"/>
    <n v="0"/>
    <x v="97"/>
    <x v="5"/>
    <x v="0"/>
    <n v="2141.34"/>
  </r>
  <r>
    <n v="3222"/>
    <x v="2189"/>
    <x v="5"/>
    <x v="19"/>
    <n v="-2"/>
    <m/>
    <n v="0"/>
    <x v="1"/>
    <n v="0"/>
    <x v="241"/>
    <x v="5"/>
    <x v="1"/>
    <n v="-545.96"/>
  </r>
  <r>
    <n v="3223"/>
    <x v="2190"/>
    <x v="4"/>
    <x v="16"/>
    <n v="2"/>
    <m/>
    <n v="0"/>
    <x v="1"/>
    <n v="0"/>
    <x v="137"/>
    <x v="2"/>
    <x v="0"/>
    <n v="1477.87"/>
  </r>
  <r>
    <n v="3224"/>
    <x v="2191"/>
    <x v="0"/>
    <x v="0"/>
    <n v="6"/>
    <n v="878.95"/>
    <n v="5273.7000000000007"/>
    <x v="86"/>
    <n v="5220.9630000000006"/>
    <x v="187"/>
    <x v="2"/>
    <x v="0"/>
    <n v="2099.52"/>
  </r>
  <r>
    <n v="3225"/>
    <x v="2192"/>
    <x v="5"/>
    <x v="6"/>
    <n v="6"/>
    <m/>
    <n v="0"/>
    <x v="1"/>
    <n v="0"/>
    <x v="4"/>
    <x v="5"/>
    <x v="0"/>
    <n v="2666.58"/>
  </r>
  <r>
    <n v="3226"/>
    <x v="2193"/>
    <x v="5"/>
    <x v="12"/>
    <n v="2"/>
    <m/>
    <n v="0"/>
    <x v="1"/>
    <n v="0"/>
    <x v="541"/>
    <x v="3"/>
    <x v="0"/>
    <n v="2715.65"/>
  </r>
  <r>
    <n v="3227"/>
    <x v="2194"/>
    <x v="3"/>
    <x v="3"/>
    <n v="2"/>
    <m/>
    <n v="0"/>
    <x v="1"/>
    <n v="0"/>
    <x v="362"/>
    <x v="2"/>
    <x v="0"/>
    <n v="2498.2199999999998"/>
  </r>
  <r>
    <n v="3228"/>
    <x v="2195"/>
    <x v="4"/>
    <x v="16"/>
    <n v="2"/>
    <n v="2125.02"/>
    <n v="4250.04"/>
    <x v="1"/>
    <n v="4250.04"/>
    <x v="134"/>
    <x v="4"/>
    <x v="0"/>
    <n v="1154.25"/>
  </r>
  <r>
    <n v="3229"/>
    <x v="2196"/>
    <x v="3"/>
    <x v="23"/>
    <n v="-1"/>
    <m/>
    <n v="0"/>
    <x v="1"/>
    <n v="0"/>
    <x v="4"/>
    <x v="0"/>
    <x v="0"/>
    <n v="1178.45"/>
  </r>
  <r>
    <n v="3230"/>
    <x v="2197"/>
    <x v="1"/>
    <x v="1"/>
    <n v="3"/>
    <n v="4694.3100000000004"/>
    <n v="14082.93"/>
    <x v="48"/>
    <n v="12815.4663"/>
    <x v="4"/>
    <x v="3"/>
    <x v="1"/>
    <n v="-215.18"/>
  </r>
  <r>
    <n v="3231"/>
    <x v="2198"/>
    <x v="2"/>
    <x v="2"/>
    <n v="2"/>
    <m/>
    <n v="0"/>
    <x v="1"/>
    <n v="0"/>
    <x v="542"/>
    <x v="5"/>
    <x v="1"/>
    <n v="2837.72"/>
  </r>
  <r>
    <n v="3232"/>
    <x v="2199"/>
    <x v="1"/>
    <x v="1"/>
    <n v="-2"/>
    <m/>
    <n v="0"/>
    <x v="118"/>
    <n v="0"/>
    <x v="185"/>
    <x v="3"/>
    <x v="0"/>
    <n v="1045.42"/>
  </r>
  <r>
    <n v="3233"/>
    <x v="2200"/>
    <x v="4"/>
    <x v="4"/>
    <n v="2"/>
    <n v="2654.66"/>
    <n v="5309.32"/>
    <x v="1"/>
    <n v="5309.32"/>
    <x v="262"/>
    <x v="3"/>
    <x v="1"/>
    <n v="2008.66"/>
  </r>
  <r>
    <n v="3234"/>
    <x v="2201"/>
    <x v="0"/>
    <x v="20"/>
    <n v="2"/>
    <n v="2068.3000000000002"/>
    <n v="4136.6000000000004"/>
    <x v="1"/>
    <n v="4136.6000000000004"/>
    <x v="372"/>
    <x v="4"/>
    <x v="0"/>
    <n v="-896.79"/>
  </r>
  <r>
    <n v="3235"/>
    <x v="2202"/>
    <x v="2"/>
    <x v="2"/>
    <n v="2"/>
    <n v="3466.1"/>
    <n v="6932.2"/>
    <x v="1"/>
    <n v="6932.2"/>
    <x v="8"/>
    <x v="3"/>
    <x v="0"/>
    <n v="1011.48"/>
  </r>
  <r>
    <n v="3236"/>
    <x v="2203"/>
    <x v="1"/>
    <x v="22"/>
    <n v="2"/>
    <n v="3253.51"/>
    <n v="6507.02"/>
    <x v="97"/>
    <n v="2928.1590000000001"/>
    <x v="332"/>
    <x v="5"/>
    <x v="0"/>
    <n v="713.71"/>
  </r>
  <r>
    <n v="3237"/>
    <x v="2204"/>
    <x v="1"/>
    <x v="1"/>
    <n v="3"/>
    <m/>
    <n v="0"/>
    <x v="1"/>
    <n v="0"/>
    <x v="336"/>
    <x v="1"/>
    <x v="0"/>
    <n v="1866.05"/>
  </r>
  <r>
    <n v="3238"/>
    <x v="2205"/>
    <x v="4"/>
    <x v="14"/>
    <n v="2"/>
    <m/>
    <n v="0"/>
    <x v="57"/>
    <n v="0"/>
    <x v="273"/>
    <x v="0"/>
    <x v="0"/>
    <n v="744.17"/>
  </r>
  <r>
    <n v="3239"/>
    <x v="2206"/>
    <x v="0"/>
    <x v="9"/>
    <n v="1"/>
    <n v="4585.71"/>
    <n v="4585.71"/>
    <x v="1"/>
    <n v="4585.71"/>
    <x v="270"/>
    <x v="1"/>
    <x v="1"/>
    <n v="1277.56"/>
  </r>
  <r>
    <n v="3240"/>
    <x v="2207"/>
    <x v="5"/>
    <x v="6"/>
    <n v="2"/>
    <m/>
    <n v="0"/>
    <x v="1"/>
    <n v="0"/>
    <x v="100"/>
    <x v="3"/>
    <x v="1"/>
    <n v="940.05"/>
  </r>
  <r>
    <n v="1026"/>
    <x v="2208"/>
    <x v="4"/>
    <x v="4"/>
    <n v="0"/>
    <n v="3186.11"/>
    <n v="0"/>
    <x v="123"/>
    <n v="0"/>
    <x v="543"/>
    <x v="1"/>
    <x v="0"/>
    <n v="2939.87"/>
  </r>
  <r>
    <n v="3242"/>
    <x v="2209"/>
    <x v="2"/>
    <x v="2"/>
    <n v="2"/>
    <m/>
    <n v="0"/>
    <x v="117"/>
    <n v="0"/>
    <x v="391"/>
    <x v="2"/>
    <x v="1"/>
    <n v="2996.49"/>
  </r>
  <r>
    <n v="3243"/>
    <x v="2210"/>
    <x v="5"/>
    <x v="19"/>
    <n v="4"/>
    <m/>
    <n v="0"/>
    <x v="57"/>
    <n v="0"/>
    <x v="4"/>
    <x v="0"/>
    <x v="1"/>
    <n v="1345.46"/>
  </r>
  <r>
    <n v="3244"/>
    <x v="2211"/>
    <x v="3"/>
    <x v="21"/>
    <n v="-2"/>
    <m/>
    <n v="0"/>
    <x v="41"/>
    <n v="0"/>
    <x v="311"/>
    <x v="1"/>
    <x v="1"/>
    <n v="2205.34"/>
  </r>
  <r>
    <n v="3245"/>
    <x v="2212"/>
    <x v="2"/>
    <x v="10"/>
    <n v="2"/>
    <m/>
    <n v="0"/>
    <x v="1"/>
    <n v="0"/>
    <x v="289"/>
    <x v="4"/>
    <x v="1"/>
    <n v="1403.98"/>
  </r>
  <r>
    <n v="3246"/>
    <x v="2213"/>
    <x v="0"/>
    <x v="5"/>
    <n v="2"/>
    <n v="4842.74"/>
    <n v="9685.48"/>
    <x v="1"/>
    <n v="9685.48"/>
    <x v="4"/>
    <x v="5"/>
    <x v="0"/>
    <n v="2628.24"/>
  </r>
  <r>
    <n v="3247"/>
    <x v="2214"/>
    <x v="5"/>
    <x v="6"/>
    <n v="2"/>
    <m/>
    <n v="0"/>
    <x v="1"/>
    <n v="0"/>
    <x v="396"/>
    <x v="0"/>
    <x v="1"/>
    <n v="2182.4899999999998"/>
  </r>
  <r>
    <n v="3248"/>
    <x v="2215"/>
    <x v="5"/>
    <x v="6"/>
    <n v="2"/>
    <n v="2061.91"/>
    <n v="4123.82"/>
    <x v="1"/>
    <n v="4123.82"/>
    <x v="441"/>
    <x v="1"/>
    <x v="0"/>
    <n v="-729.1"/>
  </r>
  <r>
    <n v="3249"/>
    <x v="2216"/>
    <x v="4"/>
    <x v="4"/>
    <n v="2"/>
    <m/>
    <n v="0"/>
    <x v="1"/>
    <n v="0"/>
    <x v="4"/>
    <x v="0"/>
    <x v="0"/>
    <n v="1787.82"/>
  </r>
  <r>
    <n v="3250"/>
    <x v="2217"/>
    <x v="4"/>
    <x v="4"/>
    <n v="2"/>
    <m/>
    <n v="0"/>
    <x v="1"/>
    <n v="0"/>
    <x v="4"/>
    <x v="3"/>
    <x v="0"/>
    <n v="2200.6"/>
  </r>
  <r>
    <n v="3251"/>
    <x v="2218"/>
    <x v="5"/>
    <x v="11"/>
    <n v="2"/>
    <m/>
    <n v="0"/>
    <x v="1"/>
    <n v="0"/>
    <x v="48"/>
    <x v="0"/>
    <x v="0"/>
    <n v="2977.81"/>
  </r>
  <r>
    <n v="3252"/>
    <x v="2219"/>
    <x v="2"/>
    <x v="13"/>
    <n v="2"/>
    <m/>
    <n v="0"/>
    <x v="1"/>
    <n v="0"/>
    <x v="39"/>
    <x v="1"/>
    <x v="1"/>
    <n v="-544.70000000000005"/>
  </r>
  <r>
    <n v="3253"/>
    <x v="2220"/>
    <x v="1"/>
    <x v="15"/>
    <n v="5"/>
    <n v="4429.95"/>
    <n v="22149.75"/>
    <x v="90"/>
    <n v="14397.3375"/>
    <x v="356"/>
    <x v="4"/>
    <x v="0"/>
    <n v="-746.94"/>
  </r>
  <r>
    <n v="3254"/>
    <x v="2221"/>
    <x v="1"/>
    <x v="15"/>
    <n v="-2"/>
    <m/>
    <n v="0"/>
    <x v="79"/>
    <n v="0"/>
    <x v="437"/>
    <x v="5"/>
    <x v="0"/>
    <n v="2285.19"/>
  </r>
  <r>
    <n v="3255"/>
    <x v="2222"/>
    <x v="3"/>
    <x v="21"/>
    <n v="6"/>
    <n v="3904.86"/>
    <n v="23429.16"/>
    <x v="1"/>
    <n v="23429.16"/>
    <x v="130"/>
    <x v="2"/>
    <x v="0"/>
    <n v="1504.25"/>
  </r>
  <r>
    <n v="3256"/>
    <x v="2223"/>
    <x v="4"/>
    <x v="4"/>
    <n v="2"/>
    <m/>
    <n v="0"/>
    <x v="1"/>
    <n v="0"/>
    <x v="243"/>
    <x v="2"/>
    <x v="1"/>
    <n v="298.94"/>
  </r>
  <r>
    <n v="3257"/>
    <x v="373"/>
    <x v="4"/>
    <x v="16"/>
    <n v="-2"/>
    <m/>
    <n v="0"/>
    <x v="1"/>
    <n v="0"/>
    <x v="267"/>
    <x v="4"/>
    <x v="1"/>
    <n v="-271.48"/>
  </r>
  <r>
    <n v="3258"/>
    <x v="2224"/>
    <x v="2"/>
    <x v="2"/>
    <n v="2"/>
    <m/>
    <n v="0"/>
    <x v="1"/>
    <n v="0"/>
    <x v="357"/>
    <x v="1"/>
    <x v="1"/>
    <n v="682.17"/>
  </r>
  <r>
    <n v="3259"/>
    <x v="2225"/>
    <x v="2"/>
    <x v="17"/>
    <n v="2"/>
    <m/>
    <n v="0"/>
    <x v="1"/>
    <n v="0"/>
    <x v="533"/>
    <x v="2"/>
    <x v="1"/>
    <n v="2448.2199999999998"/>
  </r>
  <r>
    <n v="1024"/>
    <x v="2226"/>
    <x v="3"/>
    <x v="21"/>
    <n v="-2"/>
    <n v="940.64"/>
    <n v="-1881.28"/>
    <x v="93"/>
    <n v="-620.8223999999999"/>
    <x v="123"/>
    <x v="2"/>
    <x v="0"/>
    <n v="1552.9"/>
  </r>
  <r>
    <n v="3261"/>
    <x v="2227"/>
    <x v="1"/>
    <x v="18"/>
    <n v="-1"/>
    <m/>
    <n v="0"/>
    <x v="1"/>
    <n v="0"/>
    <x v="206"/>
    <x v="5"/>
    <x v="0"/>
    <n v="-602.39"/>
  </r>
  <r>
    <n v="3262"/>
    <x v="2228"/>
    <x v="3"/>
    <x v="23"/>
    <n v="2"/>
    <n v="3727.53"/>
    <n v="7455.06"/>
    <x v="1"/>
    <n v="7455.06"/>
    <x v="4"/>
    <x v="1"/>
    <x v="0"/>
    <n v="29.62"/>
  </r>
  <r>
    <n v="3263"/>
    <x v="2229"/>
    <x v="2"/>
    <x v="10"/>
    <n v="6"/>
    <n v="3121.49"/>
    <n v="18728.939999999999"/>
    <x v="1"/>
    <n v="18728.939999999999"/>
    <x v="208"/>
    <x v="3"/>
    <x v="1"/>
    <n v="1156.27"/>
  </r>
  <r>
    <n v="3264"/>
    <x v="2230"/>
    <x v="5"/>
    <x v="12"/>
    <n v="2"/>
    <n v="944.36"/>
    <n v="1888.72"/>
    <x v="35"/>
    <n v="1756.5095999999999"/>
    <x v="280"/>
    <x v="4"/>
    <x v="0"/>
    <n v="1133.74"/>
  </r>
  <r>
    <n v="3265"/>
    <x v="2231"/>
    <x v="1"/>
    <x v="22"/>
    <n v="-1"/>
    <n v="1882.93"/>
    <n v="-1882.93"/>
    <x v="1"/>
    <n v="-1882.93"/>
    <x v="84"/>
    <x v="3"/>
    <x v="1"/>
    <n v="520.85"/>
  </r>
  <r>
    <n v="3266"/>
    <x v="2232"/>
    <x v="4"/>
    <x v="14"/>
    <n v="2"/>
    <n v="3349.58"/>
    <n v="6699.16"/>
    <x v="1"/>
    <n v="6699.16"/>
    <x v="4"/>
    <x v="2"/>
    <x v="1"/>
    <n v="1085.2"/>
  </r>
  <r>
    <n v="3267"/>
    <x v="2233"/>
    <x v="5"/>
    <x v="11"/>
    <n v="1"/>
    <n v="3965.8"/>
    <n v="3965.8"/>
    <x v="54"/>
    <n v="2062.2160000000003"/>
    <x v="13"/>
    <x v="3"/>
    <x v="1"/>
    <n v="1222.8499999999999"/>
  </r>
  <r>
    <n v="1045"/>
    <x v="2234"/>
    <x v="3"/>
    <x v="7"/>
    <n v="-2"/>
    <m/>
    <n v="0"/>
    <x v="1"/>
    <n v="0"/>
    <x v="544"/>
    <x v="5"/>
    <x v="0"/>
    <n v="454.74"/>
  </r>
  <r>
    <n v="3269"/>
    <x v="2235"/>
    <x v="4"/>
    <x v="4"/>
    <n v="2"/>
    <n v="2998.25"/>
    <n v="5996.5"/>
    <x v="7"/>
    <n v="-1139.3349999999996"/>
    <x v="303"/>
    <x v="1"/>
    <x v="0"/>
    <n v="-781.65"/>
  </r>
  <r>
    <n v="3270"/>
    <x v="2236"/>
    <x v="4"/>
    <x v="8"/>
    <n v="3"/>
    <n v="3190.74"/>
    <n v="9572.2199999999993"/>
    <x v="78"/>
    <n v="382.88880000000029"/>
    <x v="4"/>
    <x v="1"/>
    <x v="0"/>
    <n v="2195.96"/>
  </r>
  <r>
    <n v="3271"/>
    <x v="2237"/>
    <x v="3"/>
    <x v="21"/>
    <n v="0"/>
    <n v="2672.26"/>
    <n v="0"/>
    <x v="69"/>
    <n v="0"/>
    <x v="301"/>
    <x v="1"/>
    <x v="0"/>
    <n v="722.57"/>
  </r>
  <r>
    <n v="3272"/>
    <x v="1580"/>
    <x v="2"/>
    <x v="17"/>
    <n v="3"/>
    <n v="4236.45"/>
    <n v="12709.349999999999"/>
    <x v="1"/>
    <n v="12709.349999999999"/>
    <x v="117"/>
    <x v="2"/>
    <x v="0"/>
    <n v="-849.83"/>
  </r>
  <r>
    <n v="3273"/>
    <x v="1248"/>
    <x v="2"/>
    <x v="17"/>
    <n v="2"/>
    <n v="4089.68"/>
    <n v="8179.36"/>
    <x v="1"/>
    <n v="8179.36"/>
    <x v="298"/>
    <x v="3"/>
    <x v="1"/>
    <n v="-713.14"/>
  </r>
  <r>
    <n v="3274"/>
    <x v="2238"/>
    <x v="5"/>
    <x v="6"/>
    <n v="-2"/>
    <n v="4409.22"/>
    <n v="-8818.44"/>
    <x v="1"/>
    <n v="-8818.44"/>
    <x v="545"/>
    <x v="0"/>
    <x v="0"/>
    <n v="2886.62"/>
  </r>
  <r>
    <n v="3275"/>
    <x v="2239"/>
    <x v="3"/>
    <x v="21"/>
    <n v="6"/>
    <m/>
    <n v="0"/>
    <x v="1"/>
    <n v="0"/>
    <x v="320"/>
    <x v="1"/>
    <x v="0"/>
    <n v="-733.06"/>
  </r>
  <r>
    <n v="3276"/>
    <x v="2240"/>
    <x v="4"/>
    <x v="8"/>
    <n v="6"/>
    <m/>
    <n v="0"/>
    <x v="1"/>
    <n v="0"/>
    <x v="52"/>
    <x v="5"/>
    <x v="0"/>
    <n v="-659.65"/>
  </r>
  <r>
    <n v="3277"/>
    <x v="2241"/>
    <x v="1"/>
    <x v="18"/>
    <n v="2"/>
    <n v="3583.06"/>
    <n v="7166.12"/>
    <x v="1"/>
    <n v="7166.12"/>
    <x v="4"/>
    <x v="1"/>
    <x v="0"/>
    <n v="2185.25"/>
  </r>
  <r>
    <n v="3278"/>
    <x v="2242"/>
    <x v="3"/>
    <x v="3"/>
    <n v="2"/>
    <n v="3767.69"/>
    <n v="7535.38"/>
    <x v="28"/>
    <n v="4069.1052000000004"/>
    <x v="10"/>
    <x v="3"/>
    <x v="0"/>
    <n v="746.84"/>
  </r>
  <r>
    <n v="3279"/>
    <x v="2243"/>
    <x v="3"/>
    <x v="21"/>
    <n v="0"/>
    <n v="4643.96"/>
    <n v="0"/>
    <x v="83"/>
    <n v="0"/>
    <x v="429"/>
    <x v="3"/>
    <x v="0"/>
    <n v="2569.86"/>
  </r>
  <r>
    <n v="3280"/>
    <x v="2244"/>
    <x v="5"/>
    <x v="12"/>
    <n v="2"/>
    <m/>
    <n v="0"/>
    <x v="1"/>
    <n v="0"/>
    <x v="546"/>
    <x v="4"/>
    <x v="0"/>
    <n v="601.65"/>
  </r>
  <r>
    <n v="3281"/>
    <x v="2245"/>
    <x v="1"/>
    <x v="15"/>
    <n v="2"/>
    <m/>
    <n v="0"/>
    <x v="37"/>
    <n v="0"/>
    <x v="547"/>
    <x v="3"/>
    <x v="0"/>
    <n v="1469.72"/>
  </r>
  <r>
    <n v="3282"/>
    <x v="2246"/>
    <x v="0"/>
    <x v="20"/>
    <n v="2"/>
    <n v="4405.96"/>
    <n v="8811.92"/>
    <x v="103"/>
    <n v="6344.5824000000002"/>
    <x v="526"/>
    <x v="3"/>
    <x v="1"/>
    <n v="503.27"/>
  </r>
  <r>
    <n v="3283"/>
    <x v="2247"/>
    <x v="5"/>
    <x v="6"/>
    <n v="3"/>
    <m/>
    <n v="0"/>
    <x v="1"/>
    <n v="0"/>
    <x v="4"/>
    <x v="2"/>
    <x v="0"/>
    <n v="1653.09"/>
  </r>
  <r>
    <n v="3284"/>
    <x v="2248"/>
    <x v="3"/>
    <x v="7"/>
    <n v="2"/>
    <m/>
    <n v="0"/>
    <x v="1"/>
    <n v="0"/>
    <x v="14"/>
    <x v="0"/>
    <x v="0"/>
    <n v="1560.64"/>
  </r>
  <r>
    <n v="3285"/>
    <x v="2249"/>
    <x v="4"/>
    <x v="16"/>
    <n v="0"/>
    <n v="4347.43"/>
    <n v="0"/>
    <x v="1"/>
    <n v="0"/>
    <x v="358"/>
    <x v="0"/>
    <x v="0"/>
    <n v="1440.27"/>
  </r>
  <r>
    <n v="3286"/>
    <x v="2250"/>
    <x v="1"/>
    <x v="18"/>
    <n v="-2"/>
    <m/>
    <n v="0"/>
    <x v="1"/>
    <n v="0"/>
    <x v="44"/>
    <x v="4"/>
    <x v="0"/>
    <n v="2616.2800000000002"/>
  </r>
  <r>
    <n v="3287"/>
    <x v="165"/>
    <x v="1"/>
    <x v="22"/>
    <n v="2"/>
    <m/>
    <n v="0"/>
    <x v="3"/>
    <n v="0"/>
    <x v="548"/>
    <x v="3"/>
    <x v="0"/>
    <n v="1684.69"/>
  </r>
  <r>
    <n v="3288"/>
    <x v="2251"/>
    <x v="1"/>
    <x v="15"/>
    <n v="5"/>
    <m/>
    <n v="0"/>
    <x v="1"/>
    <n v="0"/>
    <x v="4"/>
    <x v="3"/>
    <x v="0"/>
    <n v="1657.65"/>
  </r>
  <r>
    <n v="3289"/>
    <x v="2252"/>
    <x v="3"/>
    <x v="7"/>
    <n v="2"/>
    <m/>
    <n v="0"/>
    <x v="16"/>
    <n v="0"/>
    <x v="4"/>
    <x v="1"/>
    <x v="1"/>
    <n v="-272.83999999999997"/>
  </r>
  <r>
    <n v="3290"/>
    <x v="1238"/>
    <x v="1"/>
    <x v="1"/>
    <n v="2"/>
    <m/>
    <n v="0"/>
    <x v="1"/>
    <n v="0"/>
    <x v="228"/>
    <x v="5"/>
    <x v="1"/>
    <n v="1001.31"/>
  </r>
  <r>
    <n v="3291"/>
    <x v="2253"/>
    <x v="3"/>
    <x v="3"/>
    <n v="3"/>
    <m/>
    <n v="0"/>
    <x v="2"/>
    <n v="0"/>
    <x v="409"/>
    <x v="0"/>
    <x v="0"/>
    <n v="1907.94"/>
  </r>
  <r>
    <n v="3292"/>
    <x v="2254"/>
    <x v="4"/>
    <x v="8"/>
    <n v="2"/>
    <m/>
    <n v="0"/>
    <x v="126"/>
    <n v="0"/>
    <x v="115"/>
    <x v="4"/>
    <x v="1"/>
    <n v="-774.38"/>
  </r>
  <r>
    <n v="1045"/>
    <x v="2255"/>
    <x v="4"/>
    <x v="16"/>
    <n v="4"/>
    <m/>
    <n v="0"/>
    <x v="98"/>
    <n v="0"/>
    <x v="69"/>
    <x v="5"/>
    <x v="0"/>
    <n v="1009.78"/>
  </r>
  <r>
    <n v="3294"/>
    <x v="2256"/>
    <x v="4"/>
    <x v="8"/>
    <n v="4"/>
    <n v="1316.9"/>
    <n v="5267.6"/>
    <x v="112"/>
    <n v="4688.1640000000007"/>
    <x v="428"/>
    <x v="0"/>
    <x v="0"/>
    <n v="2743.65"/>
  </r>
  <r>
    <n v="3295"/>
    <x v="2257"/>
    <x v="4"/>
    <x v="4"/>
    <n v="2"/>
    <m/>
    <n v="0"/>
    <x v="1"/>
    <n v="0"/>
    <x v="4"/>
    <x v="4"/>
    <x v="0"/>
    <n v="-623.54999999999995"/>
  </r>
  <r>
    <n v="1022"/>
    <x v="2258"/>
    <x v="4"/>
    <x v="4"/>
    <n v="5"/>
    <m/>
    <n v="0"/>
    <x v="84"/>
    <n v="0"/>
    <x v="4"/>
    <x v="1"/>
    <x v="1"/>
    <n v="-63"/>
  </r>
  <r>
    <n v="3297"/>
    <x v="2259"/>
    <x v="2"/>
    <x v="13"/>
    <n v="2"/>
    <m/>
    <n v="0"/>
    <x v="1"/>
    <n v="0"/>
    <x v="208"/>
    <x v="0"/>
    <x v="0"/>
    <n v="1746.36"/>
  </r>
  <r>
    <n v="3298"/>
    <x v="2260"/>
    <x v="3"/>
    <x v="3"/>
    <n v="1"/>
    <n v="2124.13"/>
    <n v="2124.13"/>
    <x v="110"/>
    <n v="318.61950000000007"/>
    <x v="222"/>
    <x v="4"/>
    <x v="0"/>
    <n v="1126.81"/>
  </r>
  <r>
    <n v="3299"/>
    <x v="2261"/>
    <x v="1"/>
    <x v="22"/>
    <n v="-1"/>
    <n v="4090.34"/>
    <n v="-4090.34"/>
    <x v="38"/>
    <n v="-40.90340000000004"/>
    <x v="326"/>
    <x v="2"/>
    <x v="1"/>
    <n v="1676.64"/>
  </r>
  <r>
    <n v="3300"/>
    <x v="2262"/>
    <x v="3"/>
    <x v="7"/>
    <n v="5"/>
    <m/>
    <n v="0"/>
    <x v="22"/>
    <n v="0"/>
    <x v="4"/>
    <x v="3"/>
    <x v="0"/>
    <n v="525.1"/>
  </r>
  <r>
    <n v="3301"/>
    <x v="2263"/>
    <x v="4"/>
    <x v="16"/>
    <n v="5"/>
    <n v="2590.44"/>
    <n v="12952.2"/>
    <x v="1"/>
    <n v="12952.2"/>
    <x v="327"/>
    <x v="4"/>
    <x v="0"/>
    <n v="-613.96"/>
  </r>
  <r>
    <n v="3302"/>
    <x v="2264"/>
    <x v="0"/>
    <x v="9"/>
    <n v="3"/>
    <m/>
    <n v="0"/>
    <x v="1"/>
    <n v="0"/>
    <x v="8"/>
    <x v="0"/>
    <x v="1"/>
    <n v="2938.26"/>
  </r>
  <r>
    <n v="3303"/>
    <x v="2265"/>
    <x v="2"/>
    <x v="13"/>
    <n v="2"/>
    <m/>
    <n v="0"/>
    <x v="1"/>
    <n v="0"/>
    <x v="463"/>
    <x v="4"/>
    <x v="0"/>
    <n v="295.89"/>
  </r>
  <r>
    <n v="3304"/>
    <x v="2266"/>
    <x v="3"/>
    <x v="21"/>
    <n v="2"/>
    <n v="4452.04"/>
    <n v="8904.08"/>
    <x v="1"/>
    <n v="8904.08"/>
    <x v="115"/>
    <x v="3"/>
    <x v="0"/>
    <n v="2932.37"/>
  </r>
  <r>
    <n v="3305"/>
    <x v="2267"/>
    <x v="0"/>
    <x v="5"/>
    <n v="2"/>
    <m/>
    <n v="0"/>
    <x v="1"/>
    <n v="0"/>
    <x v="372"/>
    <x v="2"/>
    <x v="0"/>
    <n v="1362.42"/>
  </r>
  <r>
    <n v="3306"/>
    <x v="2268"/>
    <x v="4"/>
    <x v="8"/>
    <n v="2"/>
    <n v="4536.09"/>
    <n v="9072.18"/>
    <x v="1"/>
    <n v="9072.18"/>
    <x v="4"/>
    <x v="4"/>
    <x v="0"/>
    <n v="1015.71"/>
  </r>
  <r>
    <n v="3307"/>
    <x v="2269"/>
    <x v="3"/>
    <x v="7"/>
    <n v="2"/>
    <n v="3896.07"/>
    <n v="7792.14"/>
    <x v="1"/>
    <n v="7792.14"/>
    <x v="292"/>
    <x v="5"/>
    <x v="0"/>
    <n v="409.14"/>
  </r>
  <r>
    <n v="3308"/>
    <x v="2270"/>
    <x v="1"/>
    <x v="18"/>
    <n v="2"/>
    <m/>
    <n v="0"/>
    <x v="1"/>
    <n v="0"/>
    <x v="352"/>
    <x v="1"/>
    <x v="0"/>
    <n v="1711.84"/>
  </r>
  <r>
    <n v="3309"/>
    <x v="2271"/>
    <x v="5"/>
    <x v="6"/>
    <n v="-2"/>
    <n v="3944.46"/>
    <n v="-7888.92"/>
    <x v="1"/>
    <n v="-7888.92"/>
    <x v="549"/>
    <x v="1"/>
    <x v="0"/>
    <n v="1392.37"/>
  </r>
  <r>
    <n v="3310"/>
    <x v="2272"/>
    <x v="5"/>
    <x v="12"/>
    <n v="2"/>
    <m/>
    <n v="0"/>
    <x v="1"/>
    <n v="0"/>
    <x v="550"/>
    <x v="5"/>
    <x v="0"/>
    <n v="463.6"/>
  </r>
  <r>
    <n v="3311"/>
    <x v="2273"/>
    <x v="5"/>
    <x v="11"/>
    <n v="-1"/>
    <n v="3108.69"/>
    <n v="-3108.69"/>
    <x v="1"/>
    <n v="-3108.69"/>
    <x v="24"/>
    <x v="0"/>
    <x v="0"/>
    <n v="2986.53"/>
  </r>
  <r>
    <n v="3312"/>
    <x v="2274"/>
    <x v="4"/>
    <x v="14"/>
    <n v="2"/>
    <n v="4878.8100000000004"/>
    <n v="9757.6200000000008"/>
    <x v="1"/>
    <n v="9757.6200000000008"/>
    <x v="498"/>
    <x v="3"/>
    <x v="0"/>
    <n v="327.38"/>
  </r>
  <r>
    <n v="3313"/>
    <x v="2275"/>
    <x v="5"/>
    <x v="19"/>
    <n v="5"/>
    <m/>
    <n v="0"/>
    <x v="75"/>
    <n v="0"/>
    <x v="111"/>
    <x v="3"/>
    <x v="0"/>
    <n v="2022.75"/>
  </r>
  <r>
    <n v="3314"/>
    <x v="2276"/>
    <x v="1"/>
    <x v="18"/>
    <n v="2"/>
    <n v="2537.59"/>
    <n v="5075.18"/>
    <x v="1"/>
    <n v="5075.18"/>
    <x v="190"/>
    <x v="5"/>
    <x v="1"/>
    <n v="2708.81"/>
  </r>
  <r>
    <n v="3315"/>
    <x v="2277"/>
    <x v="5"/>
    <x v="19"/>
    <n v="4"/>
    <m/>
    <n v="0"/>
    <x v="1"/>
    <n v="0"/>
    <x v="4"/>
    <x v="4"/>
    <x v="0"/>
    <n v="2293.04"/>
  </r>
  <r>
    <n v="3316"/>
    <x v="2278"/>
    <x v="0"/>
    <x v="0"/>
    <n v="2"/>
    <m/>
    <n v="0"/>
    <x v="1"/>
    <n v="0"/>
    <x v="305"/>
    <x v="2"/>
    <x v="0"/>
    <n v="1628.03"/>
  </r>
  <r>
    <n v="3317"/>
    <x v="2279"/>
    <x v="1"/>
    <x v="22"/>
    <n v="2"/>
    <n v="2140.2199999999998"/>
    <n v="4280.4399999999996"/>
    <x v="1"/>
    <n v="4280.4399999999996"/>
    <x v="158"/>
    <x v="1"/>
    <x v="1"/>
    <n v="-415.92"/>
  </r>
  <r>
    <n v="3318"/>
    <x v="2280"/>
    <x v="3"/>
    <x v="21"/>
    <n v="2"/>
    <n v="2912.6"/>
    <n v="5825.2"/>
    <x v="1"/>
    <n v="5825.2"/>
    <x v="292"/>
    <x v="0"/>
    <x v="0"/>
    <n v="1847.45"/>
  </r>
  <r>
    <n v="3319"/>
    <x v="2281"/>
    <x v="2"/>
    <x v="2"/>
    <n v="2"/>
    <m/>
    <n v="0"/>
    <x v="1"/>
    <n v="0"/>
    <x v="184"/>
    <x v="1"/>
    <x v="0"/>
    <n v="1419.51"/>
  </r>
  <r>
    <n v="3320"/>
    <x v="2282"/>
    <x v="2"/>
    <x v="13"/>
    <n v="2"/>
    <m/>
    <n v="0"/>
    <x v="1"/>
    <n v="0"/>
    <x v="551"/>
    <x v="5"/>
    <x v="0"/>
    <n v="-251.71"/>
  </r>
  <r>
    <n v="3321"/>
    <x v="2283"/>
    <x v="1"/>
    <x v="15"/>
    <n v="5"/>
    <n v="1804.56"/>
    <n v="9022.7999999999993"/>
    <x v="1"/>
    <n v="9022.7999999999993"/>
    <x v="552"/>
    <x v="4"/>
    <x v="0"/>
    <n v="2534.37"/>
  </r>
  <r>
    <n v="3322"/>
    <x v="2284"/>
    <x v="4"/>
    <x v="8"/>
    <n v="2"/>
    <n v="4480.24"/>
    <n v="8960.48"/>
    <x v="1"/>
    <n v="8960.48"/>
    <x v="445"/>
    <x v="0"/>
    <x v="0"/>
    <n v="397.15"/>
  </r>
  <r>
    <n v="3323"/>
    <x v="2285"/>
    <x v="2"/>
    <x v="17"/>
    <n v="3"/>
    <n v="4009.45"/>
    <n v="12028.349999999999"/>
    <x v="1"/>
    <n v="12028.349999999999"/>
    <x v="4"/>
    <x v="4"/>
    <x v="0"/>
    <n v="-495.81"/>
  </r>
  <r>
    <n v="3324"/>
    <x v="2286"/>
    <x v="5"/>
    <x v="6"/>
    <n v="2"/>
    <m/>
    <n v="0"/>
    <x v="115"/>
    <n v="0"/>
    <x v="4"/>
    <x v="1"/>
    <x v="0"/>
    <n v="-214.24"/>
  </r>
  <r>
    <n v="3325"/>
    <x v="2287"/>
    <x v="5"/>
    <x v="11"/>
    <n v="6"/>
    <m/>
    <n v="0"/>
    <x v="76"/>
    <n v="0"/>
    <x v="102"/>
    <x v="3"/>
    <x v="0"/>
    <n v="686.84"/>
  </r>
  <r>
    <n v="3326"/>
    <x v="2288"/>
    <x v="2"/>
    <x v="17"/>
    <n v="-2"/>
    <n v="3047.68"/>
    <n v="-6095.36"/>
    <x v="1"/>
    <n v="-6095.36"/>
    <x v="9"/>
    <x v="3"/>
    <x v="0"/>
    <n v="827.95"/>
  </r>
  <r>
    <n v="3327"/>
    <x v="2289"/>
    <x v="0"/>
    <x v="9"/>
    <n v="2"/>
    <m/>
    <n v="0"/>
    <x v="78"/>
    <n v="0"/>
    <x v="4"/>
    <x v="3"/>
    <x v="0"/>
    <n v="-361.79"/>
  </r>
  <r>
    <n v="3328"/>
    <x v="2290"/>
    <x v="0"/>
    <x v="5"/>
    <n v="1"/>
    <n v="4390.32"/>
    <n v="4390.32"/>
    <x v="1"/>
    <n v="4390.32"/>
    <x v="435"/>
    <x v="3"/>
    <x v="0"/>
    <n v="2785.75"/>
  </r>
  <r>
    <n v="3329"/>
    <x v="2291"/>
    <x v="1"/>
    <x v="1"/>
    <n v="0"/>
    <m/>
    <n v="0"/>
    <x v="1"/>
    <n v="0"/>
    <x v="47"/>
    <x v="0"/>
    <x v="0"/>
    <n v="1954.02"/>
  </r>
  <r>
    <n v="3330"/>
    <x v="2292"/>
    <x v="2"/>
    <x v="2"/>
    <n v="6"/>
    <n v="2217.9499999999998"/>
    <n v="13307.699999999999"/>
    <x v="1"/>
    <n v="13307.699999999999"/>
    <x v="3"/>
    <x v="4"/>
    <x v="0"/>
    <n v="146.52000000000001"/>
  </r>
  <r>
    <n v="1012"/>
    <x v="2293"/>
    <x v="1"/>
    <x v="18"/>
    <n v="2"/>
    <n v="1364.73"/>
    <n v="2729.46"/>
    <x v="58"/>
    <n v="791.54340000000013"/>
    <x v="236"/>
    <x v="2"/>
    <x v="0"/>
    <n v="-909.85"/>
  </r>
  <r>
    <n v="3332"/>
    <x v="2294"/>
    <x v="2"/>
    <x v="2"/>
    <n v="5"/>
    <n v="1297.04"/>
    <n v="6485.2"/>
    <x v="118"/>
    <n v="4539.6399999999994"/>
    <x v="4"/>
    <x v="4"/>
    <x v="0"/>
    <n v="2887.23"/>
  </r>
  <r>
    <n v="3333"/>
    <x v="2295"/>
    <x v="1"/>
    <x v="22"/>
    <n v="-2"/>
    <m/>
    <n v="0"/>
    <x v="1"/>
    <n v="0"/>
    <x v="553"/>
    <x v="2"/>
    <x v="0"/>
    <n v="617.99"/>
  </r>
  <r>
    <n v="3334"/>
    <x v="2296"/>
    <x v="0"/>
    <x v="5"/>
    <n v="2"/>
    <m/>
    <n v="0"/>
    <x v="1"/>
    <n v="0"/>
    <x v="324"/>
    <x v="4"/>
    <x v="1"/>
    <n v="-933.34"/>
  </r>
  <r>
    <n v="3335"/>
    <x v="2297"/>
    <x v="1"/>
    <x v="15"/>
    <n v="5"/>
    <n v="4289.91"/>
    <n v="21449.55"/>
    <x v="85"/>
    <n v="-4933.3964999999998"/>
    <x v="275"/>
    <x v="5"/>
    <x v="0"/>
    <n v="533.83000000000004"/>
  </r>
  <r>
    <n v="3336"/>
    <x v="2298"/>
    <x v="1"/>
    <x v="18"/>
    <n v="2"/>
    <m/>
    <n v="0"/>
    <x v="1"/>
    <n v="0"/>
    <x v="3"/>
    <x v="1"/>
    <x v="0"/>
    <n v="1872.26"/>
  </r>
  <r>
    <n v="1018"/>
    <x v="2299"/>
    <x v="5"/>
    <x v="11"/>
    <n v="1"/>
    <n v="2847.86"/>
    <n v="2847.86"/>
    <x v="5"/>
    <n v="854.35800000000017"/>
    <x v="554"/>
    <x v="0"/>
    <x v="0"/>
    <n v="2190.67"/>
  </r>
  <r>
    <n v="3338"/>
    <x v="2300"/>
    <x v="5"/>
    <x v="12"/>
    <n v="2"/>
    <m/>
    <n v="0"/>
    <x v="82"/>
    <n v="0"/>
    <x v="17"/>
    <x v="5"/>
    <x v="0"/>
    <n v="1067.6600000000001"/>
  </r>
  <r>
    <n v="3339"/>
    <x v="2301"/>
    <x v="3"/>
    <x v="21"/>
    <n v="2"/>
    <m/>
    <n v="0"/>
    <x v="1"/>
    <n v="0"/>
    <x v="391"/>
    <x v="0"/>
    <x v="0"/>
    <n v="-735.83"/>
  </r>
  <r>
    <n v="3340"/>
    <x v="2302"/>
    <x v="2"/>
    <x v="10"/>
    <n v="6"/>
    <n v="3924.28"/>
    <n v="23545.68"/>
    <x v="6"/>
    <n v="20013.828000000001"/>
    <x v="348"/>
    <x v="3"/>
    <x v="0"/>
    <n v="-831.93"/>
  </r>
  <r>
    <n v="3341"/>
    <x v="2303"/>
    <x v="3"/>
    <x v="21"/>
    <n v="2"/>
    <n v="2080.09"/>
    <n v="4160.18"/>
    <x v="1"/>
    <n v="4160.18"/>
    <x v="4"/>
    <x v="4"/>
    <x v="0"/>
    <n v="1818.51"/>
  </r>
  <r>
    <n v="3342"/>
    <x v="2304"/>
    <x v="2"/>
    <x v="2"/>
    <n v="2"/>
    <n v="2109.83"/>
    <n v="4219.66"/>
    <x v="1"/>
    <n v="4219.66"/>
    <x v="4"/>
    <x v="5"/>
    <x v="1"/>
    <n v="546.26"/>
  </r>
  <r>
    <n v="3343"/>
    <x v="2305"/>
    <x v="4"/>
    <x v="16"/>
    <n v="2"/>
    <n v="3677.95"/>
    <n v="7355.9"/>
    <x v="32"/>
    <n v="4266.4220000000005"/>
    <x v="548"/>
    <x v="2"/>
    <x v="0"/>
    <n v="958.93"/>
  </r>
  <r>
    <n v="3344"/>
    <x v="2306"/>
    <x v="1"/>
    <x v="1"/>
    <n v="2"/>
    <m/>
    <n v="0"/>
    <x v="1"/>
    <n v="0"/>
    <x v="367"/>
    <x v="1"/>
    <x v="1"/>
    <n v="1933.51"/>
  </r>
  <r>
    <n v="3345"/>
    <x v="2307"/>
    <x v="5"/>
    <x v="12"/>
    <n v="0"/>
    <m/>
    <n v="0"/>
    <x v="1"/>
    <n v="0"/>
    <x v="217"/>
    <x v="3"/>
    <x v="0"/>
    <n v="461.25"/>
  </r>
  <r>
    <n v="3346"/>
    <x v="2308"/>
    <x v="2"/>
    <x v="10"/>
    <n v="2"/>
    <n v="1266.23"/>
    <n v="2532.46"/>
    <x v="24"/>
    <n v="481.16739999999987"/>
    <x v="174"/>
    <x v="1"/>
    <x v="1"/>
    <n v="416.5"/>
  </r>
  <r>
    <n v="3347"/>
    <x v="2309"/>
    <x v="1"/>
    <x v="18"/>
    <n v="2"/>
    <n v="3873.27"/>
    <n v="7746.54"/>
    <x v="1"/>
    <n v="7746.54"/>
    <x v="67"/>
    <x v="2"/>
    <x v="0"/>
    <n v="212.7"/>
  </r>
  <r>
    <n v="3348"/>
    <x v="2310"/>
    <x v="1"/>
    <x v="22"/>
    <n v="2"/>
    <m/>
    <n v="0"/>
    <x v="98"/>
    <n v="0"/>
    <x v="159"/>
    <x v="4"/>
    <x v="1"/>
    <n v="1023.68"/>
  </r>
  <r>
    <n v="3349"/>
    <x v="2311"/>
    <x v="1"/>
    <x v="15"/>
    <n v="2"/>
    <n v="1866.28"/>
    <n v="3732.56"/>
    <x v="1"/>
    <n v="3732.56"/>
    <x v="321"/>
    <x v="5"/>
    <x v="0"/>
    <n v="1605.37"/>
  </r>
  <r>
    <n v="3350"/>
    <x v="2312"/>
    <x v="2"/>
    <x v="13"/>
    <n v="2"/>
    <m/>
    <n v="0"/>
    <x v="1"/>
    <n v="0"/>
    <x v="331"/>
    <x v="2"/>
    <x v="0"/>
    <n v="14.57"/>
  </r>
  <r>
    <n v="3351"/>
    <x v="2313"/>
    <x v="0"/>
    <x v="5"/>
    <n v="0"/>
    <m/>
    <n v="0"/>
    <x v="13"/>
    <n v="0"/>
    <x v="213"/>
    <x v="5"/>
    <x v="0"/>
    <n v="211.03"/>
  </r>
  <r>
    <n v="3352"/>
    <x v="2314"/>
    <x v="3"/>
    <x v="3"/>
    <n v="2"/>
    <n v="2559.35"/>
    <n v="5118.7"/>
    <x v="1"/>
    <n v="5118.7"/>
    <x v="310"/>
    <x v="1"/>
    <x v="0"/>
    <n v="1386.39"/>
  </r>
  <r>
    <n v="3353"/>
    <x v="762"/>
    <x v="1"/>
    <x v="22"/>
    <n v="0"/>
    <m/>
    <n v="0"/>
    <x v="1"/>
    <n v="0"/>
    <x v="199"/>
    <x v="2"/>
    <x v="0"/>
    <n v="-766.44"/>
  </r>
  <r>
    <n v="3354"/>
    <x v="2315"/>
    <x v="1"/>
    <x v="22"/>
    <n v="2"/>
    <m/>
    <n v="0"/>
    <x v="123"/>
    <n v="0"/>
    <x v="121"/>
    <x v="2"/>
    <x v="0"/>
    <n v="2840.37"/>
  </r>
  <r>
    <n v="3355"/>
    <x v="2316"/>
    <x v="3"/>
    <x v="3"/>
    <n v="2"/>
    <n v="3111.18"/>
    <n v="6222.36"/>
    <x v="71"/>
    <n v="6035.6891999999998"/>
    <x v="4"/>
    <x v="1"/>
    <x v="0"/>
    <n v="1851.74"/>
  </r>
  <r>
    <n v="3356"/>
    <x v="2317"/>
    <x v="2"/>
    <x v="13"/>
    <n v="1"/>
    <n v="966.41"/>
    <n v="966.41"/>
    <x v="1"/>
    <n v="966.41"/>
    <x v="176"/>
    <x v="3"/>
    <x v="0"/>
    <n v="924.69"/>
  </r>
  <r>
    <n v="3357"/>
    <x v="2318"/>
    <x v="5"/>
    <x v="11"/>
    <n v="2"/>
    <n v="4909.58"/>
    <n v="9819.16"/>
    <x v="1"/>
    <n v="9819.16"/>
    <x v="405"/>
    <x v="5"/>
    <x v="0"/>
    <n v="-500.19"/>
  </r>
  <r>
    <n v="3358"/>
    <x v="2319"/>
    <x v="5"/>
    <x v="12"/>
    <n v="-2"/>
    <m/>
    <n v="0"/>
    <x v="1"/>
    <n v="0"/>
    <x v="446"/>
    <x v="0"/>
    <x v="0"/>
    <n v="1541.97"/>
  </r>
  <r>
    <n v="3359"/>
    <x v="2320"/>
    <x v="5"/>
    <x v="11"/>
    <n v="-2"/>
    <n v="1380.44"/>
    <n v="-2760.88"/>
    <x v="1"/>
    <n v="-2760.88"/>
    <x v="4"/>
    <x v="2"/>
    <x v="1"/>
    <n v="-329.81"/>
  </r>
  <r>
    <n v="3360"/>
    <x v="2321"/>
    <x v="0"/>
    <x v="0"/>
    <n v="5"/>
    <m/>
    <n v="0"/>
    <x v="1"/>
    <n v="0"/>
    <x v="460"/>
    <x v="4"/>
    <x v="1"/>
    <n v="2229.54"/>
  </r>
  <r>
    <n v="3361"/>
    <x v="2322"/>
    <x v="3"/>
    <x v="23"/>
    <n v="2"/>
    <m/>
    <n v="0"/>
    <x v="1"/>
    <n v="0"/>
    <x v="4"/>
    <x v="3"/>
    <x v="0"/>
    <n v="1648.42"/>
  </r>
  <r>
    <n v="3362"/>
    <x v="2323"/>
    <x v="3"/>
    <x v="3"/>
    <n v="2"/>
    <m/>
    <n v="0"/>
    <x v="1"/>
    <n v="0"/>
    <x v="344"/>
    <x v="4"/>
    <x v="0"/>
    <n v="1445.86"/>
  </r>
  <r>
    <n v="3363"/>
    <x v="2324"/>
    <x v="1"/>
    <x v="1"/>
    <n v="2"/>
    <n v="3754.24"/>
    <n v="7508.48"/>
    <x v="1"/>
    <n v="7508.48"/>
    <x v="4"/>
    <x v="0"/>
    <x v="1"/>
    <n v="461.46"/>
  </r>
  <r>
    <n v="3364"/>
    <x v="2325"/>
    <x v="1"/>
    <x v="22"/>
    <n v="2"/>
    <m/>
    <n v="0"/>
    <x v="1"/>
    <n v="0"/>
    <x v="35"/>
    <x v="1"/>
    <x v="0"/>
    <n v="-552.42999999999995"/>
  </r>
  <r>
    <n v="3365"/>
    <x v="2326"/>
    <x v="2"/>
    <x v="2"/>
    <n v="2"/>
    <n v="2414.9299999999998"/>
    <n v="4829.8599999999997"/>
    <x v="1"/>
    <n v="4829.8599999999997"/>
    <x v="201"/>
    <x v="3"/>
    <x v="0"/>
    <n v="2493.6"/>
  </r>
  <r>
    <n v="3366"/>
    <x v="1391"/>
    <x v="1"/>
    <x v="22"/>
    <n v="5"/>
    <n v="636.53"/>
    <n v="3182.6499999999996"/>
    <x v="1"/>
    <n v="3182.6499999999996"/>
    <x v="72"/>
    <x v="2"/>
    <x v="1"/>
    <n v="-513.44000000000005"/>
  </r>
  <r>
    <n v="3367"/>
    <x v="2327"/>
    <x v="3"/>
    <x v="21"/>
    <n v="2"/>
    <n v="4206.91"/>
    <n v="8413.82"/>
    <x v="1"/>
    <n v="8413.82"/>
    <x v="555"/>
    <x v="3"/>
    <x v="0"/>
    <n v="818.99"/>
  </r>
  <r>
    <n v="3368"/>
    <x v="2328"/>
    <x v="3"/>
    <x v="7"/>
    <n v="4"/>
    <m/>
    <n v="0"/>
    <x v="1"/>
    <n v="0"/>
    <x v="4"/>
    <x v="1"/>
    <x v="0"/>
    <n v="-862.24"/>
  </r>
  <r>
    <n v="3369"/>
    <x v="2329"/>
    <x v="0"/>
    <x v="5"/>
    <n v="2"/>
    <m/>
    <n v="0"/>
    <x v="1"/>
    <n v="0"/>
    <x v="208"/>
    <x v="3"/>
    <x v="1"/>
    <n v="245.55"/>
  </r>
  <r>
    <n v="3370"/>
    <x v="2330"/>
    <x v="1"/>
    <x v="18"/>
    <n v="2"/>
    <m/>
    <n v="0"/>
    <x v="1"/>
    <n v="0"/>
    <x v="544"/>
    <x v="3"/>
    <x v="1"/>
    <n v="1069.18"/>
  </r>
  <r>
    <n v="3371"/>
    <x v="2331"/>
    <x v="0"/>
    <x v="9"/>
    <n v="5"/>
    <m/>
    <n v="0"/>
    <x v="1"/>
    <n v="0"/>
    <x v="130"/>
    <x v="0"/>
    <x v="0"/>
    <n v="-276.12"/>
  </r>
  <r>
    <n v="3372"/>
    <x v="2332"/>
    <x v="0"/>
    <x v="0"/>
    <n v="2"/>
    <n v="2291.31"/>
    <n v="4582.62"/>
    <x v="1"/>
    <n v="4582.62"/>
    <x v="181"/>
    <x v="4"/>
    <x v="1"/>
    <n v="-169.68"/>
  </r>
  <r>
    <n v="3373"/>
    <x v="2333"/>
    <x v="2"/>
    <x v="13"/>
    <n v="2"/>
    <n v="3507.48"/>
    <n v="7014.96"/>
    <x v="1"/>
    <n v="7014.96"/>
    <x v="73"/>
    <x v="2"/>
    <x v="0"/>
    <n v="2821.27"/>
  </r>
  <r>
    <n v="3374"/>
    <x v="2334"/>
    <x v="5"/>
    <x v="12"/>
    <n v="2"/>
    <n v="2489.23"/>
    <n v="4978.46"/>
    <x v="1"/>
    <n v="4978.46"/>
    <x v="107"/>
    <x v="4"/>
    <x v="0"/>
    <n v="2977.05"/>
  </r>
  <r>
    <n v="3375"/>
    <x v="2335"/>
    <x v="1"/>
    <x v="18"/>
    <n v="2"/>
    <n v="442.08"/>
    <n v="884.16"/>
    <x v="1"/>
    <n v="884.16"/>
    <x v="48"/>
    <x v="4"/>
    <x v="0"/>
    <n v="944.55"/>
  </r>
  <r>
    <n v="3376"/>
    <x v="2336"/>
    <x v="0"/>
    <x v="20"/>
    <n v="2"/>
    <m/>
    <n v="0"/>
    <x v="1"/>
    <n v="0"/>
    <x v="249"/>
    <x v="0"/>
    <x v="1"/>
    <n v="1936.25"/>
  </r>
  <r>
    <n v="3377"/>
    <x v="2337"/>
    <x v="5"/>
    <x v="12"/>
    <n v="2"/>
    <n v="1064.3699999999999"/>
    <n v="2128.7399999999998"/>
    <x v="1"/>
    <n v="2128.7399999999998"/>
    <x v="205"/>
    <x v="0"/>
    <x v="0"/>
    <n v="-671.09"/>
  </r>
  <r>
    <n v="3378"/>
    <x v="2338"/>
    <x v="1"/>
    <x v="22"/>
    <n v="2"/>
    <n v="3675"/>
    <n v="7350"/>
    <x v="1"/>
    <n v="7350"/>
    <x v="4"/>
    <x v="5"/>
    <x v="0"/>
    <n v="2641.65"/>
  </r>
  <r>
    <n v="3379"/>
    <x v="2339"/>
    <x v="3"/>
    <x v="23"/>
    <n v="-2"/>
    <m/>
    <n v="0"/>
    <x v="1"/>
    <n v="0"/>
    <x v="239"/>
    <x v="5"/>
    <x v="0"/>
    <n v="-861.83"/>
  </r>
  <r>
    <n v="3380"/>
    <x v="2340"/>
    <x v="5"/>
    <x v="19"/>
    <n v="2"/>
    <n v="4166.34"/>
    <n v="8332.68"/>
    <x v="1"/>
    <n v="8332.68"/>
    <x v="551"/>
    <x v="4"/>
    <x v="1"/>
    <n v="317.31"/>
  </r>
  <r>
    <n v="3381"/>
    <x v="2341"/>
    <x v="2"/>
    <x v="13"/>
    <n v="-1"/>
    <m/>
    <n v="0"/>
    <x v="105"/>
    <n v="0"/>
    <x v="134"/>
    <x v="1"/>
    <x v="0"/>
    <n v="2205.09"/>
  </r>
  <r>
    <n v="3382"/>
    <x v="2342"/>
    <x v="2"/>
    <x v="17"/>
    <n v="1"/>
    <m/>
    <n v="0"/>
    <x v="1"/>
    <n v="0"/>
    <x v="182"/>
    <x v="4"/>
    <x v="0"/>
    <n v="1711.89"/>
  </r>
  <r>
    <n v="3383"/>
    <x v="2343"/>
    <x v="0"/>
    <x v="5"/>
    <n v="2"/>
    <m/>
    <n v="0"/>
    <x v="46"/>
    <n v="0"/>
    <x v="359"/>
    <x v="1"/>
    <x v="1"/>
    <n v="1101.95"/>
  </r>
  <r>
    <n v="3384"/>
    <x v="2344"/>
    <x v="5"/>
    <x v="12"/>
    <n v="1"/>
    <n v="2282.7600000000002"/>
    <n v="2282.7600000000002"/>
    <x v="39"/>
    <n v="958.75920000000019"/>
    <x v="556"/>
    <x v="3"/>
    <x v="0"/>
    <n v="1133.68"/>
  </r>
  <r>
    <n v="3385"/>
    <x v="2345"/>
    <x v="5"/>
    <x v="19"/>
    <n v="2"/>
    <n v="2394.84"/>
    <n v="4789.68"/>
    <x v="1"/>
    <n v="4789.68"/>
    <x v="507"/>
    <x v="1"/>
    <x v="1"/>
    <n v="1007.9"/>
  </r>
  <r>
    <n v="3386"/>
    <x v="2346"/>
    <x v="4"/>
    <x v="14"/>
    <n v="1"/>
    <m/>
    <n v="0"/>
    <x v="68"/>
    <n v="0"/>
    <x v="367"/>
    <x v="2"/>
    <x v="0"/>
    <n v="21.39"/>
  </r>
  <r>
    <n v="3387"/>
    <x v="2347"/>
    <x v="0"/>
    <x v="20"/>
    <n v="2"/>
    <m/>
    <n v="0"/>
    <x v="1"/>
    <n v="0"/>
    <x v="390"/>
    <x v="3"/>
    <x v="0"/>
    <n v="-48.14"/>
  </r>
  <r>
    <n v="1011"/>
    <x v="2348"/>
    <x v="5"/>
    <x v="6"/>
    <n v="2"/>
    <n v="2842.91"/>
    <n v="5685.82"/>
    <x v="1"/>
    <n v="5685.82"/>
    <x v="228"/>
    <x v="2"/>
    <x v="0"/>
    <n v="-835.65"/>
  </r>
  <r>
    <n v="3389"/>
    <x v="2349"/>
    <x v="3"/>
    <x v="21"/>
    <n v="-1"/>
    <m/>
    <n v="0"/>
    <x v="110"/>
    <n v="0"/>
    <x v="4"/>
    <x v="1"/>
    <x v="0"/>
    <n v="146.53"/>
  </r>
  <r>
    <n v="3390"/>
    <x v="2350"/>
    <x v="2"/>
    <x v="17"/>
    <n v="1"/>
    <n v="1280.52"/>
    <n v="1280.52"/>
    <x v="8"/>
    <n v="76.831200000000067"/>
    <x v="4"/>
    <x v="3"/>
    <x v="1"/>
    <n v="1626.42"/>
  </r>
  <r>
    <n v="3391"/>
    <x v="2351"/>
    <x v="1"/>
    <x v="15"/>
    <n v="3"/>
    <n v="1730.64"/>
    <n v="5191.92"/>
    <x v="5"/>
    <n v="1557.5760000000002"/>
    <x v="4"/>
    <x v="0"/>
    <x v="0"/>
    <n v="719.69"/>
  </r>
  <r>
    <n v="3392"/>
    <x v="2352"/>
    <x v="1"/>
    <x v="1"/>
    <n v="0"/>
    <m/>
    <n v="0"/>
    <x v="113"/>
    <n v="0"/>
    <x v="309"/>
    <x v="4"/>
    <x v="1"/>
    <n v="1036.57"/>
  </r>
  <r>
    <n v="3393"/>
    <x v="2353"/>
    <x v="3"/>
    <x v="7"/>
    <n v="5"/>
    <m/>
    <n v="0"/>
    <x v="35"/>
    <n v="0"/>
    <x v="4"/>
    <x v="2"/>
    <x v="0"/>
    <n v="560.09"/>
  </r>
  <r>
    <n v="3394"/>
    <x v="2354"/>
    <x v="0"/>
    <x v="5"/>
    <n v="2"/>
    <n v="1509.34"/>
    <n v="3018.68"/>
    <x v="1"/>
    <n v="3018.68"/>
    <x v="152"/>
    <x v="2"/>
    <x v="0"/>
    <n v="1037.8499999999999"/>
  </r>
  <r>
    <n v="3395"/>
    <x v="2355"/>
    <x v="2"/>
    <x v="13"/>
    <n v="2"/>
    <m/>
    <n v="0"/>
    <x v="1"/>
    <n v="0"/>
    <x v="341"/>
    <x v="5"/>
    <x v="1"/>
    <n v="-23.94"/>
  </r>
  <r>
    <n v="3396"/>
    <x v="2356"/>
    <x v="1"/>
    <x v="22"/>
    <n v="2"/>
    <n v="3760.09"/>
    <n v="7520.18"/>
    <x v="1"/>
    <n v="7520.18"/>
    <x v="192"/>
    <x v="4"/>
    <x v="0"/>
    <n v="-871.94"/>
  </r>
  <r>
    <n v="3397"/>
    <x v="2357"/>
    <x v="0"/>
    <x v="9"/>
    <n v="2"/>
    <m/>
    <n v="0"/>
    <x v="1"/>
    <n v="0"/>
    <x v="4"/>
    <x v="1"/>
    <x v="0"/>
    <n v="477.59"/>
  </r>
  <r>
    <n v="3398"/>
    <x v="2358"/>
    <x v="5"/>
    <x v="11"/>
    <n v="2"/>
    <n v="2784.25"/>
    <n v="5568.5"/>
    <x v="1"/>
    <n v="5568.5"/>
    <x v="4"/>
    <x v="4"/>
    <x v="1"/>
    <n v="-348.84"/>
  </r>
  <r>
    <n v="3399"/>
    <x v="2359"/>
    <x v="0"/>
    <x v="20"/>
    <n v="5"/>
    <n v="3111.73"/>
    <n v="15558.65"/>
    <x v="1"/>
    <n v="15558.65"/>
    <x v="245"/>
    <x v="3"/>
    <x v="0"/>
    <n v="800.89"/>
  </r>
  <r>
    <n v="3400"/>
    <x v="2360"/>
    <x v="1"/>
    <x v="1"/>
    <n v="0"/>
    <n v="1249.6400000000001"/>
    <n v="0"/>
    <x v="1"/>
    <n v="0"/>
    <x v="302"/>
    <x v="5"/>
    <x v="0"/>
    <n v="-646.04"/>
  </r>
  <r>
    <n v="3401"/>
    <x v="2361"/>
    <x v="1"/>
    <x v="1"/>
    <n v="2"/>
    <n v="1960.15"/>
    <n v="3920.3"/>
    <x v="1"/>
    <n v="3920.3"/>
    <x v="95"/>
    <x v="4"/>
    <x v="1"/>
    <n v="1816.17"/>
  </r>
  <r>
    <n v="3402"/>
    <x v="2362"/>
    <x v="5"/>
    <x v="11"/>
    <n v="2"/>
    <m/>
    <n v="0"/>
    <x v="27"/>
    <n v="0"/>
    <x v="82"/>
    <x v="2"/>
    <x v="0"/>
    <n v="619.20000000000005"/>
  </r>
  <r>
    <n v="3403"/>
    <x v="2363"/>
    <x v="4"/>
    <x v="16"/>
    <n v="2"/>
    <n v="2609.06"/>
    <n v="5218.12"/>
    <x v="88"/>
    <n v="1826.3419999999999"/>
    <x v="386"/>
    <x v="4"/>
    <x v="0"/>
    <n v="2036.75"/>
  </r>
  <r>
    <n v="3404"/>
    <x v="2364"/>
    <x v="3"/>
    <x v="23"/>
    <n v="5"/>
    <m/>
    <n v="0"/>
    <x v="24"/>
    <n v="0"/>
    <x v="80"/>
    <x v="5"/>
    <x v="1"/>
    <n v="1283.58"/>
  </r>
  <r>
    <n v="3405"/>
    <x v="2365"/>
    <x v="4"/>
    <x v="16"/>
    <n v="2"/>
    <n v="2310.4699999999998"/>
    <n v="4620.9399999999996"/>
    <x v="1"/>
    <n v="4620.9399999999996"/>
    <x v="4"/>
    <x v="2"/>
    <x v="0"/>
    <n v="393.88"/>
  </r>
  <r>
    <n v="3406"/>
    <x v="2366"/>
    <x v="5"/>
    <x v="11"/>
    <n v="2"/>
    <m/>
    <n v="0"/>
    <x v="1"/>
    <n v="0"/>
    <x v="6"/>
    <x v="2"/>
    <x v="0"/>
    <n v="-513.37"/>
  </r>
  <r>
    <n v="3407"/>
    <x v="2367"/>
    <x v="0"/>
    <x v="20"/>
    <n v="1"/>
    <m/>
    <n v="0"/>
    <x v="93"/>
    <n v="0"/>
    <x v="527"/>
    <x v="1"/>
    <x v="0"/>
    <n v="-540.69000000000005"/>
  </r>
  <r>
    <n v="3408"/>
    <x v="2368"/>
    <x v="3"/>
    <x v="21"/>
    <n v="2"/>
    <n v="4003.66"/>
    <n v="8007.32"/>
    <x v="1"/>
    <n v="8007.32"/>
    <x v="95"/>
    <x v="4"/>
    <x v="1"/>
    <n v="1340.94"/>
  </r>
  <r>
    <n v="3409"/>
    <x v="2369"/>
    <x v="1"/>
    <x v="18"/>
    <n v="-1"/>
    <n v="2123.17"/>
    <n v="-2123.17"/>
    <x v="1"/>
    <n v="-2123.17"/>
    <x v="4"/>
    <x v="0"/>
    <x v="0"/>
    <n v="-717.75"/>
  </r>
  <r>
    <n v="3410"/>
    <x v="2370"/>
    <x v="5"/>
    <x v="12"/>
    <n v="2"/>
    <n v="4732.42"/>
    <n v="9464.84"/>
    <x v="1"/>
    <n v="9464.84"/>
    <x v="103"/>
    <x v="1"/>
    <x v="0"/>
    <n v="916.47"/>
  </r>
  <r>
    <n v="3411"/>
    <x v="2371"/>
    <x v="2"/>
    <x v="17"/>
    <n v="2"/>
    <m/>
    <n v="0"/>
    <x v="39"/>
    <n v="0"/>
    <x v="174"/>
    <x v="4"/>
    <x v="1"/>
    <n v="1693.4"/>
  </r>
  <r>
    <n v="3412"/>
    <x v="2372"/>
    <x v="0"/>
    <x v="20"/>
    <n v="2"/>
    <m/>
    <n v="0"/>
    <x v="1"/>
    <n v="0"/>
    <x v="159"/>
    <x v="1"/>
    <x v="0"/>
    <n v="2625.33"/>
  </r>
  <r>
    <n v="3413"/>
    <x v="2373"/>
    <x v="5"/>
    <x v="11"/>
    <n v="2"/>
    <m/>
    <n v="0"/>
    <x v="1"/>
    <n v="0"/>
    <x v="4"/>
    <x v="3"/>
    <x v="0"/>
    <n v="2402.84"/>
  </r>
  <r>
    <n v="3414"/>
    <x v="2374"/>
    <x v="2"/>
    <x v="17"/>
    <n v="1"/>
    <m/>
    <n v="0"/>
    <x v="1"/>
    <n v="0"/>
    <x v="214"/>
    <x v="1"/>
    <x v="1"/>
    <n v="2783.42"/>
  </r>
  <r>
    <n v="3415"/>
    <x v="2375"/>
    <x v="4"/>
    <x v="8"/>
    <n v="4"/>
    <n v="3185.58"/>
    <n v="12742.32"/>
    <x v="23"/>
    <n v="-1911.3479999999988"/>
    <x v="557"/>
    <x v="0"/>
    <x v="0"/>
    <n v="-767.38"/>
  </r>
  <r>
    <n v="3416"/>
    <x v="2376"/>
    <x v="1"/>
    <x v="1"/>
    <n v="-1"/>
    <m/>
    <n v="0"/>
    <x v="1"/>
    <n v="0"/>
    <x v="298"/>
    <x v="3"/>
    <x v="1"/>
    <n v="2344.15"/>
  </r>
  <r>
    <n v="3417"/>
    <x v="2377"/>
    <x v="0"/>
    <x v="9"/>
    <n v="2"/>
    <m/>
    <n v="0"/>
    <x v="1"/>
    <n v="0"/>
    <x v="350"/>
    <x v="0"/>
    <x v="0"/>
    <n v="-938.64"/>
  </r>
  <r>
    <n v="3418"/>
    <x v="2378"/>
    <x v="0"/>
    <x v="0"/>
    <n v="6"/>
    <m/>
    <n v="0"/>
    <x v="10"/>
    <n v="0"/>
    <x v="4"/>
    <x v="1"/>
    <x v="0"/>
    <n v="-796.3"/>
  </r>
  <r>
    <n v="3419"/>
    <x v="37"/>
    <x v="4"/>
    <x v="4"/>
    <n v="2"/>
    <m/>
    <n v="0"/>
    <x v="1"/>
    <n v="0"/>
    <x v="4"/>
    <x v="1"/>
    <x v="1"/>
    <n v="804.16"/>
  </r>
  <r>
    <n v="1002"/>
    <x v="2379"/>
    <x v="1"/>
    <x v="22"/>
    <n v="3"/>
    <m/>
    <n v="0"/>
    <x v="1"/>
    <n v="0"/>
    <x v="1"/>
    <x v="2"/>
    <x v="0"/>
    <n v="2315.23"/>
  </r>
  <r>
    <n v="3421"/>
    <x v="1170"/>
    <x v="2"/>
    <x v="2"/>
    <n v="2"/>
    <n v="2933.45"/>
    <n v="5866.9"/>
    <x v="1"/>
    <n v="5866.9"/>
    <x v="58"/>
    <x v="3"/>
    <x v="0"/>
    <n v="2339.14"/>
  </r>
  <r>
    <n v="3422"/>
    <x v="2380"/>
    <x v="3"/>
    <x v="23"/>
    <n v="6"/>
    <m/>
    <n v="0"/>
    <x v="1"/>
    <n v="0"/>
    <x v="298"/>
    <x v="5"/>
    <x v="0"/>
    <n v="20.64"/>
  </r>
  <r>
    <n v="3423"/>
    <x v="2381"/>
    <x v="2"/>
    <x v="17"/>
    <n v="-2"/>
    <m/>
    <n v="0"/>
    <x v="1"/>
    <n v="0"/>
    <x v="247"/>
    <x v="1"/>
    <x v="0"/>
    <n v="960.12"/>
  </r>
  <r>
    <n v="3424"/>
    <x v="2382"/>
    <x v="3"/>
    <x v="21"/>
    <n v="5"/>
    <n v="4754.22"/>
    <n v="23771.100000000002"/>
    <x v="83"/>
    <n v="4278.7980000000016"/>
    <x v="481"/>
    <x v="4"/>
    <x v="1"/>
    <n v="2415.19"/>
  </r>
  <r>
    <n v="3425"/>
    <x v="2383"/>
    <x v="1"/>
    <x v="18"/>
    <n v="-2"/>
    <n v="2942.33"/>
    <n v="-5884.66"/>
    <x v="117"/>
    <n v="-4943.1143999999995"/>
    <x v="558"/>
    <x v="5"/>
    <x v="0"/>
    <n v="977.57"/>
  </r>
  <r>
    <n v="3426"/>
    <x v="2384"/>
    <x v="1"/>
    <x v="18"/>
    <n v="2"/>
    <n v="3441.89"/>
    <n v="6883.78"/>
    <x v="1"/>
    <n v="6883.78"/>
    <x v="171"/>
    <x v="1"/>
    <x v="0"/>
    <n v="-872.49"/>
  </r>
  <r>
    <n v="3427"/>
    <x v="2385"/>
    <x v="3"/>
    <x v="3"/>
    <n v="2"/>
    <m/>
    <n v="0"/>
    <x v="115"/>
    <n v="0"/>
    <x v="119"/>
    <x v="0"/>
    <x v="1"/>
    <n v="-63"/>
  </r>
  <r>
    <n v="3428"/>
    <x v="2386"/>
    <x v="1"/>
    <x v="1"/>
    <n v="3"/>
    <m/>
    <n v="0"/>
    <x v="1"/>
    <n v="0"/>
    <x v="300"/>
    <x v="2"/>
    <x v="0"/>
    <n v="670.29"/>
  </r>
  <r>
    <n v="3429"/>
    <x v="2387"/>
    <x v="5"/>
    <x v="12"/>
    <n v="2"/>
    <m/>
    <n v="0"/>
    <x v="1"/>
    <n v="0"/>
    <x v="241"/>
    <x v="0"/>
    <x v="0"/>
    <n v="859.23"/>
  </r>
  <r>
    <n v="3430"/>
    <x v="2388"/>
    <x v="3"/>
    <x v="21"/>
    <n v="2"/>
    <n v="2244.0700000000002"/>
    <n v="4488.1400000000003"/>
    <x v="1"/>
    <n v="4488.1400000000003"/>
    <x v="4"/>
    <x v="3"/>
    <x v="0"/>
    <n v="195.31"/>
  </r>
  <r>
    <n v="3431"/>
    <x v="2389"/>
    <x v="5"/>
    <x v="11"/>
    <n v="0"/>
    <m/>
    <n v="0"/>
    <x v="66"/>
    <n v="0"/>
    <x v="374"/>
    <x v="0"/>
    <x v="0"/>
    <n v="669.94"/>
  </r>
  <r>
    <n v="3432"/>
    <x v="2390"/>
    <x v="5"/>
    <x v="19"/>
    <n v="-2"/>
    <m/>
    <n v="0"/>
    <x v="1"/>
    <n v="0"/>
    <x v="82"/>
    <x v="3"/>
    <x v="0"/>
    <n v="980.18"/>
  </r>
  <r>
    <n v="3433"/>
    <x v="2391"/>
    <x v="4"/>
    <x v="4"/>
    <n v="2"/>
    <n v="4971.5600000000004"/>
    <n v="9943.1200000000008"/>
    <x v="57"/>
    <n v="1292.6056000000001"/>
    <x v="217"/>
    <x v="3"/>
    <x v="0"/>
    <n v="1202.3399999999999"/>
  </r>
  <r>
    <n v="3434"/>
    <x v="2392"/>
    <x v="2"/>
    <x v="2"/>
    <n v="-1"/>
    <n v="636.91999999999996"/>
    <n v="-636.91999999999996"/>
    <x v="115"/>
    <n v="-312.0908"/>
    <x v="455"/>
    <x v="5"/>
    <x v="1"/>
    <n v="2399.61"/>
  </r>
  <r>
    <n v="3435"/>
    <x v="2393"/>
    <x v="1"/>
    <x v="22"/>
    <n v="2"/>
    <m/>
    <n v="0"/>
    <x v="1"/>
    <n v="0"/>
    <x v="559"/>
    <x v="0"/>
    <x v="0"/>
    <n v="-453.03"/>
  </r>
  <r>
    <n v="3436"/>
    <x v="2394"/>
    <x v="5"/>
    <x v="11"/>
    <n v="2"/>
    <m/>
    <n v="0"/>
    <x v="53"/>
    <n v="0"/>
    <x v="348"/>
    <x v="3"/>
    <x v="1"/>
    <n v="791.96"/>
  </r>
  <r>
    <n v="3437"/>
    <x v="2395"/>
    <x v="4"/>
    <x v="4"/>
    <n v="2"/>
    <n v="987.68"/>
    <n v="1975.36"/>
    <x v="120"/>
    <n v="-493.84"/>
    <x v="141"/>
    <x v="3"/>
    <x v="0"/>
    <n v="2597.1999999999998"/>
  </r>
  <r>
    <n v="1006"/>
    <x v="2396"/>
    <x v="3"/>
    <x v="3"/>
    <n v="3"/>
    <n v="3891.07"/>
    <n v="11673.210000000001"/>
    <x v="31"/>
    <n v="9338.5680000000011"/>
    <x v="17"/>
    <x v="1"/>
    <x v="0"/>
    <n v="-861.28"/>
  </r>
  <r>
    <n v="3439"/>
    <x v="2397"/>
    <x v="2"/>
    <x v="13"/>
    <n v="-2"/>
    <n v="400.21"/>
    <n v="-800.42"/>
    <x v="1"/>
    <n v="-800.42"/>
    <x v="280"/>
    <x v="3"/>
    <x v="0"/>
    <n v="914.27"/>
  </r>
  <r>
    <n v="3440"/>
    <x v="2398"/>
    <x v="4"/>
    <x v="8"/>
    <n v="2"/>
    <n v="1536.14"/>
    <n v="3072.28"/>
    <x v="57"/>
    <n v="399.39640000000003"/>
    <x v="300"/>
    <x v="1"/>
    <x v="0"/>
    <n v="-382.45"/>
  </r>
  <r>
    <n v="3441"/>
    <x v="2399"/>
    <x v="5"/>
    <x v="11"/>
    <n v="5"/>
    <m/>
    <n v="0"/>
    <x v="124"/>
    <n v="0"/>
    <x v="256"/>
    <x v="0"/>
    <x v="1"/>
    <n v="2953.52"/>
  </r>
  <r>
    <n v="3442"/>
    <x v="2400"/>
    <x v="4"/>
    <x v="8"/>
    <n v="0"/>
    <m/>
    <n v="0"/>
    <x v="44"/>
    <n v="0"/>
    <x v="178"/>
    <x v="1"/>
    <x v="0"/>
    <n v="1331.63"/>
  </r>
  <r>
    <n v="3443"/>
    <x v="2401"/>
    <x v="4"/>
    <x v="8"/>
    <n v="2"/>
    <m/>
    <n v="0"/>
    <x v="62"/>
    <n v="0"/>
    <x v="340"/>
    <x v="0"/>
    <x v="0"/>
    <n v="2632.33"/>
  </r>
  <r>
    <n v="3444"/>
    <x v="2402"/>
    <x v="5"/>
    <x v="6"/>
    <n v="2"/>
    <n v="2924.37"/>
    <n v="5848.74"/>
    <x v="1"/>
    <n v="5848.74"/>
    <x v="214"/>
    <x v="5"/>
    <x v="0"/>
    <n v="461.83"/>
  </r>
  <r>
    <n v="3445"/>
    <x v="2403"/>
    <x v="3"/>
    <x v="23"/>
    <n v="4"/>
    <n v="973.52"/>
    <n v="3894.08"/>
    <x v="1"/>
    <n v="3894.08"/>
    <x v="327"/>
    <x v="4"/>
    <x v="0"/>
    <n v="2406.66"/>
  </r>
  <r>
    <n v="3446"/>
    <x v="2404"/>
    <x v="4"/>
    <x v="4"/>
    <n v="3"/>
    <n v="4758.24"/>
    <n v="14274.72"/>
    <x v="99"/>
    <n v="7280.1071999999995"/>
    <x v="435"/>
    <x v="2"/>
    <x v="0"/>
    <n v="2863.66"/>
  </r>
  <r>
    <n v="3447"/>
    <x v="2405"/>
    <x v="1"/>
    <x v="1"/>
    <n v="4"/>
    <n v="4762.62"/>
    <n v="19050.48"/>
    <x v="1"/>
    <n v="19050.48"/>
    <x v="321"/>
    <x v="4"/>
    <x v="1"/>
    <n v="1483.83"/>
  </r>
  <r>
    <n v="3448"/>
    <x v="2406"/>
    <x v="0"/>
    <x v="0"/>
    <n v="3"/>
    <m/>
    <n v="0"/>
    <x v="1"/>
    <n v="0"/>
    <x v="42"/>
    <x v="1"/>
    <x v="0"/>
    <n v="734.88"/>
  </r>
  <r>
    <n v="3449"/>
    <x v="2407"/>
    <x v="5"/>
    <x v="6"/>
    <n v="4"/>
    <n v="803.79"/>
    <n v="3215.16"/>
    <x v="1"/>
    <n v="3215.16"/>
    <x v="427"/>
    <x v="5"/>
    <x v="0"/>
    <n v="2948.6"/>
  </r>
  <r>
    <n v="3450"/>
    <x v="2408"/>
    <x v="4"/>
    <x v="14"/>
    <n v="2"/>
    <m/>
    <n v="0"/>
    <x v="106"/>
    <n v="0"/>
    <x v="359"/>
    <x v="2"/>
    <x v="0"/>
    <n v="1339.05"/>
  </r>
  <r>
    <n v="3451"/>
    <x v="2409"/>
    <x v="4"/>
    <x v="16"/>
    <n v="-2"/>
    <n v="2339.36"/>
    <n v="-4678.72"/>
    <x v="90"/>
    <n v="-3041.1680000000001"/>
    <x v="246"/>
    <x v="3"/>
    <x v="1"/>
    <n v="-5.05"/>
  </r>
  <r>
    <n v="3452"/>
    <x v="2410"/>
    <x v="2"/>
    <x v="17"/>
    <n v="2"/>
    <n v="2562.4699999999998"/>
    <n v="5124.9399999999996"/>
    <x v="1"/>
    <n v="5124.9399999999996"/>
    <x v="144"/>
    <x v="4"/>
    <x v="1"/>
    <n v="-883.82"/>
  </r>
  <r>
    <n v="3453"/>
    <x v="2411"/>
    <x v="3"/>
    <x v="21"/>
    <n v="2"/>
    <n v="4213.8500000000004"/>
    <n v="8427.7000000000007"/>
    <x v="1"/>
    <n v="8427.7000000000007"/>
    <x v="270"/>
    <x v="0"/>
    <x v="0"/>
    <n v="-209.3"/>
  </r>
  <r>
    <n v="3454"/>
    <x v="2412"/>
    <x v="3"/>
    <x v="21"/>
    <n v="6"/>
    <n v="1987.62"/>
    <n v="11925.72"/>
    <x v="1"/>
    <n v="11925.72"/>
    <x v="475"/>
    <x v="4"/>
    <x v="1"/>
    <n v="1184.77"/>
  </r>
  <r>
    <n v="3455"/>
    <x v="2413"/>
    <x v="5"/>
    <x v="6"/>
    <n v="2"/>
    <m/>
    <n v="0"/>
    <x v="1"/>
    <n v="0"/>
    <x v="4"/>
    <x v="3"/>
    <x v="0"/>
    <n v="382.53"/>
  </r>
  <r>
    <n v="3456"/>
    <x v="2414"/>
    <x v="4"/>
    <x v="8"/>
    <n v="2"/>
    <m/>
    <n v="0"/>
    <x v="1"/>
    <n v="0"/>
    <x v="4"/>
    <x v="0"/>
    <x v="0"/>
    <n v="-695.67"/>
  </r>
  <r>
    <n v="3457"/>
    <x v="2415"/>
    <x v="3"/>
    <x v="23"/>
    <n v="2"/>
    <n v="983.84"/>
    <n v="1967.68"/>
    <x v="55"/>
    <n v="196.76799999999997"/>
    <x v="356"/>
    <x v="0"/>
    <x v="0"/>
    <n v="254.71"/>
  </r>
  <r>
    <n v="1013"/>
    <x v="2416"/>
    <x v="2"/>
    <x v="13"/>
    <n v="6"/>
    <m/>
    <n v="0"/>
    <x v="10"/>
    <n v="0"/>
    <x v="517"/>
    <x v="4"/>
    <x v="0"/>
    <n v="-270.22000000000003"/>
  </r>
  <r>
    <n v="3459"/>
    <x v="2417"/>
    <x v="4"/>
    <x v="8"/>
    <n v="2"/>
    <m/>
    <n v="0"/>
    <x v="1"/>
    <n v="0"/>
    <x v="4"/>
    <x v="5"/>
    <x v="1"/>
    <n v="1284.57"/>
  </r>
  <r>
    <n v="3460"/>
    <x v="2418"/>
    <x v="0"/>
    <x v="5"/>
    <n v="3"/>
    <m/>
    <n v="0"/>
    <x v="1"/>
    <n v="0"/>
    <x v="4"/>
    <x v="3"/>
    <x v="0"/>
    <n v="-266.63"/>
  </r>
  <r>
    <n v="3461"/>
    <x v="2419"/>
    <x v="5"/>
    <x v="11"/>
    <n v="2"/>
    <m/>
    <n v="0"/>
    <x v="1"/>
    <n v="0"/>
    <x v="207"/>
    <x v="1"/>
    <x v="1"/>
    <n v="2059.2399999999998"/>
  </r>
  <r>
    <n v="3462"/>
    <x v="2420"/>
    <x v="3"/>
    <x v="7"/>
    <n v="2"/>
    <n v="3607.23"/>
    <n v="7214.46"/>
    <x v="1"/>
    <n v="7214.46"/>
    <x v="553"/>
    <x v="4"/>
    <x v="0"/>
    <n v="2531.75"/>
  </r>
  <r>
    <n v="3463"/>
    <x v="2421"/>
    <x v="3"/>
    <x v="7"/>
    <n v="6"/>
    <n v="1139.77"/>
    <n v="6838.62"/>
    <x v="1"/>
    <n v="6838.62"/>
    <x v="4"/>
    <x v="5"/>
    <x v="0"/>
    <n v="992.89"/>
  </r>
  <r>
    <n v="3464"/>
    <x v="2422"/>
    <x v="0"/>
    <x v="20"/>
    <n v="5"/>
    <m/>
    <n v="0"/>
    <x v="1"/>
    <n v="0"/>
    <x v="4"/>
    <x v="0"/>
    <x v="0"/>
    <n v="2091.3000000000002"/>
  </r>
  <r>
    <n v="3465"/>
    <x v="2423"/>
    <x v="0"/>
    <x v="5"/>
    <n v="-1"/>
    <m/>
    <n v="0"/>
    <x v="5"/>
    <n v="0"/>
    <x v="494"/>
    <x v="4"/>
    <x v="1"/>
    <n v="-288.95999999999998"/>
  </r>
  <r>
    <n v="3466"/>
    <x v="2424"/>
    <x v="0"/>
    <x v="20"/>
    <n v="2"/>
    <n v="4059.53"/>
    <n v="8119.06"/>
    <x v="1"/>
    <n v="8119.06"/>
    <x v="319"/>
    <x v="1"/>
    <x v="1"/>
    <n v="-74.569999999999993"/>
  </r>
  <r>
    <n v="3467"/>
    <x v="2425"/>
    <x v="4"/>
    <x v="16"/>
    <n v="2"/>
    <m/>
    <n v="0"/>
    <x v="1"/>
    <n v="0"/>
    <x v="51"/>
    <x v="3"/>
    <x v="1"/>
    <n v="1246.6199999999999"/>
  </r>
  <r>
    <n v="3468"/>
    <x v="2426"/>
    <x v="5"/>
    <x v="11"/>
    <n v="2"/>
    <m/>
    <n v="0"/>
    <x v="1"/>
    <n v="0"/>
    <x v="4"/>
    <x v="0"/>
    <x v="0"/>
    <n v="287.33"/>
  </r>
  <r>
    <n v="3469"/>
    <x v="2427"/>
    <x v="4"/>
    <x v="14"/>
    <n v="2"/>
    <n v="2932.58"/>
    <n v="5865.16"/>
    <x v="45"/>
    <n v="-1524.9416000000001"/>
    <x v="62"/>
    <x v="3"/>
    <x v="1"/>
    <n v="333.94"/>
  </r>
  <r>
    <n v="3470"/>
    <x v="2428"/>
    <x v="3"/>
    <x v="3"/>
    <n v="2"/>
    <m/>
    <n v="0"/>
    <x v="1"/>
    <n v="0"/>
    <x v="560"/>
    <x v="0"/>
    <x v="0"/>
    <n v="1387.75"/>
  </r>
  <r>
    <n v="3471"/>
    <x v="2429"/>
    <x v="1"/>
    <x v="18"/>
    <n v="6"/>
    <m/>
    <n v="0"/>
    <x v="1"/>
    <n v="0"/>
    <x v="311"/>
    <x v="2"/>
    <x v="1"/>
    <n v="-673.81"/>
  </r>
  <r>
    <n v="3472"/>
    <x v="2430"/>
    <x v="5"/>
    <x v="6"/>
    <n v="2"/>
    <m/>
    <n v="0"/>
    <x v="126"/>
    <n v="0"/>
    <x v="4"/>
    <x v="2"/>
    <x v="0"/>
    <n v="-898.19"/>
  </r>
  <r>
    <n v="3473"/>
    <x v="2431"/>
    <x v="3"/>
    <x v="3"/>
    <n v="1"/>
    <m/>
    <n v="0"/>
    <x v="6"/>
    <n v="0"/>
    <x v="322"/>
    <x v="2"/>
    <x v="1"/>
    <n v="287.25"/>
  </r>
  <r>
    <n v="3474"/>
    <x v="2432"/>
    <x v="2"/>
    <x v="13"/>
    <n v="2"/>
    <n v="3494.86"/>
    <n v="6989.72"/>
    <x v="1"/>
    <n v="6989.72"/>
    <x v="4"/>
    <x v="2"/>
    <x v="0"/>
    <n v="-76.849999999999994"/>
  </r>
  <r>
    <n v="3475"/>
    <x v="2433"/>
    <x v="1"/>
    <x v="15"/>
    <n v="2"/>
    <n v="2185.83"/>
    <n v="4371.66"/>
    <x v="77"/>
    <n v="3803.3442"/>
    <x v="4"/>
    <x v="2"/>
    <x v="1"/>
    <n v="714.12"/>
  </r>
  <r>
    <n v="3476"/>
    <x v="2434"/>
    <x v="5"/>
    <x v="11"/>
    <n v="2"/>
    <n v="4804.91"/>
    <n v="9609.82"/>
    <x v="1"/>
    <n v="9609.82"/>
    <x v="247"/>
    <x v="0"/>
    <x v="0"/>
    <n v="407.85"/>
  </r>
  <r>
    <n v="3477"/>
    <x v="2435"/>
    <x v="5"/>
    <x v="12"/>
    <n v="2"/>
    <m/>
    <n v="0"/>
    <x v="92"/>
    <n v="0"/>
    <x v="4"/>
    <x v="2"/>
    <x v="0"/>
    <n v="292.83"/>
  </r>
  <r>
    <n v="3478"/>
    <x v="2436"/>
    <x v="1"/>
    <x v="18"/>
    <n v="2"/>
    <m/>
    <n v="0"/>
    <x v="1"/>
    <n v="0"/>
    <x v="561"/>
    <x v="5"/>
    <x v="1"/>
    <n v="2602.44"/>
  </r>
  <r>
    <n v="3479"/>
    <x v="2437"/>
    <x v="1"/>
    <x v="22"/>
    <n v="2"/>
    <n v="2858.94"/>
    <n v="5717.88"/>
    <x v="7"/>
    <n v="-1086.3971999999997"/>
    <x v="420"/>
    <x v="2"/>
    <x v="0"/>
    <n v="-262.73"/>
  </r>
  <r>
    <n v="3480"/>
    <x v="2438"/>
    <x v="2"/>
    <x v="10"/>
    <n v="2"/>
    <m/>
    <n v="0"/>
    <x v="103"/>
    <n v="0"/>
    <x v="4"/>
    <x v="5"/>
    <x v="0"/>
    <n v="1553.3"/>
  </r>
  <r>
    <n v="3481"/>
    <x v="2439"/>
    <x v="0"/>
    <x v="5"/>
    <n v="2"/>
    <m/>
    <n v="0"/>
    <x v="1"/>
    <n v="0"/>
    <x v="120"/>
    <x v="3"/>
    <x v="0"/>
    <n v="-38.119999999999997"/>
  </r>
  <r>
    <n v="3482"/>
    <x v="2440"/>
    <x v="3"/>
    <x v="21"/>
    <n v="-2"/>
    <n v="1169.8900000000001"/>
    <n v="-2339.7800000000002"/>
    <x v="1"/>
    <n v="-2339.7800000000002"/>
    <x v="4"/>
    <x v="5"/>
    <x v="0"/>
    <n v="161.94999999999999"/>
  </r>
  <r>
    <n v="1030"/>
    <x v="2441"/>
    <x v="4"/>
    <x v="16"/>
    <n v="3"/>
    <m/>
    <n v="0"/>
    <x v="1"/>
    <n v="0"/>
    <x v="4"/>
    <x v="4"/>
    <x v="1"/>
    <n v="1528.52"/>
  </r>
  <r>
    <n v="3484"/>
    <x v="2442"/>
    <x v="4"/>
    <x v="16"/>
    <n v="2"/>
    <m/>
    <n v="0"/>
    <x v="1"/>
    <n v="0"/>
    <x v="4"/>
    <x v="5"/>
    <x v="0"/>
    <n v="237.05"/>
  </r>
  <r>
    <n v="3485"/>
    <x v="2443"/>
    <x v="3"/>
    <x v="21"/>
    <n v="2"/>
    <n v="2951.53"/>
    <n v="5903.06"/>
    <x v="1"/>
    <n v="5903.06"/>
    <x v="31"/>
    <x v="5"/>
    <x v="0"/>
    <n v="-492.53"/>
  </r>
  <r>
    <n v="3486"/>
    <x v="2444"/>
    <x v="4"/>
    <x v="14"/>
    <n v="-2"/>
    <m/>
    <n v="0"/>
    <x v="1"/>
    <n v="0"/>
    <x v="4"/>
    <x v="4"/>
    <x v="0"/>
    <n v="-439.26"/>
  </r>
  <r>
    <n v="3487"/>
    <x v="2445"/>
    <x v="4"/>
    <x v="4"/>
    <n v="5"/>
    <n v="1683.74"/>
    <n v="8418.7000000000007"/>
    <x v="39"/>
    <n v="3535.8540000000007"/>
    <x v="395"/>
    <x v="3"/>
    <x v="0"/>
    <n v="419.44"/>
  </r>
  <r>
    <n v="3488"/>
    <x v="2446"/>
    <x v="3"/>
    <x v="21"/>
    <n v="2"/>
    <n v="3029.54"/>
    <n v="6059.08"/>
    <x v="1"/>
    <n v="6059.08"/>
    <x v="99"/>
    <x v="2"/>
    <x v="0"/>
    <n v="2537.46"/>
  </r>
  <r>
    <n v="3489"/>
    <x v="2447"/>
    <x v="1"/>
    <x v="15"/>
    <n v="2"/>
    <n v="599.07000000000005"/>
    <n v="1198.1400000000001"/>
    <x v="6"/>
    <n v="1018.4190000000001"/>
    <x v="4"/>
    <x v="0"/>
    <x v="1"/>
    <n v="1962.34"/>
  </r>
  <r>
    <n v="3490"/>
    <x v="2448"/>
    <x v="5"/>
    <x v="19"/>
    <n v="2"/>
    <n v="2784.76"/>
    <n v="5569.52"/>
    <x v="92"/>
    <n v="779.73280000000011"/>
    <x v="162"/>
    <x v="4"/>
    <x v="0"/>
    <n v="1373.37"/>
  </r>
  <r>
    <n v="3491"/>
    <x v="2449"/>
    <x v="0"/>
    <x v="5"/>
    <n v="2"/>
    <n v="4126.3900000000003"/>
    <n v="8252.7800000000007"/>
    <x v="1"/>
    <n v="8252.7800000000007"/>
    <x v="106"/>
    <x v="2"/>
    <x v="1"/>
    <n v="638.9"/>
  </r>
  <r>
    <n v="3492"/>
    <x v="2450"/>
    <x v="0"/>
    <x v="20"/>
    <n v="2"/>
    <n v="3084.73"/>
    <n v="6169.46"/>
    <x v="92"/>
    <n v="863.72440000000006"/>
    <x v="4"/>
    <x v="2"/>
    <x v="0"/>
    <n v="2534.3200000000002"/>
  </r>
  <r>
    <n v="3493"/>
    <x v="2451"/>
    <x v="5"/>
    <x v="6"/>
    <n v="5"/>
    <n v="2935.56"/>
    <n v="14677.8"/>
    <x v="1"/>
    <n v="14677.8"/>
    <x v="208"/>
    <x v="0"/>
    <x v="0"/>
    <n v="-410.86"/>
  </r>
  <r>
    <n v="3494"/>
    <x v="2452"/>
    <x v="0"/>
    <x v="0"/>
    <n v="0"/>
    <m/>
    <n v="0"/>
    <x v="1"/>
    <n v="0"/>
    <x v="4"/>
    <x v="1"/>
    <x v="0"/>
    <n v="-219.82"/>
  </r>
  <r>
    <n v="3495"/>
    <x v="2453"/>
    <x v="4"/>
    <x v="8"/>
    <n v="2"/>
    <n v="848.79"/>
    <n v="1697.58"/>
    <x v="1"/>
    <n v="1697.58"/>
    <x v="4"/>
    <x v="2"/>
    <x v="0"/>
    <n v="2259"/>
  </r>
  <r>
    <n v="3496"/>
    <x v="2454"/>
    <x v="2"/>
    <x v="2"/>
    <n v="4"/>
    <m/>
    <n v="0"/>
    <x v="1"/>
    <n v="0"/>
    <x v="315"/>
    <x v="4"/>
    <x v="1"/>
    <n v="2232.98"/>
  </r>
  <r>
    <n v="3497"/>
    <x v="2455"/>
    <x v="1"/>
    <x v="15"/>
    <n v="2"/>
    <n v="3389.24"/>
    <n v="6778.48"/>
    <x v="22"/>
    <n v="-406.70880000000034"/>
    <x v="4"/>
    <x v="1"/>
    <x v="0"/>
    <n v="1955.31"/>
  </r>
  <r>
    <n v="3498"/>
    <x v="2456"/>
    <x v="0"/>
    <x v="9"/>
    <n v="5"/>
    <n v="3844.19"/>
    <n v="19220.95"/>
    <x v="1"/>
    <n v="19220.95"/>
    <x v="448"/>
    <x v="4"/>
    <x v="0"/>
    <n v="2967"/>
  </r>
  <r>
    <n v="3499"/>
    <x v="2457"/>
    <x v="4"/>
    <x v="16"/>
    <n v="6"/>
    <n v="1239.75"/>
    <n v="7438.5"/>
    <x v="1"/>
    <n v="7438.5"/>
    <x v="4"/>
    <x v="2"/>
    <x v="0"/>
    <n v="71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F9D989-60B0-4068-AACB-8D1B4FA7BD1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13:P120" firstHeaderRow="1" firstDataRow="1" firstDataCol="1"/>
  <pivotFields count="16">
    <pivotField showAll="0"/>
    <pivotField showAll="0"/>
    <pivotField showAll="0"/>
    <pivotField showAll="0">
      <items count="25">
        <item x="3"/>
        <item x="19"/>
        <item x="15"/>
        <item x="17"/>
        <item x="5"/>
        <item x="23"/>
        <item x="6"/>
        <item x="14"/>
        <item x="4"/>
        <item x="18"/>
        <item x="16"/>
        <item x="22"/>
        <item x="2"/>
        <item x="11"/>
        <item x="8"/>
        <item x="1"/>
        <item x="20"/>
        <item x="0"/>
        <item x="13"/>
        <item x="10"/>
        <item x="9"/>
        <item x="7"/>
        <item x="21"/>
        <item x="12"/>
        <item t="default"/>
      </items>
    </pivotField>
    <pivotField showAll="0"/>
    <pivotField showAll="0"/>
    <pivotField showAll="0"/>
    <pivotField showAll="0"/>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axis="axisRow" showAll="0">
      <items count="11">
        <item x="1"/>
        <item x="3"/>
        <item m="1" x="6"/>
        <item x="0"/>
        <item m="1" x="8"/>
        <item m="1" x="9"/>
        <item m="1" x="7"/>
        <item x="2"/>
        <item x="5"/>
        <item x="4"/>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7">
    <i>
      <x/>
    </i>
    <i>
      <x v="1"/>
    </i>
    <i>
      <x v="3"/>
    </i>
    <i>
      <x v="7"/>
    </i>
    <i>
      <x v="8"/>
    </i>
    <i>
      <x v="9"/>
    </i>
    <i t="grand">
      <x/>
    </i>
  </rowItems>
  <colItems count="1">
    <i/>
  </colItems>
  <dataFields count="1">
    <dataField name="Sum of Sales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C32217-5BD0-4E54-B041-9F6CBF6402A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1:W8" firstHeaderRow="1"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axis="axisRow" showAll="0">
      <items count="7">
        <item x="3"/>
        <item x="5"/>
        <item x="1"/>
        <item x="0"/>
        <item x="2"/>
        <item x="4"/>
        <item t="default"/>
      </items>
    </pivotField>
    <pivotField showAll="0"/>
    <pivotField dataField="1"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C9EF5-8295-409C-A106-A14705A3B86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J7" firstHeaderRow="1" firstDataRow="1" firstDataCol="1"/>
  <pivotFields count="16">
    <pivotField showAll="0"/>
    <pivotField axis="axisRow" showAll="0" measureFilter="1">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showAll="0">
      <items count="7">
        <item x="3"/>
        <item x="5"/>
        <item x="1"/>
        <item x="0"/>
        <item x="2"/>
        <item x="4"/>
        <item t="default"/>
      </items>
    </pivotField>
    <pivotField showAll="0"/>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6">
    <i>
      <x v="668"/>
    </i>
    <i>
      <x v="1103"/>
    </i>
    <i>
      <x v="1219"/>
    </i>
    <i>
      <x v="1555"/>
    </i>
    <i>
      <x v="1702"/>
    </i>
    <i t="grand">
      <x/>
    </i>
  </rowItems>
  <colItems count="1">
    <i/>
  </colItems>
  <dataFields count="1">
    <dataField name="Sum of Sales_Amount" fld="8" baseField="0" baseItem="0"/>
  </dataFields>
  <chartFormats count="3">
    <chartFormat chart="1"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F61E13-B386-4BB4-A3DC-DF53DFD62463}"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P7" firstHeaderRow="1" firstDataRow="1" firstDataCol="1"/>
  <pivotFields count="16">
    <pivotField showAll="0"/>
    <pivotField axis="axisRow" showAll="0" measureFilter="1">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showAll="0">
      <items count="7">
        <item x="3"/>
        <item x="5"/>
        <item x="1"/>
        <item x="0"/>
        <item x="2"/>
        <item x="4"/>
        <item t="default"/>
      </items>
    </pivotField>
    <pivotField showAll="0">
      <items count="25">
        <item x="3"/>
        <item x="19"/>
        <item x="15"/>
        <item x="17"/>
        <item x="5"/>
        <item x="23"/>
        <item x="6"/>
        <item x="14"/>
        <item x="4"/>
        <item x="18"/>
        <item x="16"/>
        <item x="22"/>
        <item x="2"/>
        <item x="11"/>
        <item x="8"/>
        <item x="1"/>
        <item x="20"/>
        <item x="0"/>
        <item x="13"/>
        <item x="10"/>
        <item x="9"/>
        <item x="7"/>
        <item x="21"/>
        <item x="12"/>
        <item t="default"/>
      </items>
    </pivotField>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6">
    <i>
      <x v="668"/>
    </i>
    <i>
      <x v="1103"/>
    </i>
    <i>
      <x v="1219"/>
    </i>
    <i>
      <x v="1555"/>
    </i>
    <i>
      <x v="1702"/>
    </i>
    <i t="grand">
      <x/>
    </i>
  </rowItems>
  <colItems count="1">
    <i/>
  </colItems>
  <dataFields count="1">
    <dataField name="Sum of Sales_Amoun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515908-7D10-46CE-A298-8AC273384CFF}"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B35" firstHeaderRow="1" firstDataRow="1" firstDataCol="1"/>
  <pivotFields count="16">
    <pivotField showAll="0"/>
    <pivotField showAll="0"/>
    <pivotField axis="axisRow" showAll="0">
      <items count="7">
        <item x="3"/>
        <item x="5"/>
        <item x="1"/>
        <item x="0"/>
        <item x="2"/>
        <item x="4"/>
        <item t="default"/>
      </items>
    </pivotField>
    <pivotField showAll="0"/>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Sales_Am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264660-3B8E-4693-899E-83E1E2225B3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M7" firstHeaderRow="1"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showAll="0">
      <items count="7">
        <item x="3"/>
        <item x="5"/>
        <item x="1"/>
        <item x="0"/>
        <item x="2"/>
        <item x="4"/>
        <item t="default"/>
      </items>
    </pivotField>
    <pivotField axis="axisRow" showAll="0" measureFilter="1">
      <items count="25">
        <item x="3"/>
        <item x="19"/>
        <item x="15"/>
        <item x="17"/>
        <item x="5"/>
        <item x="23"/>
        <item x="6"/>
        <item x="14"/>
        <item x="4"/>
        <item x="18"/>
        <item x="16"/>
        <item x="22"/>
        <item x="2"/>
        <item x="11"/>
        <item x="8"/>
        <item x="1"/>
        <item x="20"/>
        <item x="0"/>
        <item x="13"/>
        <item x="10"/>
        <item x="9"/>
        <item x="7"/>
        <item x="21"/>
        <item x="12"/>
        <item t="default"/>
      </items>
    </pivotField>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6">
    <i>
      <x v="3"/>
    </i>
    <i>
      <x v="6"/>
    </i>
    <i>
      <x v="15"/>
    </i>
    <i>
      <x v="16"/>
    </i>
    <i>
      <x v="22"/>
    </i>
    <i t="grand">
      <x/>
    </i>
  </rowItems>
  <colItems count="1">
    <i/>
  </colItems>
  <dataFields count="1">
    <dataField name="Sum of Sales_Amount" fld="8" baseField="0" baseItem="0"/>
  </dataFields>
  <chartFormats count="2">
    <chartFormat chart="2"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0816BE-1F35-4599-91E1-32A4DDDAC016}"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1:G8" firstHeaderRow="1"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showAll="0">
      <items count="7">
        <item x="3"/>
        <item x="5"/>
        <item x="1"/>
        <item x="0"/>
        <item x="2"/>
        <item x="4"/>
        <item t="default"/>
      </items>
    </pivotField>
    <pivotField showAll="0"/>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axis="axisRow"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0"/>
  </rowFields>
  <rowItems count="7">
    <i>
      <x/>
    </i>
    <i>
      <x v="1"/>
    </i>
    <i>
      <x v="2"/>
    </i>
    <i>
      <x v="3"/>
    </i>
    <i>
      <x v="4"/>
    </i>
    <i>
      <x v="5"/>
    </i>
    <i t="grand">
      <x/>
    </i>
  </rowItems>
  <colItems count="1">
    <i/>
  </colItems>
  <dataFields count="1">
    <dataField name="Sum of Sales_Amount" fld="8" baseField="0" baseItem="0"/>
  </dataFields>
  <chartFormats count="7">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0" count="1" selected="0">
            <x v="0"/>
          </reference>
        </references>
      </pivotArea>
    </chartFormat>
    <chartFormat chart="15" format="10">
      <pivotArea type="data" outline="0" fieldPosition="0">
        <references count="2">
          <reference field="4294967294" count="1" selected="0">
            <x v="0"/>
          </reference>
          <reference field="10" count="1" selected="0">
            <x v="1"/>
          </reference>
        </references>
      </pivotArea>
    </chartFormat>
    <chartFormat chart="15" format="11">
      <pivotArea type="data" outline="0" fieldPosition="0">
        <references count="2">
          <reference field="4294967294" count="1" selected="0">
            <x v="0"/>
          </reference>
          <reference field="10" count="1" selected="0">
            <x v="2"/>
          </reference>
        </references>
      </pivotArea>
    </chartFormat>
    <chartFormat chart="15" format="12">
      <pivotArea type="data" outline="0" fieldPosition="0">
        <references count="2">
          <reference field="4294967294" count="1" selected="0">
            <x v="0"/>
          </reference>
          <reference field="10" count="1" selected="0">
            <x v="3"/>
          </reference>
        </references>
      </pivotArea>
    </chartFormat>
    <chartFormat chart="15" format="13">
      <pivotArea type="data" outline="0" fieldPosition="0">
        <references count="2">
          <reference field="4294967294" count="1" selected="0">
            <x v="0"/>
          </reference>
          <reference field="10" count="1" selected="0">
            <x v="4"/>
          </reference>
        </references>
      </pivotArea>
    </chartFormat>
    <chartFormat chart="15" format="1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1D822A-2F69-45E2-9D5A-2EF0608BD78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8" firstHeaderRow="0" firstDataRow="1" firstDataCol="1"/>
  <pivotFields count="12">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axis="axisRow" showAll="0">
      <items count="7">
        <item x="3"/>
        <item x="5"/>
        <item x="1"/>
        <item x="0"/>
        <item x="2"/>
        <item x="4"/>
        <item t="default"/>
      </items>
    </pivotField>
    <pivotField showAll="0"/>
    <pivotField showAll="0"/>
    <pivotField showAll="0"/>
    <pivotField showAll="0"/>
    <pivotField showAll="0"/>
    <pivotField dataField="1" showAll="0"/>
    <pivotField showAll="0"/>
    <pivotField showAll="0"/>
    <pivotField showAll="0"/>
    <pivotField dataField="1" showAll="0"/>
  </pivotFields>
  <rowFields count="1">
    <field x="1"/>
  </rowFields>
  <rowItems count="7">
    <i>
      <x/>
    </i>
    <i>
      <x v="1"/>
    </i>
    <i>
      <x v="2"/>
    </i>
    <i>
      <x v="3"/>
    </i>
    <i>
      <x v="4"/>
    </i>
    <i>
      <x v="5"/>
    </i>
    <i t="grand">
      <x/>
    </i>
  </rowItems>
  <colFields count="1">
    <field x="-2"/>
  </colFields>
  <colItems count="2">
    <i>
      <x/>
    </i>
    <i i="1">
      <x v="1"/>
    </i>
  </colItems>
  <dataFields count="2">
    <dataField name="Sum of Sales_Amount" fld="7" baseField="0" baseItem="0"/>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8F203B-CC3D-4CDC-B6A4-AEBE918CCA03}"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R1:S6" firstHeaderRow="1"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showAll="0">
      <items count="7">
        <item x="3"/>
        <item x="5"/>
        <item x="1"/>
        <item x="0"/>
        <item x="2"/>
        <item x="4"/>
        <item t="default"/>
      </items>
    </pivotField>
    <pivotField showAll="0"/>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axis="axisRow"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5"/>
    <field x="9"/>
  </rowFields>
  <rowItems count="5">
    <i>
      <x/>
    </i>
    <i>
      <x v="1"/>
    </i>
    <i>
      <x v="2"/>
    </i>
    <i>
      <x v="3"/>
    </i>
    <i t="grand">
      <x/>
    </i>
  </rowItems>
  <colItems count="1">
    <i/>
  </colItems>
  <dataFields count="1">
    <dataField name="Sum of Sales_Amount" fld="8" baseField="0" baseItem="0"/>
  </dataFields>
  <chartFormats count="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1DCF7B-7910-4C97-B1B6-E16AF03A2D14}"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D67" firstHeaderRow="0"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axis="axisRow" showAll="0">
      <items count="7">
        <item x="3"/>
        <item x="5"/>
        <item x="1"/>
        <item x="0"/>
        <item x="2"/>
        <item x="4"/>
        <item t="default"/>
      </items>
    </pivotField>
    <pivotField showAll="0"/>
    <pivotField dataField="1"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axis="axisRow" showAll="0" defaultSubtotal="0">
      <items count="5">
        <item x="0"/>
        <item x="1"/>
        <item x="2"/>
        <item x="3"/>
        <item x="4"/>
      </items>
    </pivotField>
  </pivotFields>
  <rowFields count="2">
    <field x="15"/>
    <field x="2"/>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Fields count="1">
    <field x="-2"/>
  </colFields>
  <colItems count="3">
    <i>
      <x/>
    </i>
    <i i="1">
      <x v="1"/>
    </i>
    <i i="2">
      <x v="2"/>
    </i>
  </colItems>
  <dataFields count="3">
    <dataField name="Sum of Sales_Amount" fld="8" baseField="0" baseItem="0"/>
    <dataField name="Sum of Profit" fld="12" baseField="0" baseItem="0"/>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B5D456-7B53-4EED-A971-386C06E0BD6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C16" firstHeaderRow="0"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showAll="0">
      <items count="7">
        <item x="3"/>
        <item x="5"/>
        <item x="1"/>
        <item x="0"/>
        <item x="2"/>
        <item x="4"/>
        <item t="default"/>
      </items>
    </pivotField>
    <pivotField showAll="0"/>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axis="axisRow"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5"/>
    <field x="9"/>
  </rowFields>
  <rowItems count="5">
    <i>
      <x/>
    </i>
    <i>
      <x v="1"/>
    </i>
    <i>
      <x v="2"/>
    </i>
    <i>
      <x v="3"/>
    </i>
    <i t="grand">
      <x/>
    </i>
  </rowItems>
  <colFields count="1">
    <field x="-2"/>
  </colFields>
  <colItems count="2">
    <i>
      <x/>
    </i>
    <i i="1">
      <x v="1"/>
    </i>
  </colItems>
  <dataFields count="2">
    <dataField name="Sum of Sales_Amount" fld="8" baseField="0" baseItem="0"/>
    <dataField name="Sum of Profit" fld="12" baseField="0" baseItem="0"/>
  </dataFields>
  <chartFormats count="6">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5" count="1" selected="0">
            <x v="3"/>
          </reference>
        </references>
      </pivotArea>
    </chartFormat>
    <chartFormat chart="2" format="3" series="1">
      <pivotArea type="data" outline="0" fieldPosition="0">
        <references count="1">
          <reference field="4294967294" count="1" selected="0">
            <x v="1"/>
          </reference>
        </references>
      </pivotArea>
    </chartFormat>
    <chartFormat chart="2" format="4">
      <pivotArea type="data" outline="0" fieldPosition="0">
        <references count="2">
          <reference field="4294967294" count="1" selected="0">
            <x v="1"/>
          </reference>
          <reference field="15" count="1" selected="0">
            <x v="1"/>
          </reference>
        </references>
      </pivotArea>
    </chartFormat>
    <chartFormat chart="2" format="5">
      <pivotArea type="data" outline="0" fieldPosition="0">
        <references count="2">
          <reference field="4294967294" count="1" selected="0">
            <x v="1"/>
          </reference>
          <reference field="15" count="1" selected="0">
            <x v="0"/>
          </reference>
        </references>
      </pivotArea>
    </chartFormat>
    <chartFormat chart="2" format="6">
      <pivotArea type="data" outline="0" fieldPosition="0">
        <references count="2">
          <reference field="4294967294" count="1" selected="0">
            <x v="1"/>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A10A60A-2385-4EEA-A9ED-7AD3B53F5B81}"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1:G14" firstHeaderRow="1"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showAll="0">
      <items count="7">
        <item x="3"/>
        <item x="5"/>
        <item x="1"/>
        <item x="0"/>
        <item x="2"/>
        <item x="4"/>
        <item t="default"/>
      </items>
    </pivotField>
    <pivotField showAll="0"/>
    <pivotField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axis="axisRow" showAll="0">
      <items count="3">
        <item x="1"/>
        <item x="0"/>
        <item t="default"/>
      </items>
    </pivotField>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11"/>
  </rowFields>
  <rowItems count="3">
    <i>
      <x/>
    </i>
    <i>
      <x v="1"/>
    </i>
    <i t="grand">
      <x/>
    </i>
  </rowItems>
  <colItems count="1">
    <i/>
  </colItems>
  <dataFields count="1">
    <dataField name="Sum of Sales_Amount" fld="8"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B109F4-E2B6-469D-9106-E5490A72F9B2}"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5" firstHeaderRow="1" firstDataRow="1" firstDataCol="1"/>
  <pivotFields count="16">
    <pivotField showAll="0"/>
    <pivotField showAll="0">
      <items count="2459">
        <item x="2379"/>
        <item x="305"/>
        <item x="1190"/>
        <item x="1217"/>
        <item x="1352"/>
        <item x="574"/>
        <item x="753"/>
        <item x="397"/>
        <item x="944"/>
        <item x="1031"/>
        <item x="1050"/>
        <item x="229"/>
        <item x="301"/>
        <item x="1253"/>
        <item x="993"/>
        <item x="1945"/>
        <item x="908"/>
        <item x="1015"/>
        <item x="2292"/>
        <item x="1718"/>
        <item x="1378"/>
        <item x="1737"/>
        <item x="1243"/>
        <item x="2232"/>
        <item x="405"/>
        <item x="1887"/>
        <item x="1900"/>
        <item x="1695"/>
        <item x="2455"/>
        <item x="17"/>
        <item x="1406"/>
        <item x="1416"/>
        <item x="1300"/>
        <item x="1429"/>
        <item x="1710"/>
        <item x="1959"/>
        <item x="2037"/>
        <item x="1950"/>
        <item x="1005"/>
        <item x="1735"/>
        <item x="1642"/>
        <item x="734"/>
        <item x="1770"/>
        <item x="1947"/>
        <item x="849"/>
        <item x="2059"/>
        <item x="213"/>
        <item x="1993"/>
        <item x="867"/>
        <item x="472"/>
        <item x="2309"/>
        <item x="2420"/>
        <item x="228"/>
        <item x="490"/>
        <item x="2453"/>
        <item x="2374"/>
        <item x="2328"/>
        <item x="2357"/>
        <item x="2267"/>
        <item x="1435"/>
        <item x="1490"/>
        <item x="1232"/>
        <item x="2339"/>
        <item x="1506"/>
        <item x="2094"/>
        <item x="1828"/>
        <item x="2349"/>
        <item x="404"/>
        <item x="641"/>
        <item x="826"/>
        <item x="1498"/>
        <item x="1781"/>
        <item x="1475"/>
        <item x="2273"/>
        <item x="1034"/>
        <item x="1690"/>
        <item x="1059"/>
        <item x="1181"/>
        <item x="891"/>
        <item x="1026"/>
        <item x="1654"/>
        <item x="2324"/>
        <item x="1975"/>
        <item x="93"/>
        <item x="65"/>
        <item x="1381"/>
        <item x="2412"/>
        <item x="2416"/>
        <item x="1447"/>
        <item x="2251"/>
        <item x="1309"/>
        <item x="822"/>
        <item x="587"/>
        <item x="1120"/>
        <item x="597"/>
        <item x="1592"/>
        <item x="21"/>
        <item x="958"/>
        <item x="306"/>
        <item x="2004"/>
        <item x="219"/>
        <item x="97"/>
        <item x="1372"/>
        <item x="1457"/>
        <item x="1087"/>
        <item x="1385"/>
        <item x="1563"/>
        <item x="1035"/>
        <item x="202"/>
        <item x="840"/>
        <item x="291"/>
        <item x="1045"/>
        <item x="1918"/>
        <item x="2083"/>
        <item x="37"/>
        <item x="1281"/>
        <item x="1949"/>
        <item x="1091"/>
        <item x="1472"/>
        <item x="1077"/>
        <item x="1617"/>
        <item x="1486"/>
        <item x="675"/>
        <item x="201"/>
        <item x="647"/>
        <item x="1827"/>
        <item x="1100"/>
        <item x="566"/>
        <item x="1469"/>
        <item x="844"/>
        <item x="747"/>
        <item x="1057"/>
        <item x="1704"/>
        <item x="2104"/>
        <item x="1113"/>
        <item x="2366"/>
        <item x="2036"/>
        <item x="1742"/>
        <item x="1307"/>
        <item x="2289"/>
        <item x="1880"/>
        <item x="131"/>
        <item x="652"/>
        <item x="346"/>
        <item x="905"/>
        <item x="2092"/>
        <item x="285"/>
        <item x="685"/>
        <item x="1898"/>
        <item x="861"/>
        <item x="181"/>
        <item x="104"/>
        <item x="2170"/>
        <item x="1623"/>
        <item x="1228"/>
        <item x="18"/>
        <item x="517"/>
        <item x="394"/>
        <item x="564"/>
        <item x="1441"/>
        <item x="40"/>
        <item x="2456"/>
        <item x="1751"/>
        <item x="1857"/>
        <item x="559"/>
        <item x="426"/>
        <item x="1651"/>
        <item x="2030"/>
        <item x="2215"/>
        <item x="802"/>
        <item x="54"/>
        <item x="1771"/>
        <item x="504"/>
        <item x="1942"/>
        <item x="855"/>
        <item x="271"/>
        <item x="1149"/>
        <item x="1110"/>
        <item x="1586"/>
        <item x="542"/>
        <item x="120"/>
        <item x="961"/>
        <item x="1935"/>
        <item x="2220"/>
        <item x="1323"/>
        <item x="857"/>
        <item x="69"/>
        <item x="1439"/>
        <item x="458"/>
        <item x="1024"/>
        <item x="943"/>
        <item x="612"/>
        <item x="648"/>
        <item x="618"/>
        <item x="1130"/>
        <item x="1609"/>
        <item x="339"/>
        <item x="582"/>
        <item x="1502"/>
        <item x="1212"/>
        <item x="824"/>
        <item x="653"/>
        <item x="249"/>
        <item x="1533"/>
        <item x="2305"/>
        <item x="919"/>
        <item x="2395"/>
        <item x="2414"/>
        <item x="920"/>
        <item x="1988"/>
        <item x="544"/>
        <item x="2354"/>
        <item x="189"/>
        <item x="1753"/>
        <item x="226"/>
        <item x="1473"/>
        <item x="2304"/>
        <item x="1213"/>
        <item x="785"/>
        <item x="1301"/>
        <item x="1214"/>
        <item x="1628"/>
        <item x="1302"/>
        <item x="1267"/>
        <item x="1759"/>
        <item x="174"/>
        <item x="1552"/>
        <item x="1407"/>
        <item x="1637"/>
        <item x="838"/>
        <item x="1796"/>
        <item x="1499"/>
        <item x="1513"/>
        <item x="725"/>
        <item x="1083"/>
        <item x="39"/>
        <item x="230"/>
        <item x="243"/>
        <item x="1454"/>
        <item x="1296"/>
        <item x="534"/>
        <item x="2422"/>
        <item x="1383"/>
        <item x="713"/>
        <item x="1598"/>
        <item x="1957"/>
        <item x="175"/>
        <item x="2242"/>
        <item x="388"/>
        <item x="2307"/>
        <item x="736"/>
        <item x="863"/>
        <item x="1593"/>
        <item x="1172"/>
        <item x="729"/>
        <item x="1784"/>
        <item x="215"/>
        <item x="2061"/>
        <item x="909"/>
        <item x="1689"/>
        <item x="2250"/>
        <item x="651"/>
        <item x="516"/>
        <item x="142"/>
        <item x="727"/>
        <item x="916"/>
        <item x="1698"/>
        <item x="1800"/>
        <item x="94"/>
        <item x="2411"/>
        <item x="1136"/>
        <item x="1039"/>
        <item x="1153"/>
        <item x="1195"/>
        <item x="870"/>
        <item x="2155"/>
        <item x="313"/>
        <item x="590"/>
        <item x="272"/>
        <item x="549"/>
        <item x="211"/>
        <item x="522"/>
        <item x="30"/>
        <item x="264"/>
        <item x="1859"/>
        <item x="2208"/>
        <item x="447"/>
        <item x="790"/>
        <item x="1456"/>
        <item x="912"/>
        <item x="68"/>
        <item x="1096"/>
        <item x="1730"/>
        <item x="1982"/>
        <item x="1033"/>
        <item x="1184"/>
        <item x="103"/>
        <item x="369"/>
        <item x="251"/>
        <item x="1703"/>
        <item x="1649"/>
        <item x="2440"/>
        <item x="1097"/>
        <item x="1603"/>
        <item x="893"/>
        <item x="2213"/>
        <item x="1669"/>
        <item x="1952"/>
        <item x="1810"/>
        <item x="737"/>
        <item x="55"/>
        <item x="2007"/>
        <item x="380"/>
        <item x="2167"/>
        <item x="1741"/>
        <item x="350"/>
        <item x="608"/>
        <item x="643"/>
        <item x="1308"/>
        <item x="1001"/>
        <item x="1480"/>
        <item x="1157"/>
        <item x="796"/>
        <item x="500"/>
        <item x="799"/>
        <item x="2010"/>
        <item x="1477"/>
        <item x="0"/>
        <item x="1876"/>
        <item x="1747"/>
        <item x="894"/>
        <item x="1560"/>
        <item x="1646"/>
        <item x="2200"/>
        <item x="1848"/>
        <item x="1509"/>
        <item x="1720"/>
        <item x="2124"/>
        <item x="2365"/>
        <item x="2147"/>
        <item x="268"/>
        <item x="1316"/>
        <item x="2003"/>
        <item x="515"/>
        <item x="1601"/>
        <item x="149"/>
        <item x="2162"/>
        <item x="1966"/>
        <item x="379"/>
        <item x="1707"/>
        <item x="1691"/>
        <item x="418"/>
        <item x="1355"/>
        <item x="667"/>
        <item x="2393"/>
        <item x="565"/>
        <item x="820"/>
        <item x="903"/>
        <item x="1060"/>
        <item x="1958"/>
        <item x="583"/>
        <item x="1037"/>
        <item x="2164"/>
        <item x="425"/>
        <item x="902"/>
        <item x="2277"/>
        <item x="1388"/>
        <item x="814"/>
        <item x="846"/>
        <item x="2308"/>
        <item x="523"/>
        <item x="2014"/>
        <item x="1403"/>
        <item x="439"/>
        <item x="868"/>
        <item x="1046"/>
        <item x="968"/>
        <item x="96"/>
        <item x="252"/>
        <item x="1000"/>
        <item x="1705"/>
        <item x="546"/>
        <item x="1507"/>
        <item x="283"/>
        <item x="1252"/>
        <item x="2399"/>
        <item x="1941"/>
        <item x="1585"/>
        <item x="2203"/>
        <item x="1767"/>
        <item x="240"/>
        <item x="300"/>
        <item x="2270"/>
        <item x="115"/>
        <item x="979"/>
        <item x="1479"/>
        <item x="2407"/>
        <item x="2041"/>
        <item x="1002"/>
        <item x="591"/>
        <item x="1843"/>
        <item x="2278"/>
        <item x="1099"/>
        <item x="562"/>
        <item x="342"/>
        <item x="633"/>
        <item x="1604"/>
        <item x="2080"/>
        <item x="2106"/>
        <item x="1343"/>
        <item x="2233"/>
        <item x="2009"/>
        <item x="1924"/>
        <item x="337"/>
        <item x="1047"/>
        <item x="2069"/>
        <item x="1655"/>
        <item x="1402"/>
        <item x="2405"/>
        <item x="1865"/>
        <item x="1943"/>
        <item x="1357"/>
        <item x="1069"/>
        <item x="205"/>
        <item x="46"/>
        <item x="817"/>
        <item x="609"/>
        <item x="331"/>
        <item x="1891"/>
        <item x="1937"/>
        <item x="1101"/>
        <item x="2194"/>
        <item x="1902"/>
        <item x="79"/>
        <item x="216"/>
        <item x="1131"/>
        <item x="2266"/>
        <item x="341"/>
        <item x="1921"/>
        <item x="1249"/>
        <item x="974"/>
        <item x="553"/>
        <item x="1779"/>
        <item x="1313"/>
        <item x="2078"/>
        <item x="392"/>
        <item x="1262"/>
        <item x="716"/>
        <item x="2330"/>
        <item x="1954"/>
        <item x="2139"/>
        <item x="2243"/>
        <item x="660"/>
        <item x="684"/>
        <item x="1905"/>
        <item x="1455"/>
        <item x="327"/>
        <item x="1553"/>
        <item x="2432"/>
        <item x="1575"/>
        <item x="2035"/>
        <item x="192"/>
        <item x="25"/>
        <item x="1292"/>
        <item x="194"/>
        <item x="1427"/>
        <item x="1972"/>
        <item x="2140"/>
        <item x="417"/>
        <item x="2281"/>
        <item x="1277"/>
        <item x="901"/>
        <item x="830"/>
        <item x="1969"/>
        <item x="2419"/>
        <item x="1580"/>
        <item x="854"/>
        <item x="280"/>
        <item x="2260"/>
        <item x="2190"/>
        <item x="161"/>
        <item x="1332"/>
        <item x="1756"/>
        <item x="910"/>
        <item x="976"/>
        <item x="1025"/>
        <item x="244"/>
        <item x="663"/>
        <item x="1520"/>
        <item x="992"/>
        <item x="700"/>
        <item x="2404"/>
        <item x="422"/>
        <item x="1977"/>
        <item x="2410"/>
        <item x="2302"/>
        <item x="1051"/>
        <item x="1667"/>
        <item x="655"/>
        <item x="1400"/>
        <item x="370"/>
        <item x="1443"/>
        <item x="2150"/>
        <item x="292"/>
        <item x="1094"/>
        <item x="1822"/>
        <item x="2311"/>
        <item x="1474"/>
        <item x="1236"/>
        <item x="2006"/>
        <item x="970"/>
        <item x="1348"/>
        <item x="644"/>
        <item x="220"/>
        <item x="1545"/>
        <item x="2165"/>
        <item x="1600"/>
        <item x="533"/>
        <item x="1532"/>
        <item x="1106"/>
        <item x="26"/>
        <item x="36"/>
        <item x="2077"/>
        <item x="45"/>
        <item x="918"/>
        <item x="2356"/>
        <item x="913"/>
        <item x="2301"/>
        <item x="856"/>
        <item x="1497"/>
        <item x="1088"/>
        <item x="2244"/>
        <item x="555"/>
        <item x="1697"/>
        <item x="38"/>
        <item x="1500"/>
        <item x="1179"/>
        <item x="468"/>
        <item x="183"/>
        <item x="940"/>
        <item x="1414"/>
        <item x="2340"/>
        <item x="1682"/>
        <item x="1065"/>
        <item x="200"/>
        <item x="1517"/>
        <item x="2332"/>
        <item x="1160"/>
        <item x="1681"/>
        <item x="385"/>
        <item x="1460"/>
        <item x="2225"/>
        <item x="2373"/>
        <item x="703"/>
        <item x="2269"/>
        <item x="1911"/>
        <item x="1123"/>
        <item x="1826"/>
        <item x="763"/>
        <item x="1452"/>
        <item x="2182"/>
        <item x="1340"/>
        <item x="2115"/>
        <item x="2168"/>
        <item x="9"/>
        <item x="576"/>
        <item x="2197"/>
        <item x="141"/>
        <item x="2210"/>
        <item x="2117"/>
        <item x="545"/>
        <item x="100"/>
        <item x="2192"/>
        <item x="1365"/>
        <item x="1673"/>
        <item x="1376"/>
        <item x="1923"/>
        <item x="401"/>
        <item x="1931"/>
        <item x="1196"/>
        <item x="1074"/>
        <item x="2248"/>
        <item x="185"/>
        <item x="1766"/>
        <item x="1374"/>
        <item x="1877"/>
        <item x="1318"/>
        <item x="551"/>
        <item x="400"/>
        <item x="1946"/>
        <item x="1373"/>
        <item x="462"/>
        <item x="1912"/>
        <item x="1193"/>
        <item x="135"/>
        <item x="2153"/>
        <item x="1574"/>
        <item x="810"/>
        <item x="1881"/>
        <item x="442"/>
        <item x="1234"/>
        <item x="456"/>
        <item x="982"/>
        <item x="287"/>
        <item x="1132"/>
        <item x="212"/>
        <item x="1481"/>
        <item x="911"/>
        <item x="1812"/>
        <item x="1979"/>
        <item x="1445"/>
        <item x="23"/>
        <item x="480"/>
        <item x="91"/>
        <item x="1170"/>
        <item x="2093"/>
        <item x="1913"/>
        <item x="88"/>
        <item x="547"/>
        <item x="1306"/>
        <item x="1752"/>
        <item x="2161"/>
        <item x="1266"/>
        <item x="1017"/>
        <item x="2437"/>
        <item x="1712"/>
        <item x="1073"/>
        <item x="1363"/>
        <item x="524"/>
        <item x="1333"/>
        <item x="2369"/>
        <item x="581"/>
        <item x="203"/>
        <item x="1013"/>
        <item x="884"/>
        <item x="1907"/>
        <item x="1291"/>
        <item x="1379"/>
        <item x="634"/>
        <item x="720"/>
        <item x="1882"/>
        <item x="568"/>
        <item x="1992"/>
        <item x="762"/>
        <item x="1205"/>
        <item x="2217"/>
        <item x="409"/>
        <item x="1544"/>
        <item x="139"/>
        <item x="957"/>
        <item x="156"/>
        <item x="196"/>
        <item x="951"/>
        <item x="1618"/>
        <item x="2262"/>
        <item x="78"/>
        <item x="1377"/>
        <item x="1973"/>
        <item x="1155"/>
        <item x="904"/>
        <item x="284"/>
        <item x="1537"/>
        <item x="43"/>
        <item x="1369"/>
        <item x="1070"/>
        <item x="53"/>
        <item x="1535"/>
        <item x="1219"/>
        <item x="2132"/>
        <item x="1802"/>
        <item x="881"/>
        <item x="552"/>
        <item x="1329"/>
        <item x="1162"/>
        <item x="2016"/>
        <item x="1148"/>
        <item x="808"/>
        <item x="1006"/>
        <item x="89"/>
        <item x="113"/>
        <item x="2337"/>
        <item x="1874"/>
        <item x="1053"/>
        <item x="931"/>
        <item x="1225"/>
        <item x="939"/>
        <item x="1587"/>
        <item x="1226"/>
        <item x="1371"/>
        <item x="98"/>
        <item x="171"/>
        <item x="2316"/>
        <item x="981"/>
        <item x="1358"/>
        <item x="580"/>
        <item x="2447"/>
        <item x="1401"/>
        <item x="1901"/>
        <item x="973"/>
        <item x="1147"/>
        <item x="2133"/>
        <item x="2221"/>
        <item x="686"/>
        <item x="2032"/>
        <item x="784"/>
        <item x="86"/>
        <item x="1137"/>
        <item x="1527"/>
        <item x="227"/>
        <item x="774"/>
        <item x="628"/>
        <item x="1367"/>
        <item x="444"/>
        <item x="245"/>
        <item x="792"/>
        <item x="1511"/>
        <item x="1090"/>
        <item x="7"/>
        <item x="896"/>
        <item x="1436"/>
        <item x="756"/>
        <item x="1311"/>
        <item x="2326"/>
        <item x="718"/>
        <item x="2008"/>
        <item x="297"/>
        <item x="2275"/>
        <item x="60"/>
        <item x="858"/>
        <item x="1038"/>
        <item x="1788"/>
        <item x="691"/>
        <item x="1761"/>
        <item x="1095"/>
        <item x="1894"/>
        <item x="2096"/>
        <item x="247"/>
        <item x="2012"/>
        <item x="1536"/>
        <item x="2189"/>
        <item x="624"/>
        <item x="2202"/>
        <item x="438"/>
        <item x="413"/>
        <item x="2151"/>
        <item x="1773"/>
        <item x="2443"/>
        <item x="107"/>
        <item x="1715"/>
        <item x="188"/>
        <item x="1960"/>
        <item x="493"/>
        <item x="1680"/>
        <item x="1192"/>
        <item x="1434"/>
        <item x="669"/>
        <item x="2191"/>
        <item x="176"/>
        <item x="1562"/>
        <item x="119"/>
        <item x="837"/>
        <item x="44"/>
        <item x="1133"/>
        <item x="338"/>
        <item x="2333"/>
        <item x="1862"/>
        <item x="2247"/>
        <item x="1007"/>
        <item x="441"/>
        <item x="1263"/>
        <item x="773"/>
        <item x="1043"/>
        <item x="869"/>
        <item x="2087"/>
        <item x="832"/>
        <item x="850"/>
        <item x="2031"/>
        <item x="1775"/>
        <item x="1370"/>
        <item x="328"/>
        <item x="2325"/>
        <item x="1484"/>
        <item x="72"/>
        <item x="1987"/>
        <item x="446"/>
        <item x="51"/>
        <item x="2431"/>
        <item x="1508"/>
        <item x="1668"/>
        <item x="2230"/>
        <item x="1428"/>
        <item x="2442"/>
        <item x="1754"/>
        <item x="1849"/>
        <item x="2282"/>
        <item x="132"/>
        <item x="275"/>
        <item x="435"/>
        <item x="263"/>
        <item x="167"/>
        <item x="740"/>
        <item x="106"/>
        <item x="2218"/>
        <item x="579"/>
        <item x="786"/>
        <item x="28"/>
        <item x="1844"/>
        <item x="2285"/>
        <item x="1870"/>
        <item x="1075"/>
        <item x="2062"/>
        <item x="1764"/>
        <item x="2370"/>
        <item x="2050"/>
        <item x="1762"/>
        <item x="1014"/>
        <item x="1626"/>
        <item x="2015"/>
        <item x="1286"/>
        <item x="77"/>
        <item x="1675"/>
        <item x="2402"/>
        <item x="1042"/>
        <item x="1858"/>
        <item x="1382"/>
        <item x="1270"/>
        <item x="627"/>
        <item x="1934"/>
        <item x="2045"/>
        <item x="1116"/>
        <item x="2222"/>
        <item x="261"/>
        <item x="2259"/>
        <item x="1588"/>
        <item x="1040"/>
        <item x="1919"/>
        <item x="2146"/>
        <item x="1769"/>
        <item x="2436"/>
        <item x="769"/>
        <item x="991"/>
        <item x="265"/>
        <item x="2011"/>
        <item x="485"/>
        <item x="603"/>
        <item x="130"/>
        <item x="724"/>
        <item x="789"/>
        <item x="126"/>
        <item x="1831"/>
        <item x="2212"/>
        <item x="1647"/>
        <item x="224"/>
        <item x="755"/>
        <item x="1324"/>
        <item x="2256"/>
        <item x="966"/>
        <item x="783"/>
        <item x="2138"/>
        <item x="2364"/>
        <item x="967"/>
        <item x="330"/>
        <item x="1658"/>
        <item x="250"/>
        <item x="750"/>
        <item x="1749"/>
        <item x="360"/>
        <item x="1494"/>
        <item x="821"/>
        <item x="403"/>
        <item x="2240"/>
        <item x="664"/>
        <item x="2029"/>
        <item x="658"/>
        <item x="90"/>
        <item x="801"/>
        <item x="408"/>
        <item x="1470"/>
        <item x="987"/>
        <item x="2022"/>
        <item x="626"/>
        <item x="860"/>
        <item x="1599"/>
        <item x="2108"/>
        <item x="639"/>
        <item x="1156"/>
        <item x="1321"/>
        <item x="1086"/>
        <item x="2297"/>
        <item x="2283"/>
        <item x="1003"/>
        <item x="2227"/>
        <item x="121"/>
        <item x="2263"/>
        <item x="1727"/>
        <item x="955"/>
        <item x="1797"/>
        <item x="242"/>
        <item x="705"/>
        <item x="768"/>
        <item x="477"/>
        <item x="356"/>
        <item x="1983"/>
        <item x="1134"/>
        <item x="1169"/>
        <item x="155"/>
        <item x="527"/>
        <item x="11"/>
        <item x="1944"/>
        <item x="557"/>
        <item x="1835"/>
        <item x="197"/>
        <item x="145"/>
        <item x="1412"/>
        <item x="777"/>
        <item x="198"/>
        <item x="1159"/>
        <item x="1521"/>
        <item x="948"/>
        <item x="1853"/>
        <item x="2390"/>
        <item x="390"/>
        <item x="2280"/>
        <item x="1410"/>
        <item x="13"/>
        <item x="1433"/>
        <item x="1122"/>
        <item x="1590"/>
        <item x="48"/>
        <item x="1273"/>
        <item x="1933"/>
        <item x="1066"/>
        <item x="1606"/>
        <item x="1806"/>
        <item x="85"/>
        <item x="503"/>
        <item x="494"/>
        <item x="1953"/>
        <item x="419"/>
        <item x="395"/>
        <item x="835"/>
        <item x="1612"/>
        <item x="1139"/>
        <item x="519"/>
        <item x="1558"/>
        <item x="2141"/>
        <item x="217"/>
        <item x="1892"/>
        <item x="659"/>
        <item x="1656"/>
        <item x="1758"/>
        <item x="255"/>
        <item x="975"/>
        <item x="1763"/>
        <item x="952"/>
        <item x="1830"/>
        <item x="1418"/>
        <item x="246"/>
        <item x="1867"/>
        <item x="1182"/>
        <item x="2245"/>
        <item x="290"/>
        <item x="1564"/>
        <item x="343"/>
        <item x="136"/>
        <item x="1929"/>
        <item x="1421"/>
        <item x="1543"/>
        <item x="125"/>
        <item x="2159"/>
        <item x="1353"/>
        <item x="1451"/>
        <item x="1327"/>
        <item x="3"/>
        <item x="207"/>
        <item x="1368"/>
        <item x="1345"/>
        <item x="1734"/>
        <item x="1488"/>
        <item x="1071"/>
        <item x="293"/>
        <item x="1644"/>
        <item x="572"/>
        <item x="1411"/>
        <item x="598"/>
        <item x="381"/>
        <item x="780"/>
        <item x="2335"/>
        <item x="2216"/>
        <item x="1540"/>
        <item x="2172"/>
        <item x="862"/>
        <item x="225"/>
        <item x="994"/>
        <item x="1961"/>
        <item x="2019"/>
        <item x="1154"/>
        <item x="1397"/>
        <item x="2154"/>
        <item x="1394"/>
        <item x="1663"/>
        <item x="1850"/>
        <item x="1908"/>
        <item x="548"/>
        <item x="518"/>
        <item x="2125"/>
        <item x="1102"/>
        <item x="2058"/>
        <item x="2171"/>
        <item x="1284"/>
        <item x="739"/>
        <item x="56"/>
        <item x="2234"/>
        <item x="1750"/>
        <item x="1996"/>
        <item x="75"/>
        <item x="165"/>
        <item x="1242"/>
        <item x="92"/>
        <item x="1852"/>
        <item x="122"/>
        <item x="430"/>
        <item x="2211"/>
        <item x="1999"/>
        <item x="487"/>
        <item x="625"/>
        <item x="1504"/>
        <item x="1380"/>
        <item x="1115"/>
        <item x="1615"/>
        <item x="997"/>
        <item x="1829"/>
        <item x="668"/>
        <item x="2425"/>
        <item x="1927"/>
        <item x="879"/>
        <item x="1662"/>
        <item x="423"/>
        <item x="1246"/>
        <item x="310"/>
        <item x="649"/>
        <item x="204"/>
        <item x="2397"/>
        <item x="1487"/>
        <item x="1297"/>
        <item x="605"/>
        <item x="2199"/>
        <item x="2028"/>
        <item x="467"/>
        <item x="1150"/>
        <item x="1716"/>
        <item x="563"/>
        <item x="206"/>
        <item x="815"/>
        <item x="707"/>
        <item x="1916"/>
        <item x="819"/>
        <item x="499"/>
        <item x="2051"/>
        <item x="922"/>
        <item x="432"/>
        <item x="589"/>
        <item x="1684"/>
        <item x="2046"/>
        <item x="2254"/>
        <item x="1304"/>
        <item x="728"/>
        <item x="2053"/>
        <item x="1518"/>
        <item x="124"/>
        <item x="1426"/>
        <item x="2072"/>
        <item x="64"/>
        <item x="880"/>
        <item x="277"/>
        <item x="679"/>
        <item x="1216"/>
        <item x="875"/>
        <item x="1984"/>
        <item x="1571"/>
        <item x="1036"/>
        <item x="1702"/>
        <item x="2249"/>
        <item x="2179"/>
        <item x="1711"/>
        <item x="1559"/>
        <item x="738"/>
        <item x="1072"/>
        <item x="1471"/>
        <item x="463"/>
        <item x="2317"/>
        <item x="1664"/>
        <item x="1384"/>
        <item x="637"/>
        <item x="806"/>
        <item x="1261"/>
        <item x="985"/>
        <item x="1841"/>
        <item x="393"/>
        <item x="1930"/>
        <item x="1337"/>
        <item x="1855"/>
        <item x="2084"/>
        <item x="614"/>
        <item x="1948"/>
        <item x="1940"/>
        <item x="1175"/>
        <item x="813"/>
        <item x="180"/>
        <item x="1920"/>
        <item x="1334"/>
        <item x="2287"/>
        <item x="399"/>
        <item x="1233"/>
        <item x="402"/>
        <item x="2268"/>
        <item x="1423"/>
        <item x="619"/>
        <item x="1493"/>
        <item x="1639"/>
        <item x="1335"/>
        <item x="1636"/>
        <item x="1464"/>
        <item x="1951"/>
        <item x="298"/>
        <item x="654"/>
        <item x="6"/>
        <item x="1183"/>
        <item x="1140"/>
        <item x="1446"/>
        <item x="1417"/>
        <item x="59"/>
        <item x="528"/>
        <item x="1255"/>
        <item x="823"/>
        <item x="1054"/>
        <item x="765"/>
        <item x="1346"/>
        <item x="332"/>
        <item x="190"/>
        <item x="897"/>
        <item x="1028"/>
        <item x="2401"/>
        <item x="2205"/>
        <item x="1237"/>
        <item x="2005"/>
        <item x="683"/>
        <item x="1245"/>
        <item x="781"/>
        <item x="1965"/>
        <item x="1030"/>
        <item x="956"/>
        <item x="1444"/>
        <item x="2314"/>
        <item x="1222"/>
        <item x="807"/>
        <item x="2454"/>
        <item x="536"/>
        <item x="1839"/>
        <item x="859"/>
        <item x="1994"/>
        <item x="2450"/>
        <item x="950"/>
        <item x="391"/>
        <item x="33"/>
        <item x="723"/>
        <item x="672"/>
        <item x="1107"/>
        <item x="1622"/>
        <item x="144"/>
        <item x="118"/>
        <item x="150"/>
        <item x="496"/>
        <item x="1389"/>
        <item x="1064"/>
        <item x="406"/>
        <item x="2085"/>
        <item x="845"/>
        <item x="279"/>
        <item x="2441"/>
        <item x="329"/>
        <item x="1746"/>
        <item x="1315"/>
        <item x="177"/>
        <item x="1203"/>
        <item x="2265"/>
        <item x="66"/>
        <item x="1515"/>
        <item x="2423"/>
        <item x="415"/>
        <item x="164"/>
        <item x="1461"/>
        <item x="839"/>
        <item x="1719"/>
        <item x="2095"/>
        <item x="1068"/>
        <item x="35"/>
        <item x="1657"/>
        <item x="1643"/>
        <item x="701"/>
        <item x="2279"/>
        <item x="2056"/>
        <item x="2204"/>
        <item x="2174"/>
        <item x="521"/>
        <item x="235"/>
        <item x="1176"/>
        <item x="483"/>
        <item x="2258"/>
        <item x="988"/>
        <item x="152"/>
        <item x="1687"/>
        <item x="1241"/>
        <item x="1838"/>
        <item x="1229"/>
        <item x="15"/>
        <item x="1804"/>
        <item x="1554"/>
        <item x="67"/>
        <item x="1785"/>
        <item x="1956"/>
        <item x="1851"/>
        <item x="1272"/>
        <item x="2039"/>
        <item x="347"/>
        <item x="452"/>
        <item x="1748"/>
        <item x="453"/>
        <item x="507"/>
        <item x="1092"/>
        <item x="942"/>
        <item x="2257"/>
        <item x="1293"/>
        <item x="998"/>
        <item x="2344"/>
        <item x="2111"/>
        <item x="677"/>
        <item x="2123"/>
        <item x="833"/>
        <item x="1879"/>
        <item x="1627"/>
        <item x="1968"/>
        <item x="1349"/>
        <item x="1616"/>
        <item x="1714"/>
        <item x="2157"/>
        <item x="543"/>
        <item x="1696"/>
        <item x="58"/>
        <item x="2091"/>
        <item x="1868"/>
        <item x="794"/>
        <item x="365"/>
        <item x="1151"/>
        <item x="221"/>
        <item x="186"/>
        <item x="238"/>
        <item x="1925"/>
        <item x="876"/>
        <item x="645"/>
        <item x="289"/>
        <item x="138"/>
        <item x="2338"/>
        <item x="1818"/>
        <item x="352"/>
        <item x="2391"/>
        <item x="1970"/>
        <item x="1595"/>
        <item x="2185"/>
        <item x="2394"/>
        <item x="1450"/>
        <item x="1512"/>
        <item x="689"/>
        <item x="2445"/>
        <item x="1864"/>
        <item x="1572"/>
        <item x="1872"/>
        <item x="1437"/>
        <item x="335"/>
        <item x="232"/>
        <item x="1364"/>
        <item x="2293"/>
        <item x="2271"/>
        <item x="1004"/>
        <item x="218"/>
        <item x="1820"/>
        <item x="1142"/>
        <item x="1141"/>
        <item x="1387"/>
        <item x="1778"/>
        <item x="2241"/>
        <item x="2451"/>
        <item x="662"/>
        <item x="465"/>
        <item x="210"/>
        <item x="2052"/>
        <item x="2183"/>
        <item x="841"/>
        <item x="809"/>
        <item x="748"/>
        <item x="282"/>
        <item x="2166"/>
        <item x="1204"/>
        <item x="1578"/>
        <item x="1020"/>
        <item x="1285"/>
        <item x="374"/>
        <item x="1967"/>
        <item x="274"/>
        <item x="1211"/>
        <item x="749"/>
        <item x="1287"/>
        <item x="61"/>
        <item x="304"/>
        <item x="445"/>
        <item x="1448"/>
        <item x="793"/>
        <item x="1670"/>
        <item x="2121"/>
        <item x="1420"/>
        <item x="482"/>
        <item x="1547"/>
        <item x="1173"/>
        <item x="692"/>
        <item x="2063"/>
        <item x="1539"/>
        <item x="1483"/>
        <item x="420"/>
        <item x="513"/>
        <item x="178"/>
        <item x="1526"/>
        <item x="1197"/>
        <item x="2252"/>
        <item x="1108"/>
        <item x="1676"/>
        <item x="281"/>
        <item x="2377"/>
        <item x="804"/>
        <item x="84"/>
        <item x="1396"/>
        <item x="2372"/>
        <item x="1863"/>
        <item x="2276"/>
        <item x="1878"/>
        <item x="254"/>
        <item x="1495"/>
        <item x="32"/>
        <item x="1672"/>
        <item x="49"/>
        <item x="1463"/>
        <item x="914"/>
        <item x="322"/>
        <item x="2358"/>
        <item x="622"/>
        <item x="488"/>
        <item x="743"/>
        <item x="1893"/>
        <item x="70"/>
        <item x="2196"/>
        <item x="1624"/>
        <item x="1078"/>
        <item x="1611"/>
        <item x="864"/>
        <item x="1344"/>
        <item x="102"/>
        <item x="1991"/>
        <item x="520"/>
        <item x="361"/>
        <item x="2261"/>
        <item x="1152"/>
        <item x="334"/>
        <item x="481"/>
        <item x="1111"/>
        <item x="592"/>
        <item x="930"/>
        <item x="999"/>
        <item x="834"/>
        <item x="1582"/>
        <item x="874"/>
        <item x="2346"/>
        <item x="63"/>
        <item x="1467"/>
        <item x="1645"/>
        <item x="1187"/>
        <item x="318"/>
        <item x="674"/>
        <item x="168"/>
        <item x="1171"/>
        <item x="1678"/>
        <item x="1338"/>
        <item x="539"/>
        <item x="2386"/>
        <item x="1422"/>
        <item x="933"/>
        <item x="2038"/>
        <item x="892"/>
        <item x="1366"/>
        <item x="1274"/>
        <item x="693"/>
        <item x="62"/>
        <item x="2430"/>
        <item x="1022"/>
        <item x="1260"/>
        <item x="1799"/>
        <item x="299"/>
        <item x="1012"/>
        <item x="1465"/>
        <item x="160"/>
        <item x="1819"/>
        <item x="199"/>
        <item x="1729"/>
        <item x="366"/>
        <item x="495"/>
        <item x="1259"/>
        <item x="95"/>
        <item x="1860"/>
        <item x="278"/>
        <item x="1356"/>
        <item x="512"/>
        <item x="302"/>
        <item x="80"/>
        <item x="514"/>
        <item x="1238"/>
        <item x="498"/>
        <item x="1962"/>
        <item x="22"/>
        <item x="288"/>
        <item x="367"/>
        <item x="1659"/>
        <item x="577"/>
        <item x="1917"/>
        <item x="1978"/>
        <item x="1632"/>
        <item x="1117"/>
        <item x="1393"/>
        <item x="1699"/>
        <item x="459"/>
        <item x="345"/>
        <item x="363"/>
        <item x="2264"/>
        <item x="2348"/>
        <item x="1248"/>
        <item x="586"/>
        <item x="617"/>
        <item x="978"/>
        <item x="502"/>
        <item x="2120"/>
        <item x="554"/>
        <item x="1683"/>
        <item x="697"/>
        <item x="1275"/>
        <item x="596"/>
        <item x="2323"/>
        <item x="2181"/>
        <item x="259"/>
        <item x="2235"/>
        <item x="607"/>
        <item x="1466"/>
        <item x="1817"/>
        <item x="1989"/>
        <item x="1174"/>
        <item x="602"/>
        <item x="2378"/>
        <item x="2424"/>
        <item x="1206"/>
        <item x="1635"/>
        <item x="1103"/>
        <item x="348"/>
        <item x="959"/>
        <item x="1875"/>
        <item x="1861"/>
        <item x="1815"/>
        <item x="945"/>
        <item x="795"/>
        <item x="372"/>
        <item x="760"/>
        <item x="2446"/>
        <item x="2040"/>
        <item x="924"/>
        <item x="1871"/>
        <item x="1063"/>
        <item x="1145"/>
        <item x="1032"/>
        <item x="2381"/>
        <item x="847"/>
        <item x="2396"/>
        <item x="717"/>
        <item x="1674"/>
        <item x="2383"/>
        <item x="1215"/>
        <item x="1541"/>
        <item x="1980"/>
        <item x="321"/>
        <item x="1125"/>
        <item x="2122"/>
        <item x="295"/>
        <item x="76"/>
        <item x="984"/>
        <item x="1208"/>
        <item x="615"/>
        <item x="2079"/>
        <item x="2329"/>
        <item x="411"/>
        <item x="1093"/>
        <item x="960"/>
        <item x="74"/>
        <item x="455"/>
        <item x="934"/>
        <item x="882"/>
        <item x="1847"/>
        <item x="986"/>
        <item x="260"/>
        <item x="169"/>
        <item x="983"/>
        <item x="1224"/>
        <item x="362"/>
        <item x="1791"/>
        <item x="2089"/>
        <item x="1856"/>
        <item x="4"/>
        <item x="2101"/>
        <item x="788"/>
        <item x="1787"/>
        <item x="187"/>
        <item x="2048"/>
        <item x="2206"/>
        <item x="8"/>
        <item x="2342"/>
        <item x="715"/>
        <item x="433"/>
        <item x="2099"/>
        <item x="1939"/>
        <item x="1408"/>
        <item x="2408"/>
        <item x="2272"/>
        <item x="19"/>
        <item x="1904"/>
        <item x="1478"/>
        <item x="595"/>
        <item x="535"/>
        <item x="2322"/>
        <item x="314"/>
        <item x="1265"/>
        <item x="376"/>
        <item x="623"/>
        <item x="319"/>
        <item x="1780"/>
        <item x="2294"/>
        <item x="532"/>
        <item x="800"/>
        <item x="682"/>
        <item x="2013"/>
        <item x="2352"/>
        <item x="2097"/>
        <item x="887"/>
        <item x="1534"/>
        <item x="733"/>
        <item x="640"/>
        <item x="1271"/>
        <item x="1180"/>
        <item x="1258"/>
        <item x="932"/>
        <item x="772"/>
        <item x="421"/>
        <item x="1706"/>
        <item x="927"/>
        <item x="526"/>
        <item x="889"/>
        <item x="1221"/>
        <item x="1288"/>
        <item x="1717"/>
        <item x="972"/>
        <item x="2359"/>
        <item x="730"/>
        <item x="81"/>
        <item x="2074"/>
        <item x="1794"/>
        <item x="1278"/>
        <item x="1220"/>
        <item x="721"/>
        <item x="1391"/>
        <item x="688"/>
        <item x="2020"/>
        <item x="2184"/>
        <item x="1468"/>
        <item x="779"/>
        <item x="1803"/>
        <item x="357"/>
        <item x="2129"/>
        <item x="1765"/>
        <item x="151"/>
        <item x="1641"/>
        <item x="1011"/>
        <item x="1404"/>
        <item x="1161"/>
        <item x="1049"/>
        <item x="1167"/>
        <item x="236"/>
        <item x="1223"/>
        <item x="1889"/>
        <item x="606"/>
        <item x="1079"/>
        <item x="638"/>
        <item x="2237"/>
        <item x="351"/>
        <item x="50"/>
        <item x="746"/>
        <item x="2081"/>
        <item x="47"/>
        <item x="1692"/>
        <item x="1430"/>
        <item x="836"/>
        <item x="1459"/>
        <item x="1915"/>
        <item x="1573"/>
        <item x="886"/>
        <item x="2224"/>
        <item x="899"/>
        <item x="995"/>
        <item x="2380"/>
        <item x="1914"/>
        <item x="696"/>
        <item x="1886"/>
        <item x="573"/>
        <item x="953"/>
        <item x="2024"/>
        <item x="375"/>
        <item x="1813"/>
        <item x="214"/>
        <item x="1449"/>
        <item x="977"/>
        <item x="866"/>
        <item x="239"/>
        <item x="2228"/>
        <item x="1395"/>
        <item x="2130"/>
        <item x="1415"/>
        <item x="2178"/>
        <item x="2026"/>
        <item x="1630"/>
        <item x="377"/>
        <item x="133"/>
        <item x="2149"/>
        <item x="2034"/>
        <item x="1390"/>
        <item x="2187"/>
        <item x="1218"/>
        <item x="560"/>
        <item x="964"/>
        <item x="708"/>
        <item x="1693"/>
        <item x="831"/>
        <item x="387"/>
        <item x="410"/>
        <item x="883"/>
        <item x="1360"/>
        <item x="2384"/>
        <item x="123"/>
        <item x="276"/>
        <item x="714"/>
        <item x="1557"/>
        <item x="1524"/>
        <item x="1576"/>
        <item x="1104"/>
        <item x="529"/>
        <item x="1546"/>
        <item x="1888"/>
        <item x="969"/>
        <item x="1610"/>
        <item x="412"/>
        <item x="195"/>
        <item x="253"/>
        <item x="540"/>
        <item x="816"/>
        <item x="378"/>
        <item x="307"/>
        <item x="676"/>
        <item x="1112"/>
        <item x="2102"/>
        <item x="1722"/>
        <item x="1121"/>
        <item x="2361"/>
        <item x="2044"/>
        <item x="1185"/>
        <item x="1589"/>
        <item x="2075"/>
        <item x="1354"/>
        <item x="510"/>
        <item x="506"/>
        <item x="771"/>
        <item x="852"/>
        <item x="110"/>
        <item x="320"/>
        <item x="754"/>
        <item x="2415"/>
        <item x="386"/>
        <item x="805"/>
        <item x="73"/>
        <item x="1688"/>
        <item x="1198"/>
        <item x="1805"/>
        <item x="604"/>
        <item x="1165"/>
        <item x="941"/>
        <item x="2336"/>
        <item x="2255"/>
        <item x="2135"/>
        <item x="1995"/>
        <item x="630"/>
        <item x="2193"/>
        <item x="1503"/>
        <item x="742"/>
        <item x="2376"/>
        <item x="2163"/>
        <item x="440"/>
        <item x="179"/>
        <item x="2136"/>
        <item x="1061"/>
        <item x="448"/>
        <item x="1351"/>
        <item x="383"/>
        <item x="336"/>
        <item x="2334"/>
        <item x="2219"/>
        <item x="928"/>
        <item x="1648"/>
        <item x="2071"/>
        <item x="661"/>
        <item x="1910"/>
        <item x="1109"/>
        <item x="2385"/>
        <item x="323"/>
        <item x="1790"/>
        <item x="1998"/>
        <item x="461"/>
        <item x="666"/>
        <item x="129"/>
        <item x="2435"/>
        <item x="946"/>
        <item x="1525"/>
        <item x="1476"/>
        <item x="1981"/>
        <item x="316"/>
        <item x="2433"/>
        <item x="1938"/>
        <item x="117"/>
        <item x="751"/>
        <item x="1080"/>
        <item x="2327"/>
        <item x="1303"/>
        <item x="2177"/>
        <item x="1320"/>
        <item x="1963"/>
        <item x="1895"/>
        <item x="1209"/>
        <item x="1085"/>
        <item x="888"/>
        <item x="2158"/>
        <item x="492"/>
        <item x="353"/>
        <item x="1044"/>
        <item x="1740"/>
        <item x="732"/>
        <item x="2073"/>
        <item x="256"/>
        <item x="2027"/>
        <item x="842"/>
        <item x="636"/>
        <item x="1665"/>
        <item x="2350"/>
        <item x="1522"/>
        <item x="1733"/>
        <item x="1314"/>
        <item x="811"/>
        <item x="877"/>
        <item x="778"/>
        <item x="2438"/>
        <item x="143"/>
        <item x="843"/>
        <item x="711"/>
        <item x="1666"/>
        <item x="1279"/>
        <item x="2186"/>
        <item x="474"/>
        <item x="2353"/>
        <item x="1660"/>
        <item x="486"/>
        <item x="71"/>
        <item x="1129"/>
        <item x="1168"/>
        <item x="1210"/>
        <item x="1823"/>
        <item x="1594"/>
        <item x="900"/>
        <item x="1202"/>
        <item x="1986"/>
        <item x="2238"/>
        <item x="34"/>
        <item x="1538"/>
        <item x="2444"/>
        <item x="2025"/>
        <item x="1650"/>
        <item x="108"/>
        <item x="1896"/>
        <item x="2312"/>
        <item x="2246"/>
        <item x="1516"/>
        <item x="872"/>
        <item x="735"/>
        <item x="2180"/>
        <item x="416"/>
        <item x="2398"/>
        <item x="2434"/>
        <item x="373"/>
        <item x="2173"/>
        <item x="1700"/>
        <item x="1694"/>
        <item x="1932"/>
        <item x="1739"/>
        <item x="222"/>
        <item x="82"/>
        <item x="1021"/>
        <item x="109"/>
        <item x="825"/>
        <item x="2023"/>
        <item x="434"/>
        <item x="1023"/>
        <item x="1398"/>
        <item x="694"/>
        <item x="1809"/>
        <item x="1362"/>
        <item x="1899"/>
        <item x="116"/>
        <item x="2313"/>
        <item x="398"/>
        <item x="1268"/>
        <item x="10"/>
        <item x="484"/>
        <item x="726"/>
        <item x="1964"/>
        <item x="782"/>
        <item x="241"/>
        <item x="2214"/>
        <item x="873"/>
        <item x="1250"/>
        <item x="2109"/>
        <item x="1814"/>
        <item x="2119"/>
        <item x="2413"/>
        <item x="368"/>
        <item x="1058"/>
        <item x="1625"/>
        <item x="1602"/>
        <item x="917"/>
        <item x="761"/>
        <item x="2021"/>
        <item x="593"/>
        <item x="1419"/>
        <item x="1531"/>
        <item x="2310"/>
        <item x="2175"/>
        <item x="454"/>
        <item x="2127"/>
        <item x="1164"/>
        <item x="2076"/>
        <item x="848"/>
        <item x="1755"/>
        <item x="1138"/>
        <item x="670"/>
        <item x="2116"/>
        <item x="2188"/>
        <item x="1776"/>
        <item x="1731"/>
        <item x="865"/>
        <item x="2198"/>
        <item x="443"/>
        <item x="898"/>
        <item x="949"/>
        <item x="2068"/>
        <item x="57"/>
        <item x="818"/>
        <item x="1976"/>
        <item x="1833"/>
        <item x="1295"/>
        <item x="2448"/>
        <item x="1936"/>
        <item x="851"/>
        <item x="1462"/>
        <item x="476"/>
        <item x="1342"/>
        <item x="382"/>
        <item x="1620"/>
        <item x="745"/>
        <item x="2118"/>
        <item x="508"/>
        <item x="457"/>
        <item x="2286"/>
        <item x="525"/>
        <item x="436"/>
        <item x="473"/>
        <item x="1528"/>
        <item x="1361"/>
        <item x="1519"/>
        <item x="1118"/>
        <item x="1640"/>
        <item x="389"/>
        <item x="2066"/>
        <item x="1686"/>
        <item x="501"/>
        <item x="1317"/>
        <item x="1186"/>
        <item x="1549"/>
        <item x="2105"/>
        <item x="2331"/>
        <item x="2298"/>
        <item x="27"/>
        <item x="234"/>
        <item x="1055"/>
        <item x="359"/>
        <item x="209"/>
        <item x="460"/>
        <item x="1568"/>
        <item x="1760"/>
        <item x="2318"/>
        <item x="450"/>
        <item x="2017"/>
        <item x="2060"/>
        <item x="1926"/>
        <item x="396"/>
        <item x="1405"/>
        <item x="1728"/>
        <item x="921"/>
        <item x="1399"/>
        <item x="1201"/>
        <item x="2284"/>
        <item x="1375"/>
        <item x="803"/>
        <item x="1098"/>
        <item x="127"/>
        <item x="829"/>
        <item x="885"/>
        <item x="1082"/>
        <item x="451"/>
        <item x="1837"/>
        <item x="710"/>
        <item x="1550"/>
        <item x="757"/>
        <item x="1081"/>
        <item x="1807"/>
        <item x="1990"/>
        <item x="2236"/>
        <item x="2403"/>
        <item x="561"/>
        <item x="650"/>
        <item x="14"/>
        <item x="170"/>
        <item x="1621"/>
        <item x="2428"/>
        <item x="937"/>
        <item x="1845"/>
        <item x="758"/>
        <item x="1235"/>
        <item x="491"/>
        <item x="42"/>
        <item x="575"/>
        <item x="1821"/>
        <item x="2064"/>
        <item x="2303"/>
        <item x="1514"/>
        <item x="2043"/>
        <item x="505"/>
        <item x="1496"/>
        <item x="1207"/>
        <item x="2047"/>
        <item x="166"/>
        <item x="1029"/>
        <item x="270"/>
        <item x="1974"/>
        <item x="1726"/>
        <item x="358"/>
        <item x="1392"/>
        <item x="770"/>
        <item x="613"/>
        <item x="2371"/>
        <item x="1782"/>
        <item x="158"/>
        <item x="1432"/>
        <item x="1010"/>
        <item x="1834"/>
        <item x="1325"/>
        <item x="1440"/>
        <item x="2355"/>
        <item x="1341"/>
        <item x="153"/>
        <item x="1792"/>
        <item x="657"/>
        <item x="2144"/>
        <item x="798"/>
        <item x="1438"/>
        <item x="1825"/>
        <item x="114"/>
        <item x="690"/>
        <item x="776"/>
        <item x="722"/>
        <item x="1322"/>
        <item x="2145"/>
        <item x="1282"/>
        <item x="1633"/>
        <item x="2114"/>
        <item x="906"/>
        <item x="1795"/>
        <item x="2409"/>
        <item x="775"/>
        <item x="698"/>
        <item x="134"/>
        <item x="1027"/>
        <item x="1431"/>
        <item x="594"/>
        <item x="1928"/>
        <item x="1178"/>
        <item x="429"/>
        <item x="571"/>
        <item x="895"/>
        <item x="159"/>
        <item x="333"/>
        <item x="20"/>
        <item x="1505"/>
        <item x="273"/>
        <item x="767"/>
        <item x="915"/>
        <item x="2382"/>
        <item x="678"/>
        <item x="1548"/>
        <item x="1530"/>
        <item x="371"/>
        <item x="262"/>
        <item x="635"/>
        <item x="354"/>
        <item x="702"/>
        <item x="2082"/>
        <item x="996"/>
        <item x="632"/>
        <item x="656"/>
        <item x="2452"/>
        <item x="537"/>
        <item x="2207"/>
        <item x="1566"/>
        <item x="2427"/>
        <item x="1570"/>
        <item x="2223"/>
        <item x="1199"/>
        <item x="2343"/>
        <item x="1789"/>
        <item x="600"/>
        <item x="1052"/>
        <item x="5"/>
        <item x="1144"/>
        <item x="1048"/>
        <item x="1824"/>
        <item x="673"/>
        <item x="1328"/>
        <item x="1135"/>
        <item x="2169"/>
        <item x="1723"/>
        <item x="1745"/>
        <item x="764"/>
        <item x="2363"/>
        <item x="2231"/>
        <item x="695"/>
        <item x="1124"/>
        <item x="1128"/>
        <item x="1634"/>
        <item x="1743"/>
        <item x="1909"/>
        <item x="266"/>
        <item x="2274"/>
        <item x="2439"/>
        <item x="2209"/>
        <item x="1607"/>
        <item x="2319"/>
        <item x="1424"/>
        <item x="965"/>
        <item x="621"/>
        <item x="871"/>
        <item x="1597"/>
        <item x="1126"/>
        <item x="140"/>
        <item x="2"/>
        <item x="326"/>
        <item x="511"/>
        <item x="704"/>
        <item x="349"/>
        <item x="541"/>
        <item x="2387"/>
        <item x="1613"/>
        <item x="585"/>
        <item x="588"/>
        <item x="2128"/>
        <item x="162"/>
        <item x="2290"/>
        <item x="1774"/>
        <item x="2134"/>
        <item x="2195"/>
        <item x="601"/>
        <item x="1565"/>
        <item x="1251"/>
        <item x="620"/>
        <item x="237"/>
        <item x="1884"/>
        <item x="2392"/>
        <item x="1783"/>
        <item x="1425"/>
        <item x="2018"/>
        <item x="312"/>
        <item x="2321"/>
        <item x="1491"/>
        <item x="154"/>
        <item x="947"/>
        <item x="1413"/>
        <item x="926"/>
        <item x="731"/>
        <item x="1501"/>
        <item x="475"/>
        <item x="257"/>
        <item x="1489"/>
        <item x="1269"/>
        <item x="766"/>
        <item x="1177"/>
        <item x="1310"/>
        <item x="296"/>
        <item x="1227"/>
        <item x="1619"/>
        <item x="1708"/>
        <item x="1555"/>
        <item x="172"/>
        <item x="1"/>
        <item x="2288"/>
        <item x="2000"/>
        <item x="364"/>
        <item x="1299"/>
        <item x="828"/>
        <item x="1191"/>
        <item x="1608"/>
        <item x="1283"/>
        <item x="1127"/>
        <item x="616"/>
        <item x="2055"/>
        <item x="2148"/>
        <item x="223"/>
        <item x="1542"/>
        <item x="2306"/>
        <item x="2103"/>
        <item x="1709"/>
        <item x="2341"/>
        <item x="752"/>
        <item x="1846"/>
        <item x="112"/>
        <item x="182"/>
        <item x="1280"/>
        <item x="538"/>
        <item x="1244"/>
        <item x="1596"/>
        <item x="2418"/>
        <item x="671"/>
        <item x="231"/>
        <item x="599"/>
        <item x="267"/>
        <item x="878"/>
        <item x="680"/>
        <item x="1985"/>
        <item x="954"/>
        <item x="424"/>
        <item x="2239"/>
        <item x="1842"/>
        <item x="184"/>
        <item x="1890"/>
        <item x="550"/>
        <item x="1009"/>
        <item x="193"/>
        <item x="907"/>
        <item x="2098"/>
        <item x="1294"/>
        <item x="611"/>
        <item x="2406"/>
        <item x="1298"/>
        <item x="1581"/>
        <item x="1442"/>
        <item x="427"/>
        <item x="744"/>
        <item x="1738"/>
        <item x="1801"/>
        <item x="1290"/>
        <item x="1583"/>
        <item x="1114"/>
        <item x="1772"/>
        <item x="1836"/>
        <item x="1163"/>
        <item x="963"/>
        <item x="712"/>
        <item x="1326"/>
        <item x="719"/>
        <item x="2367"/>
        <item x="2315"/>
        <item x="1084"/>
        <item x="1832"/>
        <item x="101"/>
        <item x="2002"/>
        <item x="1811"/>
        <item x="2296"/>
        <item x="191"/>
        <item x="1579"/>
        <item x="1076"/>
        <item x="936"/>
        <item x="163"/>
        <item x="1166"/>
        <item x="148"/>
        <item x="1510"/>
        <item x="2426"/>
        <item x="1744"/>
        <item x="431"/>
        <item x="128"/>
        <item x="2065"/>
        <item x="509"/>
        <item x="1257"/>
        <item x="1008"/>
        <item x="2049"/>
        <item x="1331"/>
        <item x="2033"/>
        <item x="699"/>
        <item x="1239"/>
        <item x="1247"/>
        <item x="827"/>
        <item x="1629"/>
        <item x="1264"/>
        <item x="2100"/>
        <item x="2320"/>
        <item x="1869"/>
        <item x="1631"/>
        <item x="414"/>
        <item x="1319"/>
        <item x="1551"/>
        <item x="1997"/>
        <item x="1768"/>
        <item x="787"/>
        <item x="111"/>
        <item x="2229"/>
        <item x="1339"/>
        <item x="1119"/>
        <item x="470"/>
        <item x="2160"/>
        <item x="2054"/>
        <item x="2295"/>
        <item x="1786"/>
        <item x="1671"/>
        <item x="1883"/>
        <item x="2107"/>
        <item x="1873"/>
        <item x="2368"/>
        <item x="1230"/>
        <item x="629"/>
        <item x="1067"/>
        <item x="2110"/>
        <item x="665"/>
        <item x="1614"/>
        <item x="41"/>
        <item x="531"/>
        <item x="324"/>
        <item x="437"/>
        <item x="1922"/>
        <item x="29"/>
        <item x="1231"/>
        <item x="2388"/>
        <item x="325"/>
        <item x="208"/>
        <item x="1679"/>
        <item x="1276"/>
        <item x="315"/>
        <item x="2345"/>
        <item x="1359"/>
        <item x="2299"/>
        <item x="137"/>
        <item x="791"/>
        <item x="990"/>
        <item x="24"/>
        <item x="2067"/>
        <item x="1256"/>
        <item x="1556"/>
        <item x="1713"/>
        <item x="87"/>
        <item x="1105"/>
        <item x="971"/>
        <item x="309"/>
        <item x="642"/>
        <item x="2201"/>
        <item x="1661"/>
        <item x="497"/>
        <item x="173"/>
        <item x="2421"/>
        <item x="294"/>
        <item x="2131"/>
        <item x="923"/>
        <item x="248"/>
        <item x="929"/>
        <item x="344"/>
        <item x="1816"/>
        <item x="1866"/>
        <item x="83"/>
        <item x="556"/>
        <item x="233"/>
        <item x="2360"/>
        <item x="2449"/>
        <item x="1653"/>
        <item x="1591"/>
        <item x="1897"/>
        <item x="303"/>
        <item x="2142"/>
        <item x="1458"/>
        <item x="2042"/>
        <item x="1312"/>
        <item x="2152"/>
        <item x="853"/>
        <item x="1798"/>
        <item x="308"/>
        <item x="1188"/>
        <item x="2137"/>
        <item x="584"/>
        <item x="2417"/>
        <item x="1955"/>
        <item x="1569"/>
        <item x="1016"/>
        <item x="286"/>
        <item x="1736"/>
        <item x="1721"/>
        <item x="1638"/>
        <item x="567"/>
        <item x="1577"/>
        <item x="317"/>
        <item x="890"/>
        <item x="2375"/>
        <item x="962"/>
        <item x="1529"/>
        <item x="2400"/>
        <item x="646"/>
        <item x="1701"/>
        <item x="1289"/>
        <item x="2070"/>
        <item x="146"/>
        <item x="1808"/>
        <item x="1056"/>
        <item x="681"/>
        <item x="1018"/>
        <item x="1453"/>
        <item x="147"/>
        <item x="1584"/>
        <item x="428"/>
        <item x="687"/>
        <item x="1561"/>
        <item x="1971"/>
        <item x="2113"/>
        <item x="1485"/>
        <item x="479"/>
        <item x="1189"/>
        <item x="1240"/>
        <item x="1732"/>
        <item x="258"/>
        <item x="1677"/>
        <item x="16"/>
        <item x="2112"/>
        <item x="12"/>
        <item x="1254"/>
        <item x="1652"/>
        <item x="741"/>
        <item x="449"/>
        <item x="2389"/>
        <item x="99"/>
        <item x="1019"/>
        <item x="269"/>
        <item x="355"/>
        <item x="1143"/>
        <item x="2086"/>
        <item x="1350"/>
        <item x="1146"/>
        <item x="384"/>
        <item x="157"/>
        <item x="989"/>
        <item x="478"/>
        <item x="2088"/>
        <item x="2351"/>
        <item x="610"/>
        <item x="980"/>
        <item x="1409"/>
        <item x="1305"/>
        <item x="1336"/>
        <item x="469"/>
        <item x="1041"/>
        <item x="925"/>
        <item x="1194"/>
        <item x="1885"/>
        <item x="1605"/>
        <item x="2429"/>
        <item x="1777"/>
        <item x="1330"/>
        <item x="1724"/>
        <item x="812"/>
        <item x="1482"/>
        <item x="1840"/>
        <item x="2347"/>
        <item x="2253"/>
        <item x="1725"/>
        <item x="311"/>
        <item x="489"/>
        <item x="1158"/>
        <item x="2126"/>
        <item x="631"/>
        <item x="578"/>
        <item x="1854"/>
        <item x="1793"/>
        <item x="1757"/>
        <item x="2300"/>
        <item x="1386"/>
        <item x="2090"/>
        <item x="569"/>
        <item x="1347"/>
        <item x="1567"/>
        <item x="2057"/>
        <item x="407"/>
        <item x="2143"/>
        <item x="935"/>
        <item x="570"/>
        <item x="2226"/>
        <item x="938"/>
        <item x="471"/>
        <item x="2001"/>
        <item x="466"/>
        <item x="464"/>
        <item x="558"/>
        <item x="759"/>
        <item x="1906"/>
        <item x="1492"/>
        <item x="340"/>
        <item x="31"/>
        <item x="1089"/>
        <item x="706"/>
        <item x="2362"/>
        <item x="105"/>
        <item x="2156"/>
        <item x="530"/>
        <item x="2176"/>
        <item x="1523"/>
        <item x="1685"/>
        <item x="1062"/>
        <item x="797"/>
        <item x="1200"/>
        <item x="709"/>
        <item x="2291"/>
        <item x="52"/>
        <item x="1903"/>
        <item x="2457"/>
        <item t="default"/>
      </items>
    </pivotField>
    <pivotField axis="axisRow" showAll="0">
      <items count="7">
        <item x="3"/>
        <item x="5"/>
        <item x="1"/>
        <item x="0"/>
        <item x="2"/>
        <item x="4"/>
        <item t="default"/>
      </items>
    </pivotField>
    <pivotField showAll="0"/>
    <pivotField dataField="1" showAll="0"/>
    <pivotField showAll="0"/>
    <pivotField showAll="0"/>
    <pivotField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38A0BD-D93F-4C63-9CCA-1AE53EB56B85}"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1:H8" firstHeaderRow="1" firstDataRow="1" firstDataCol="1"/>
  <pivotFields count="16">
    <pivotField showAll="0"/>
    <pivotField showAll="0"/>
    <pivotField axis="axisRow" showAll="0">
      <items count="7">
        <item x="3"/>
        <item x="5"/>
        <item x="1"/>
        <item x="0"/>
        <item x="2"/>
        <item x="4"/>
        <item t="default"/>
      </items>
    </pivotField>
    <pivotField showAll="0"/>
    <pivotField showAll="0"/>
    <pivotField showAll="0"/>
    <pivotField showAll="0"/>
    <pivotField dataField="1"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5">
        <item x="0"/>
        <item x="1"/>
        <item x="2"/>
        <item x="3"/>
        <item x="4"/>
      </items>
    </pivotField>
  </pivotFields>
  <rowFields count="1">
    <field x="2"/>
  </rowFields>
  <rowItems count="7">
    <i>
      <x/>
    </i>
    <i>
      <x v="1"/>
    </i>
    <i>
      <x v="2"/>
    </i>
    <i>
      <x v="3"/>
    </i>
    <i>
      <x v="4"/>
    </i>
    <i>
      <x v="5"/>
    </i>
    <i t="grand">
      <x/>
    </i>
  </rowItems>
  <colItems count="1">
    <i/>
  </colItems>
  <dataFields count="1">
    <dataField name="Sum of Discount_%" fld="7" baseField="0" baseItem="0"/>
  </dataFields>
  <formats count="2">
    <format dxfId="373">
      <pivotArea outline="0" collapsedLevelsAreSubtotals="1" fieldPosition="0"/>
    </format>
    <format dxfId="372">
      <pivotArea dataOnly="0" labelOnly="1" outline="0" axis="axisValues"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D37F64C-5874-443D-AA8F-90488519E613}"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E6" firstHeaderRow="0" firstDataRow="1" firstDataCol="1"/>
  <pivotFields count="16">
    <pivotField showAll="0"/>
    <pivotField showAll="0"/>
    <pivotField axis="axisRow" showAll="0">
      <items count="7">
        <item x="3"/>
        <item x="5"/>
        <item x="1"/>
        <item x="0"/>
        <item x="2"/>
        <item x="4"/>
        <item t="default"/>
      </items>
    </pivotField>
    <pivotField showAll="0"/>
    <pivotField dataField="1" showAll="0"/>
    <pivotField showAll="0"/>
    <pivotField showAll="0"/>
    <pivotField dataField="1" showAll="0">
      <items count="132">
        <item x="80"/>
        <item x="86"/>
        <item x="27"/>
        <item x="71"/>
        <item x="15"/>
        <item x="67"/>
        <item x="82"/>
        <item x="35"/>
        <item x="52"/>
        <item x="48"/>
        <item x="105"/>
        <item x="112"/>
        <item x="59"/>
        <item x="77"/>
        <item x="50"/>
        <item x="6"/>
        <item x="117"/>
        <item x="91"/>
        <item x="21"/>
        <item x="17"/>
        <item x="31"/>
        <item x="3"/>
        <item x="30"/>
        <item x="37"/>
        <item x="102"/>
        <item x="66"/>
        <item x="42"/>
        <item x="2"/>
        <item x="103"/>
        <item x="69"/>
        <item x="118"/>
        <item x="114"/>
        <item x="95"/>
        <item x="18"/>
        <item x="94"/>
        <item x="90"/>
        <item x="125"/>
        <item x="62"/>
        <item x="113"/>
        <item x="84"/>
        <item x="33"/>
        <item x="12"/>
        <item x="32"/>
        <item x="36"/>
        <item x="87"/>
        <item x="108"/>
        <item x="28"/>
        <item x="41"/>
        <item x="54"/>
        <item x="99"/>
        <item x="126"/>
        <item x="115"/>
        <item x="73"/>
        <item x="26"/>
        <item x="96"/>
        <item x="97"/>
        <item x="10"/>
        <item x="13"/>
        <item x="39"/>
        <item x="34"/>
        <item x="0"/>
        <item x="76"/>
        <item x="4"/>
        <item x="60"/>
        <item x="46"/>
        <item x="88"/>
        <item x="129"/>
        <item x="93"/>
        <item x="51"/>
        <item x="70"/>
        <item x="5"/>
        <item x="58"/>
        <item x="122"/>
        <item x="123"/>
        <item x="128"/>
        <item x="56"/>
        <item x="49"/>
        <item x="107"/>
        <item x="109"/>
        <item x="121"/>
        <item x="24"/>
        <item x="83"/>
        <item x="116"/>
        <item x="40"/>
        <item x="110"/>
        <item x="92"/>
        <item x="57"/>
        <item x="29"/>
        <item x="106"/>
        <item x="55"/>
        <item x="53"/>
        <item x="11"/>
        <item x="47"/>
        <item x="8"/>
        <item x="104"/>
        <item x="78"/>
        <item x="101"/>
        <item x="98"/>
        <item x="38"/>
        <item x="111"/>
        <item x="100"/>
        <item x="79"/>
        <item x="75"/>
        <item x="130"/>
        <item x="65"/>
        <item x="22"/>
        <item x="89"/>
        <item x="16"/>
        <item x="43"/>
        <item x="9"/>
        <item x="44"/>
        <item x="74"/>
        <item x="20"/>
        <item x="119"/>
        <item x="23"/>
        <item x="63"/>
        <item x="64"/>
        <item x="68"/>
        <item x="7"/>
        <item x="61"/>
        <item x="124"/>
        <item x="127"/>
        <item x="85"/>
        <item x="72"/>
        <item x="120"/>
        <item x="45"/>
        <item x="81"/>
        <item x="25"/>
        <item x="14"/>
        <item x="19"/>
        <item x="1"/>
        <item t="default"/>
      </items>
    </pivotField>
    <pivotField dataField="1" showAll="0"/>
    <pivotField axis="axisRow"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items count="7">
        <item x="1"/>
        <item x="3"/>
        <item x="0"/>
        <item x="2"/>
        <item x="4"/>
        <item x="5"/>
        <item t="default"/>
      </items>
    </pivotField>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5"/>
    <field x="9"/>
    <field x="2"/>
  </rowFields>
  <rowItems count="5">
    <i>
      <x/>
    </i>
    <i>
      <x v="1"/>
    </i>
    <i>
      <x v="2"/>
    </i>
    <i>
      <x v="3"/>
    </i>
    <i t="grand">
      <x/>
    </i>
  </rowItems>
  <colFields count="1">
    <field x="-2"/>
  </colFields>
  <colItems count="4">
    <i>
      <x/>
    </i>
    <i i="1">
      <x v="1"/>
    </i>
    <i i="2">
      <x v="2"/>
    </i>
    <i i="3">
      <x v="3"/>
    </i>
  </colItems>
  <dataFields count="4">
    <dataField name="Sum of Units_Sold" fld="4" baseField="0" baseItem="0"/>
    <dataField name="Sum of Sales_Amount" fld="8" baseField="0" baseItem="0"/>
    <dataField name="Sum of Profit" fld="12" baseField="0" baseItem="0"/>
    <dataField name="Sum of Discount_%" fld="7" baseField="0" baseItem="0"/>
  </dataFields>
  <formats count="2">
    <format dxfId="375">
      <pivotArea outline="0" collapsedLevelsAreSubtotals="1" fieldPosition="0">
        <references count="1">
          <reference field="4294967294" count="1" selected="0">
            <x v="3"/>
          </reference>
        </references>
      </pivotArea>
    </format>
    <format dxfId="374">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946A8EF-C2A0-47E1-B578-1C04B83DDDEE}" sourceName="Product_Category">
  <pivotTables>
    <pivotTable tabId="13" name="PivotTable13"/>
    <pivotTable tabId="10" name="PivotTable10"/>
    <pivotTable tabId="10" name="PivotTable11"/>
    <pivotTable tabId="10" name="PivotTable12"/>
    <pivotTable tabId="10" name="PivotTable13"/>
    <pivotTable tabId="10" name="PivotTable2"/>
    <pivotTable tabId="10" name="PivotTable3"/>
    <pivotTable tabId="10" name="PivotTable4"/>
    <pivotTable tabId="10" name="PivotTable5"/>
    <pivotTable tabId="10" name="PivotTable6"/>
    <pivotTable tabId="10" name="PivotTable7"/>
    <pivotTable tabId="10" name="PivotTable8"/>
    <pivotTable tabId="13" name="PivotTable14"/>
  </pivotTables>
  <data>
    <tabular pivotCacheId="1911169269">
      <items count="6">
        <i x="3" s="1"/>
        <i x="5"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D5078027-D8F9-470D-A9D7-04E6D101335D}" sourceName="Months (Order_Date)">
  <pivotTables>
    <pivotTable tabId="13" name="PivotTable13"/>
    <pivotTable tabId="10" name="PivotTable10"/>
    <pivotTable tabId="10" name="PivotTable11"/>
    <pivotTable tabId="10" name="PivotTable12"/>
    <pivotTable tabId="10" name="PivotTable13"/>
    <pivotTable tabId="10" name="PivotTable2"/>
    <pivotTable tabId="10" name="PivotTable3"/>
    <pivotTable tabId="10" name="PivotTable4"/>
    <pivotTable tabId="10" name="PivotTable5"/>
    <pivotTable tabId="10" name="PivotTable6"/>
    <pivotTable tabId="10" name="PivotTable7"/>
    <pivotTable tabId="10" name="PivotTable8"/>
    <pivotTable tabId="13" name="PivotTable14"/>
  </pivotTables>
  <data>
    <tabular pivotCacheId="1911169269">
      <items count="14">
        <i x="1" s="1"/>
        <i x="2" s="1"/>
        <i x="3" s="1"/>
        <i x="4" s="1"/>
        <i x="5" s="1"/>
        <i x="6" s="1"/>
        <i x="7" s="1"/>
        <i x="8" s="1"/>
        <i x="9" s="1"/>
        <i x="10" s="1"/>
        <i x="11" s="1"/>
        <i x="12" s="1"/>
        <i x="0" s="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75D95532-6A9A-441A-905E-8DE676605A6F}" sourceName="Quarters (Order_Date)">
  <pivotTables>
    <pivotTable tabId="13" name="PivotTable13"/>
    <pivotTable tabId="10" name="PivotTable10"/>
    <pivotTable tabId="10" name="PivotTable11"/>
    <pivotTable tabId="10" name="PivotTable12"/>
    <pivotTable tabId="10" name="PivotTable13"/>
    <pivotTable tabId="10" name="PivotTable2"/>
    <pivotTable tabId="10" name="PivotTable3"/>
    <pivotTable tabId="10" name="PivotTable4"/>
    <pivotTable tabId="10" name="PivotTable5"/>
    <pivotTable tabId="10" name="PivotTable6"/>
    <pivotTable tabId="10" name="PivotTable7"/>
    <pivotTable tabId="10" name="PivotTable8"/>
    <pivotTable tabId="13" name="PivotTable14"/>
  </pivotTables>
  <data>
    <tabular pivotCacheId="1911169269">
      <items count="6">
        <i x="0" s="1"/>
        <i x="1" s="1"/>
        <i x="2"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931E929-1EC1-4813-B9B7-E26526DD818F}" sourceName="City">
  <pivotTables>
    <pivotTable tabId="10" name="PivotTable6"/>
    <pivotTable tabId="10" name="PivotTable10"/>
    <pivotTable tabId="10" name="PivotTable11"/>
    <pivotTable tabId="10" name="PivotTable12"/>
    <pivotTable tabId="10" name="PivotTable13"/>
    <pivotTable tabId="10" name="PivotTable2"/>
    <pivotTable tabId="10" name="PivotTable3"/>
    <pivotTable tabId="10" name="PivotTable4"/>
    <pivotTable tabId="10" name="PivotTable5"/>
    <pivotTable tabId="10" name="PivotTable7"/>
    <pivotTable tabId="10" name="PivotTable8"/>
    <pivotTable tabId="13" name="PivotTable13"/>
    <pivotTable tabId="13" name="PivotTable14"/>
  </pivotTables>
  <data>
    <tabular pivotCacheId="1911169269">
      <items count="6">
        <i x="1" s="1"/>
        <i x="3" s="1"/>
        <i x="0" s="1"/>
        <i x="2"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43AD63A-9F00-4F17-B410-C46E27D1EF4A}" cache="Slicer_City" caption="Cit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2D4A31F5-9494-450D-A6A9-CC98F3DCAA19}" cache="Slicer_Product_Category" caption="Product_Category" startItem="3" rowHeight="241300"/>
  <slicer name="Months (Order_Date) 1" xr10:uid="{D43C53E1-7BAF-4C28-8A3F-823E498C296C}" cache="Slicer_Months__Order_Date" caption="Months (Order_Date)" startItem="3" rowHeight="241300"/>
  <slicer name="City 1" xr10:uid="{32000CCC-6EEE-47A2-8E36-8A6162CA6E93}" cache="Slicer_City" caption="City" startItem="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71FA3840-FBAB-4A45-9110-00EFDA02F579}" cache="Slicer_Product_Category" caption="Product_Category" rowHeight="241300"/>
  <slicer name="Months (Order_Date)" xr10:uid="{79AC786D-1E9F-45C7-B6A9-2E66DD888F40}" cache="Slicer_Months__Order_Date" caption="Months (Order_Date)" rowHeight="241300"/>
  <slicer name="Quarters (Order_Date)" xr10:uid="{9E909490-D969-469D-A33A-2ED8E84FA008}" cache="Slicer_Quarters__Order_Date" caption="Quarters (Order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65FBFE-B579-4141-A5CE-CB77AF925E1E}" name="Table5" displayName="Table5" ref="A1:M2502" totalsRowCount="1">
  <tableColumns count="13">
    <tableColumn id="1" xr3:uid="{A1294B3C-6703-4F0E-A8F7-AF7512B9D975}" name="Order_ID" totalsRowLabel="Total"/>
    <tableColumn id="2" xr3:uid="{989E2527-7D7B-497C-84CC-D06843BCF07B}" name="Customer_Name" totalsRowFunction="sum"/>
    <tableColumn id="3" xr3:uid="{90BEF71D-E5E7-48D9-BB91-2F99AB870520}" name="Product_Category" totalsRowFunction="sum"/>
    <tableColumn id="4" xr3:uid="{E97353CF-BFCD-4F15-A57D-5AAE7021B892}" name="Product_Name" totalsRowFunction="sum"/>
    <tableColumn id="5" xr3:uid="{584BD9EA-B22E-4AA0-96AE-296213788C4B}" name="Units_Sold" totalsRowFunction="sum"/>
    <tableColumn id="6" xr3:uid="{029909F7-3EB6-4B81-A127-2733F8B84EA2}" name="Unit_Price" totalsRowFunction="sum"/>
    <tableColumn id="7" xr3:uid="{A53C047C-F366-4948-A7D3-C1214C567AFE}" name="Total_price" totalsRowFunction="sum">
      <calculatedColumnFormula>F2*E2</calculatedColumnFormula>
    </tableColumn>
    <tableColumn id="8" xr3:uid="{853E3838-7437-4325-99E0-62E3CB91D9B9}" name="Discount_%" totalsRowFunction="sum" dataDxfId="377" totalsRowDxfId="376" dataCellStyle="Percent"/>
    <tableColumn id="9" xr3:uid="{1C71F047-1318-4954-9A9A-F298C47280EB}" name="Sales_Amount" totalsRowFunction="sum">
      <calculatedColumnFormula>G2*(1-H2)</calculatedColumnFormula>
    </tableColumn>
    <tableColumn id="10" xr3:uid="{4DDABC73-F7EC-4B89-BDE4-36C14BC422CE}" name="Order_Date" totalsRowFunction="sum"/>
    <tableColumn id="11" xr3:uid="{FDA5AA62-F00D-4120-8AFE-BB361F53BD34}" name="City" totalsRowFunction="sum"/>
    <tableColumn id="12" xr3:uid="{1E1D1246-097D-4DCE-BD67-15951EA7F35B}" name="Segment" totalsRowFunction="sum"/>
    <tableColumn id="13" xr3:uid="{BF299F4C-FEB2-4BC4-B98C-069E17FB029E}" name="Profit"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B610D-4357-46F6-BD0A-D0FD29EF151B}">
  <dimension ref="A1:P2502"/>
  <sheetViews>
    <sheetView workbookViewId="0">
      <selection activeCell="P16" sqref="P16"/>
    </sheetView>
  </sheetViews>
  <sheetFormatPr defaultRowHeight="15" x14ac:dyDescent="0.25"/>
  <cols>
    <col min="1" max="1" width="11.140625" customWidth="1"/>
    <col min="2" max="2" width="24.7109375" bestFit="1" customWidth="1"/>
    <col min="3" max="3" width="18.85546875" customWidth="1"/>
    <col min="4" max="4" width="16.28515625" customWidth="1"/>
    <col min="5" max="5" width="12.7109375" customWidth="1"/>
    <col min="6" max="6" width="12.42578125" customWidth="1"/>
    <col min="7" max="7" width="13" customWidth="1"/>
    <col min="8" max="8" width="13.42578125" style="3" customWidth="1"/>
    <col min="9" max="9" width="15.85546875" customWidth="1"/>
    <col min="10" max="10" width="13.42578125" customWidth="1"/>
    <col min="11" max="11" width="24" bestFit="1" customWidth="1"/>
    <col min="12" max="12" width="11" customWidth="1"/>
    <col min="14" max="14" width="18.7109375" bestFit="1" customWidth="1"/>
    <col min="15" max="15" width="13.140625" bestFit="1" customWidth="1"/>
    <col min="16" max="16" width="20.5703125" bestFit="1" customWidth="1"/>
  </cols>
  <sheetData>
    <row r="1" spans="1:16" x14ac:dyDescent="0.25">
      <c r="A1" t="s">
        <v>0</v>
      </c>
      <c r="B1" t="s">
        <v>1</v>
      </c>
      <c r="C1" t="s">
        <v>2</v>
      </c>
      <c r="D1" t="s">
        <v>3</v>
      </c>
      <c r="E1" t="s">
        <v>4</v>
      </c>
      <c r="F1" t="s">
        <v>5</v>
      </c>
      <c r="G1" t="s">
        <v>2507</v>
      </c>
      <c r="H1" s="3" t="s">
        <v>6</v>
      </c>
      <c r="I1" t="s">
        <v>7</v>
      </c>
      <c r="J1" t="s">
        <v>8</v>
      </c>
      <c r="K1" t="s">
        <v>9</v>
      </c>
      <c r="L1" t="s">
        <v>10</v>
      </c>
      <c r="M1" t="s">
        <v>11</v>
      </c>
    </row>
    <row r="2" spans="1:16" x14ac:dyDescent="0.25">
      <c r="A2">
        <v>1000</v>
      </c>
      <c r="B2" t="s">
        <v>12</v>
      </c>
      <c r="C2" t="s">
        <v>13</v>
      </c>
      <c r="D2" t="s">
        <v>14</v>
      </c>
      <c r="E2">
        <v>4</v>
      </c>
      <c r="F2">
        <v>842</v>
      </c>
      <c r="G2">
        <f>F2*E2</f>
        <v>3368</v>
      </c>
      <c r="H2" s="3">
        <v>0.6</v>
      </c>
      <c r="I2">
        <f>G2*(1-H2)</f>
        <v>1347.2</v>
      </c>
      <c r="J2" s="1">
        <v>45715</v>
      </c>
      <c r="K2" t="s">
        <v>15</v>
      </c>
      <c r="L2" t="s">
        <v>16</v>
      </c>
      <c r="M2">
        <v>2137.4499999999998</v>
      </c>
      <c r="O2" s="2"/>
    </row>
    <row r="3" spans="1:16" x14ac:dyDescent="0.25">
      <c r="A3">
        <v>1001</v>
      </c>
      <c r="B3" t="s">
        <v>17</v>
      </c>
      <c r="C3" t="s">
        <v>13</v>
      </c>
      <c r="D3" t="s">
        <v>14</v>
      </c>
      <c r="E3">
        <v>1</v>
      </c>
      <c r="G3">
        <f t="shared" ref="G3:G66" si="0">F3*E3</f>
        <v>0</v>
      </c>
      <c r="I3">
        <f t="shared" ref="I3:I66" si="1">G3*(1-H3)</f>
        <v>0</v>
      </c>
      <c r="J3" s="1">
        <v>45853</v>
      </c>
      <c r="K3" t="s">
        <v>18</v>
      </c>
      <c r="L3" t="s">
        <v>16</v>
      </c>
      <c r="M3">
        <v>1588.15</v>
      </c>
    </row>
    <row r="4" spans="1:16" x14ac:dyDescent="0.25">
      <c r="A4">
        <v>1002</v>
      </c>
      <c r="B4" t="s">
        <v>19</v>
      </c>
      <c r="C4" t="s">
        <v>20</v>
      </c>
      <c r="D4" t="s">
        <v>21</v>
      </c>
      <c r="E4">
        <v>1</v>
      </c>
      <c r="F4">
        <v>637.82000000000005</v>
      </c>
      <c r="G4">
        <f t="shared" si="0"/>
        <v>637.82000000000005</v>
      </c>
      <c r="I4">
        <f t="shared" si="1"/>
        <v>637.82000000000005</v>
      </c>
      <c r="J4" s="1">
        <v>45659</v>
      </c>
      <c r="K4" t="s">
        <v>22</v>
      </c>
      <c r="L4" t="s">
        <v>23</v>
      </c>
      <c r="M4">
        <v>-158.03</v>
      </c>
    </row>
    <row r="5" spans="1:16" x14ac:dyDescent="0.25">
      <c r="A5">
        <v>1003</v>
      </c>
      <c r="B5" t="s">
        <v>24</v>
      </c>
      <c r="C5" t="s">
        <v>25</v>
      </c>
      <c r="D5" t="s">
        <v>26</v>
      </c>
      <c r="E5">
        <v>2</v>
      </c>
      <c r="F5">
        <v>2962.27</v>
      </c>
      <c r="G5">
        <f t="shared" si="0"/>
        <v>5924.54</v>
      </c>
      <c r="I5">
        <f t="shared" si="1"/>
        <v>5924.54</v>
      </c>
      <c r="J5" s="1">
        <v>45826</v>
      </c>
      <c r="K5" t="s">
        <v>38</v>
      </c>
      <c r="L5" t="s">
        <v>23</v>
      </c>
      <c r="M5">
        <v>2296.5</v>
      </c>
      <c r="O5" t="s">
        <v>2521</v>
      </c>
      <c r="P5" t="s">
        <v>2522</v>
      </c>
    </row>
    <row r="6" spans="1:16" x14ac:dyDescent="0.25">
      <c r="A6">
        <v>1004</v>
      </c>
      <c r="B6" t="s">
        <v>27</v>
      </c>
      <c r="C6" t="s">
        <v>28</v>
      </c>
      <c r="D6" t="s">
        <v>29</v>
      </c>
      <c r="E6">
        <v>1</v>
      </c>
      <c r="F6">
        <v>2881.07</v>
      </c>
      <c r="G6">
        <f t="shared" si="0"/>
        <v>2881.07</v>
      </c>
      <c r="H6" s="3">
        <v>0.27</v>
      </c>
      <c r="I6">
        <f t="shared" si="1"/>
        <v>2103.1811000000002</v>
      </c>
      <c r="K6" t="s">
        <v>2517</v>
      </c>
      <c r="L6" t="s">
        <v>16</v>
      </c>
      <c r="M6">
        <v>63.66</v>
      </c>
      <c r="O6" s="11">
        <v>1004</v>
      </c>
      <c r="P6">
        <f>VLOOKUP(O6,Table5[#All],9,)</f>
        <v>2103.1811000000002</v>
      </c>
    </row>
    <row r="7" spans="1:16" x14ac:dyDescent="0.25">
      <c r="A7">
        <v>1005</v>
      </c>
      <c r="B7" t="s">
        <v>30</v>
      </c>
      <c r="C7" t="s">
        <v>31</v>
      </c>
      <c r="D7" t="s">
        <v>32</v>
      </c>
      <c r="E7">
        <v>2</v>
      </c>
      <c r="G7">
        <f t="shared" si="0"/>
        <v>0</v>
      </c>
      <c r="I7">
        <f t="shared" si="1"/>
        <v>0</v>
      </c>
      <c r="J7" s="1">
        <v>45265</v>
      </c>
      <c r="K7" t="s">
        <v>22</v>
      </c>
      <c r="L7" t="s">
        <v>23</v>
      </c>
      <c r="M7">
        <v>1477.73</v>
      </c>
      <c r="O7" s="12">
        <v>1005</v>
      </c>
      <c r="P7">
        <f>VLOOKUP(O7,Table5[#All],9,)</f>
        <v>0</v>
      </c>
    </row>
    <row r="8" spans="1:16" x14ac:dyDescent="0.25">
      <c r="A8">
        <v>1006</v>
      </c>
      <c r="B8" t="s">
        <v>33</v>
      </c>
      <c r="C8" t="s">
        <v>13</v>
      </c>
      <c r="D8" t="s">
        <v>34</v>
      </c>
      <c r="E8">
        <v>1</v>
      </c>
      <c r="F8">
        <v>2060.85</v>
      </c>
      <c r="G8">
        <f t="shared" si="0"/>
        <v>2060.85</v>
      </c>
      <c r="I8">
        <f t="shared" si="1"/>
        <v>2060.85</v>
      </c>
      <c r="J8" s="1">
        <v>45384</v>
      </c>
      <c r="K8" t="s">
        <v>18</v>
      </c>
      <c r="L8" t="s">
        <v>23</v>
      </c>
      <c r="M8">
        <v>198.36</v>
      </c>
      <c r="O8" s="11">
        <v>1010</v>
      </c>
      <c r="P8">
        <f>VLOOKUP(O8,Table5[#All],9,)</f>
        <v>0</v>
      </c>
    </row>
    <row r="9" spans="1:16" x14ac:dyDescent="0.25">
      <c r="A9">
        <v>1007</v>
      </c>
      <c r="B9" t="s">
        <v>35</v>
      </c>
      <c r="C9" t="s">
        <v>36</v>
      </c>
      <c r="D9" t="s">
        <v>37</v>
      </c>
      <c r="E9">
        <v>2</v>
      </c>
      <c r="F9">
        <v>3669.56</v>
      </c>
      <c r="G9">
        <f t="shared" si="0"/>
        <v>7339.12</v>
      </c>
      <c r="I9">
        <f t="shared" si="1"/>
        <v>7339.12</v>
      </c>
      <c r="K9" t="s">
        <v>38</v>
      </c>
      <c r="L9" t="s">
        <v>16</v>
      </c>
      <c r="M9">
        <v>2490.0100000000002</v>
      </c>
      <c r="O9" s="12">
        <v>1011</v>
      </c>
      <c r="P9">
        <f>VLOOKUP(O9,Table5[#All],9,)</f>
        <v>0</v>
      </c>
    </row>
    <row r="10" spans="1:16" x14ac:dyDescent="0.25">
      <c r="A10">
        <v>1008</v>
      </c>
      <c r="B10" t="s">
        <v>39</v>
      </c>
      <c r="C10" t="s">
        <v>28</v>
      </c>
      <c r="D10" t="s">
        <v>40</v>
      </c>
      <c r="E10">
        <v>2</v>
      </c>
      <c r="G10">
        <f t="shared" si="0"/>
        <v>0</v>
      </c>
      <c r="I10">
        <f t="shared" si="1"/>
        <v>0</v>
      </c>
      <c r="K10" t="s">
        <v>18</v>
      </c>
      <c r="L10" t="s">
        <v>16</v>
      </c>
      <c r="M10">
        <v>-886.8</v>
      </c>
      <c r="O10" s="11">
        <v>1012</v>
      </c>
      <c r="P10">
        <f>VLOOKUP(O10,Table5[#All],9,)</f>
        <v>0</v>
      </c>
    </row>
    <row r="11" spans="1:16" x14ac:dyDescent="0.25">
      <c r="A11">
        <v>1009</v>
      </c>
      <c r="B11" t="s">
        <v>41</v>
      </c>
      <c r="C11" t="s">
        <v>31</v>
      </c>
      <c r="D11" t="s">
        <v>42</v>
      </c>
      <c r="E11">
        <v>5</v>
      </c>
      <c r="G11">
        <f t="shared" si="0"/>
        <v>0</v>
      </c>
      <c r="I11">
        <f t="shared" si="1"/>
        <v>0</v>
      </c>
      <c r="J11" s="1">
        <v>45858</v>
      </c>
      <c r="K11" t="s">
        <v>38</v>
      </c>
      <c r="L11" t="s">
        <v>23</v>
      </c>
      <c r="M11">
        <v>-972.73</v>
      </c>
      <c r="O11" s="12">
        <v>1031</v>
      </c>
      <c r="P11">
        <f>VLOOKUP(O11,Table5[#All],9,)</f>
        <v>3182.4849999999997</v>
      </c>
    </row>
    <row r="12" spans="1:16" x14ac:dyDescent="0.25">
      <c r="A12">
        <v>1010</v>
      </c>
      <c r="B12" t="s">
        <v>43</v>
      </c>
      <c r="C12" t="s">
        <v>31</v>
      </c>
      <c r="D12" t="s">
        <v>32</v>
      </c>
      <c r="E12">
        <v>0</v>
      </c>
      <c r="F12">
        <v>4007.02</v>
      </c>
      <c r="G12">
        <f t="shared" si="0"/>
        <v>0</v>
      </c>
      <c r="I12">
        <f t="shared" si="1"/>
        <v>0</v>
      </c>
      <c r="K12" t="s">
        <v>44</v>
      </c>
      <c r="L12" t="s">
        <v>23</v>
      </c>
      <c r="M12">
        <v>-950.38</v>
      </c>
      <c r="O12" s="12">
        <v>1035</v>
      </c>
      <c r="P12">
        <f>VLOOKUP(O12,Table5[#All],9,)</f>
        <v>0</v>
      </c>
    </row>
    <row r="13" spans="1:16" x14ac:dyDescent="0.25">
      <c r="A13">
        <v>1011</v>
      </c>
      <c r="B13" t="s">
        <v>45</v>
      </c>
      <c r="C13" t="s">
        <v>28</v>
      </c>
      <c r="D13" t="s">
        <v>29</v>
      </c>
      <c r="E13">
        <v>0</v>
      </c>
      <c r="G13">
        <f t="shared" si="0"/>
        <v>0</v>
      </c>
      <c r="I13">
        <f t="shared" si="1"/>
        <v>0</v>
      </c>
      <c r="J13" s="1">
        <v>45804</v>
      </c>
      <c r="K13" t="s">
        <v>15</v>
      </c>
      <c r="L13" t="s">
        <v>16</v>
      </c>
      <c r="M13">
        <v>1370.67</v>
      </c>
      <c r="O13" s="12">
        <v>1039</v>
      </c>
      <c r="P13">
        <f>VLOOKUP(O13,Table5[#All],9,)</f>
        <v>1207.5008</v>
      </c>
    </row>
    <row r="14" spans="1:16" x14ac:dyDescent="0.25">
      <c r="A14">
        <v>1012</v>
      </c>
      <c r="B14" t="s">
        <v>46</v>
      </c>
      <c r="C14" t="s">
        <v>13</v>
      </c>
      <c r="D14" t="s">
        <v>47</v>
      </c>
      <c r="E14">
        <v>4</v>
      </c>
      <c r="G14">
        <f t="shared" si="0"/>
        <v>0</v>
      </c>
      <c r="H14" s="3">
        <v>0.21</v>
      </c>
      <c r="I14">
        <f t="shared" si="1"/>
        <v>0</v>
      </c>
      <c r="J14" s="1">
        <v>45526</v>
      </c>
      <c r="K14" t="s">
        <v>18</v>
      </c>
      <c r="L14" t="s">
        <v>16</v>
      </c>
      <c r="M14">
        <v>843.61</v>
      </c>
      <c r="O14" s="11">
        <v>1042</v>
      </c>
      <c r="P14">
        <f>VLOOKUP(O14,Table5[#All],9,)</f>
        <v>0</v>
      </c>
    </row>
    <row r="15" spans="1:16" x14ac:dyDescent="0.25">
      <c r="A15">
        <v>1013</v>
      </c>
      <c r="B15" t="s">
        <v>48</v>
      </c>
      <c r="C15" t="s">
        <v>31</v>
      </c>
      <c r="D15" t="s">
        <v>32</v>
      </c>
      <c r="E15">
        <v>2</v>
      </c>
      <c r="G15">
        <f t="shared" si="0"/>
        <v>0</v>
      </c>
      <c r="H15" s="3">
        <v>0.62</v>
      </c>
      <c r="I15">
        <f t="shared" si="1"/>
        <v>0</v>
      </c>
      <c r="K15" t="s">
        <v>44</v>
      </c>
      <c r="L15" t="s">
        <v>16</v>
      </c>
      <c r="M15">
        <v>1279.58</v>
      </c>
    </row>
    <row r="16" spans="1:16" x14ac:dyDescent="0.25">
      <c r="A16">
        <v>1014</v>
      </c>
      <c r="B16" t="s">
        <v>49</v>
      </c>
      <c r="C16" t="s">
        <v>25</v>
      </c>
      <c r="D16" t="s">
        <v>26</v>
      </c>
      <c r="E16">
        <v>4</v>
      </c>
      <c r="G16">
        <f t="shared" si="0"/>
        <v>0</v>
      </c>
      <c r="I16">
        <f t="shared" si="1"/>
        <v>0</v>
      </c>
      <c r="J16" s="1">
        <v>45556</v>
      </c>
      <c r="K16" t="s">
        <v>2517</v>
      </c>
      <c r="L16" t="s">
        <v>16</v>
      </c>
      <c r="M16">
        <v>-889.25</v>
      </c>
    </row>
    <row r="17" spans="1:13" x14ac:dyDescent="0.25">
      <c r="A17">
        <v>1015</v>
      </c>
      <c r="B17" t="s">
        <v>50</v>
      </c>
      <c r="C17" t="s">
        <v>25</v>
      </c>
      <c r="D17" t="s">
        <v>51</v>
      </c>
      <c r="E17">
        <v>6</v>
      </c>
      <c r="G17">
        <f t="shared" si="0"/>
        <v>0</v>
      </c>
      <c r="I17">
        <f t="shared" si="1"/>
        <v>0</v>
      </c>
      <c r="K17" t="s">
        <v>18</v>
      </c>
      <c r="L17" t="s">
        <v>16</v>
      </c>
      <c r="M17">
        <v>793.8</v>
      </c>
    </row>
    <row r="18" spans="1:13" x14ac:dyDescent="0.25">
      <c r="A18">
        <v>1016</v>
      </c>
      <c r="B18" t="s">
        <v>52</v>
      </c>
      <c r="C18" t="s">
        <v>31</v>
      </c>
      <c r="D18" t="s">
        <v>32</v>
      </c>
      <c r="E18">
        <v>2</v>
      </c>
      <c r="G18">
        <f t="shared" si="0"/>
        <v>0</v>
      </c>
      <c r="I18">
        <f t="shared" si="1"/>
        <v>0</v>
      </c>
      <c r="J18" s="1">
        <v>45591</v>
      </c>
      <c r="K18" t="s">
        <v>2517</v>
      </c>
      <c r="L18" t="s">
        <v>23</v>
      </c>
      <c r="M18">
        <v>1881.89</v>
      </c>
    </row>
    <row r="19" spans="1:13" x14ac:dyDescent="0.25">
      <c r="A19">
        <v>1017</v>
      </c>
      <c r="B19" t="s">
        <v>53</v>
      </c>
      <c r="C19" t="s">
        <v>31</v>
      </c>
      <c r="D19" t="s">
        <v>42</v>
      </c>
      <c r="E19">
        <v>3</v>
      </c>
      <c r="F19">
        <v>468.53</v>
      </c>
      <c r="G19">
        <f t="shared" si="0"/>
        <v>1405.59</v>
      </c>
      <c r="I19">
        <f t="shared" si="1"/>
        <v>1405.59</v>
      </c>
      <c r="K19" t="s">
        <v>22</v>
      </c>
      <c r="L19" t="s">
        <v>23</v>
      </c>
      <c r="M19">
        <v>-195.65</v>
      </c>
    </row>
    <row r="20" spans="1:13" x14ac:dyDescent="0.25">
      <c r="A20">
        <v>1018</v>
      </c>
      <c r="B20" t="s">
        <v>54</v>
      </c>
      <c r="C20" t="s">
        <v>36</v>
      </c>
      <c r="D20" t="s">
        <v>55</v>
      </c>
      <c r="E20">
        <v>4</v>
      </c>
      <c r="G20">
        <f t="shared" si="0"/>
        <v>0</v>
      </c>
      <c r="I20">
        <f t="shared" si="1"/>
        <v>0</v>
      </c>
      <c r="J20" s="1">
        <v>45395</v>
      </c>
      <c r="K20" t="s">
        <v>38</v>
      </c>
      <c r="L20" t="s">
        <v>16</v>
      </c>
      <c r="M20">
        <v>2102.56</v>
      </c>
    </row>
    <row r="21" spans="1:13" x14ac:dyDescent="0.25">
      <c r="A21">
        <v>1019</v>
      </c>
      <c r="B21" t="s">
        <v>56</v>
      </c>
      <c r="C21" t="s">
        <v>36</v>
      </c>
      <c r="D21" t="s">
        <v>37</v>
      </c>
      <c r="E21">
        <v>2</v>
      </c>
      <c r="F21">
        <v>4064.4</v>
      </c>
      <c r="G21">
        <f t="shared" si="0"/>
        <v>8128.8</v>
      </c>
      <c r="H21" s="3">
        <v>0.7</v>
      </c>
      <c r="I21">
        <f t="shared" si="1"/>
        <v>2438.6400000000003</v>
      </c>
      <c r="J21" s="1">
        <v>45587</v>
      </c>
      <c r="K21" t="s">
        <v>18</v>
      </c>
      <c r="L21" t="s">
        <v>16</v>
      </c>
      <c r="M21">
        <v>877.21</v>
      </c>
    </row>
    <row r="22" spans="1:13" x14ac:dyDescent="0.25">
      <c r="A22">
        <v>1020</v>
      </c>
      <c r="B22" t="s">
        <v>57</v>
      </c>
      <c r="C22" t="s">
        <v>13</v>
      </c>
      <c r="D22" t="s">
        <v>34</v>
      </c>
      <c r="E22">
        <v>1</v>
      </c>
      <c r="G22">
        <f t="shared" si="0"/>
        <v>0</v>
      </c>
      <c r="I22">
        <f t="shared" si="1"/>
        <v>0</v>
      </c>
      <c r="J22" s="1">
        <v>45735</v>
      </c>
      <c r="K22" t="s">
        <v>44</v>
      </c>
      <c r="L22" t="s">
        <v>23</v>
      </c>
      <c r="M22">
        <v>669.75</v>
      </c>
    </row>
    <row r="23" spans="1:13" x14ac:dyDescent="0.25">
      <c r="A23">
        <v>1021</v>
      </c>
      <c r="B23" t="s">
        <v>58</v>
      </c>
      <c r="C23" t="s">
        <v>36</v>
      </c>
      <c r="D23" t="s">
        <v>59</v>
      </c>
      <c r="E23">
        <v>2</v>
      </c>
      <c r="G23">
        <f t="shared" si="0"/>
        <v>0</v>
      </c>
      <c r="I23">
        <f t="shared" si="1"/>
        <v>0</v>
      </c>
      <c r="J23" s="1">
        <v>45417</v>
      </c>
      <c r="K23" t="s">
        <v>38</v>
      </c>
      <c r="L23" t="s">
        <v>23</v>
      </c>
      <c r="M23">
        <v>-705.72</v>
      </c>
    </row>
    <row r="24" spans="1:13" x14ac:dyDescent="0.25">
      <c r="A24">
        <v>1031</v>
      </c>
      <c r="B24" t="s">
        <v>60</v>
      </c>
      <c r="C24" t="s">
        <v>36</v>
      </c>
      <c r="D24" t="s">
        <v>59</v>
      </c>
      <c r="E24">
        <v>2</v>
      </c>
      <c r="F24">
        <v>1872.05</v>
      </c>
      <c r="G24">
        <f t="shared" si="0"/>
        <v>3744.1</v>
      </c>
      <c r="H24" s="3">
        <v>0.15</v>
      </c>
      <c r="I24">
        <f t="shared" si="1"/>
        <v>3182.4849999999997</v>
      </c>
      <c r="J24" s="1">
        <v>45804</v>
      </c>
      <c r="K24" t="s">
        <v>44</v>
      </c>
      <c r="L24" t="s">
        <v>16</v>
      </c>
      <c r="M24">
        <v>-863.9</v>
      </c>
    </row>
    <row r="25" spans="1:13" x14ac:dyDescent="0.25">
      <c r="A25">
        <v>1023</v>
      </c>
      <c r="B25" t="s">
        <v>61</v>
      </c>
      <c r="C25" t="s">
        <v>25</v>
      </c>
      <c r="D25" t="s">
        <v>62</v>
      </c>
      <c r="E25">
        <v>2</v>
      </c>
      <c r="G25">
        <f t="shared" si="0"/>
        <v>0</v>
      </c>
      <c r="I25">
        <f t="shared" si="1"/>
        <v>0</v>
      </c>
      <c r="K25" t="s">
        <v>22</v>
      </c>
      <c r="L25" t="s">
        <v>16</v>
      </c>
      <c r="M25">
        <v>-875.51</v>
      </c>
    </row>
    <row r="26" spans="1:13" x14ac:dyDescent="0.25">
      <c r="A26">
        <v>1024</v>
      </c>
      <c r="B26" t="s">
        <v>63</v>
      </c>
      <c r="C26" t="s">
        <v>20</v>
      </c>
      <c r="D26" t="s">
        <v>21</v>
      </c>
      <c r="E26">
        <v>-2</v>
      </c>
      <c r="G26">
        <f t="shared" si="0"/>
        <v>0</v>
      </c>
      <c r="H26" s="3">
        <v>1.19</v>
      </c>
      <c r="I26">
        <f t="shared" si="1"/>
        <v>0</v>
      </c>
      <c r="J26" s="1">
        <v>45707</v>
      </c>
      <c r="K26" t="s">
        <v>15</v>
      </c>
      <c r="L26" t="s">
        <v>23</v>
      </c>
      <c r="M26">
        <v>491.1</v>
      </c>
    </row>
    <row r="27" spans="1:13" x14ac:dyDescent="0.25">
      <c r="A27">
        <v>1025</v>
      </c>
      <c r="B27" t="s">
        <v>64</v>
      </c>
      <c r="C27" t="s">
        <v>13</v>
      </c>
      <c r="D27" t="s">
        <v>47</v>
      </c>
      <c r="E27">
        <v>4</v>
      </c>
      <c r="F27">
        <v>4595.08</v>
      </c>
      <c r="G27">
        <f t="shared" si="0"/>
        <v>18380.32</v>
      </c>
      <c r="I27">
        <f t="shared" si="1"/>
        <v>18380.32</v>
      </c>
      <c r="J27" s="1">
        <v>45856</v>
      </c>
      <c r="K27" t="s">
        <v>38</v>
      </c>
      <c r="L27" t="s">
        <v>16</v>
      </c>
      <c r="M27">
        <v>330.82</v>
      </c>
    </row>
    <row r="28" spans="1:13" x14ac:dyDescent="0.25">
      <c r="A28">
        <v>1026</v>
      </c>
      <c r="B28" t="s">
        <v>65</v>
      </c>
      <c r="C28" t="s">
        <v>28</v>
      </c>
      <c r="D28" t="s">
        <v>40</v>
      </c>
      <c r="E28">
        <v>2</v>
      </c>
      <c r="G28">
        <f t="shared" si="0"/>
        <v>0</v>
      </c>
      <c r="I28">
        <f t="shared" si="1"/>
        <v>0</v>
      </c>
      <c r="J28" s="1">
        <v>45647</v>
      </c>
      <c r="K28" t="s">
        <v>18</v>
      </c>
      <c r="L28" t="s">
        <v>23</v>
      </c>
      <c r="M28">
        <v>-194.77</v>
      </c>
    </row>
    <row r="29" spans="1:13" x14ac:dyDescent="0.25">
      <c r="A29">
        <v>1027</v>
      </c>
      <c r="B29" t="s">
        <v>66</v>
      </c>
      <c r="C29" t="s">
        <v>28</v>
      </c>
      <c r="D29" t="s">
        <v>29</v>
      </c>
      <c r="E29">
        <v>1</v>
      </c>
      <c r="G29">
        <f t="shared" si="0"/>
        <v>0</v>
      </c>
      <c r="I29">
        <f t="shared" si="1"/>
        <v>0</v>
      </c>
      <c r="K29" t="s">
        <v>2517</v>
      </c>
      <c r="L29" t="s">
        <v>23</v>
      </c>
      <c r="M29">
        <v>1085.3599999999999</v>
      </c>
    </row>
    <row r="30" spans="1:13" x14ac:dyDescent="0.25">
      <c r="A30">
        <v>1028</v>
      </c>
      <c r="B30" t="s">
        <v>67</v>
      </c>
      <c r="C30" t="s">
        <v>31</v>
      </c>
      <c r="D30" t="s">
        <v>68</v>
      </c>
      <c r="E30">
        <v>-2</v>
      </c>
      <c r="G30">
        <f t="shared" si="0"/>
        <v>0</v>
      </c>
      <c r="I30">
        <f t="shared" si="1"/>
        <v>0</v>
      </c>
      <c r="K30" t="s">
        <v>2517</v>
      </c>
      <c r="L30" t="s">
        <v>23</v>
      </c>
      <c r="M30">
        <v>2060.0300000000002</v>
      </c>
    </row>
    <row r="31" spans="1:13" x14ac:dyDescent="0.25">
      <c r="A31">
        <v>1029</v>
      </c>
      <c r="B31" t="s">
        <v>69</v>
      </c>
      <c r="C31" t="s">
        <v>31</v>
      </c>
      <c r="D31" t="s">
        <v>68</v>
      </c>
      <c r="E31">
        <v>4</v>
      </c>
      <c r="G31">
        <f t="shared" si="0"/>
        <v>0</v>
      </c>
      <c r="I31">
        <f t="shared" si="1"/>
        <v>0</v>
      </c>
      <c r="K31" t="s">
        <v>22</v>
      </c>
      <c r="L31" t="s">
        <v>16</v>
      </c>
      <c r="M31">
        <v>1737.92</v>
      </c>
    </row>
    <row r="32" spans="1:13" x14ac:dyDescent="0.25">
      <c r="A32">
        <v>1030</v>
      </c>
      <c r="B32" t="s">
        <v>70</v>
      </c>
      <c r="C32" t="s">
        <v>36</v>
      </c>
      <c r="D32" t="s">
        <v>55</v>
      </c>
      <c r="E32">
        <v>3</v>
      </c>
      <c r="F32">
        <v>1069.77</v>
      </c>
      <c r="G32">
        <f t="shared" si="0"/>
        <v>3209.31</v>
      </c>
      <c r="I32">
        <f t="shared" si="1"/>
        <v>3209.31</v>
      </c>
      <c r="J32" s="1">
        <v>45172</v>
      </c>
      <c r="K32" t="s">
        <v>2517</v>
      </c>
      <c r="L32" t="s">
        <v>16</v>
      </c>
      <c r="M32">
        <v>1155.3800000000001</v>
      </c>
    </row>
    <row r="33" spans="1:13" x14ac:dyDescent="0.25">
      <c r="A33">
        <v>1031</v>
      </c>
      <c r="B33" t="s">
        <v>71</v>
      </c>
      <c r="C33" t="s">
        <v>36</v>
      </c>
      <c r="D33" t="s">
        <v>59</v>
      </c>
      <c r="E33">
        <v>4</v>
      </c>
      <c r="G33">
        <f t="shared" si="0"/>
        <v>0</v>
      </c>
      <c r="I33">
        <f t="shared" si="1"/>
        <v>0</v>
      </c>
      <c r="J33" s="1">
        <v>45688</v>
      </c>
      <c r="K33" t="s">
        <v>38</v>
      </c>
      <c r="L33" t="s">
        <v>23</v>
      </c>
      <c r="M33">
        <v>-960.24</v>
      </c>
    </row>
    <row r="34" spans="1:13" x14ac:dyDescent="0.25">
      <c r="A34">
        <v>1032</v>
      </c>
      <c r="B34" t="s">
        <v>72</v>
      </c>
      <c r="C34" t="s">
        <v>13</v>
      </c>
      <c r="D34" t="s">
        <v>34</v>
      </c>
      <c r="E34">
        <v>2</v>
      </c>
      <c r="F34">
        <v>2182.0100000000002</v>
      </c>
      <c r="G34">
        <f t="shared" si="0"/>
        <v>4364.0200000000004</v>
      </c>
      <c r="I34">
        <f t="shared" si="1"/>
        <v>4364.0200000000004</v>
      </c>
      <c r="J34" s="1">
        <v>45682</v>
      </c>
      <c r="K34" t="s">
        <v>15</v>
      </c>
      <c r="L34" t="s">
        <v>16</v>
      </c>
      <c r="M34">
        <v>1377.61</v>
      </c>
    </row>
    <row r="35" spans="1:13" x14ac:dyDescent="0.25">
      <c r="A35">
        <v>1033</v>
      </c>
      <c r="B35" t="s">
        <v>73</v>
      </c>
      <c r="C35" t="s">
        <v>13</v>
      </c>
      <c r="D35" t="s">
        <v>47</v>
      </c>
      <c r="E35">
        <v>2</v>
      </c>
      <c r="G35">
        <f t="shared" si="0"/>
        <v>0</v>
      </c>
      <c r="I35">
        <f t="shared" si="1"/>
        <v>0</v>
      </c>
      <c r="J35" s="1">
        <v>45609</v>
      </c>
      <c r="K35" t="s">
        <v>2517</v>
      </c>
      <c r="L35" t="s">
        <v>23</v>
      </c>
      <c r="M35">
        <v>903.69</v>
      </c>
    </row>
    <row r="36" spans="1:13" x14ac:dyDescent="0.25">
      <c r="A36">
        <v>1034</v>
      </c>
      <c r="B36" t="s">
        <v>74</v>
      </c>
      <c r="C36" t="s">
        <v>20</v>
      </c>
      <c r="D36" t="s">
        <v>21</v>
      </c>
      <c r="E36">
        <v>0</v>
      </c>
      <c r="F36">
        <v>4449.3599999999997</v>
      </c>
      <c r="G36">
        <f t="shared" si="0"/>
        <v>0</v>
      </c>
      <c r="H36" s="3">
        <v>0.94</v>
      </c>
      <c r="I36">
        <f t="shared" si="1"/>
        <v>0</v>
      </c>
      <c r="J36" s="1">
        <v>45851</v>
      </c>
      <c r="K36" t="s">
        <v>15</v>
      </c>
      <c r="L36" t="s">
        <v>23</v>
      </c>
      <c r="M36">
        <v>-282.68</v>
      </c>
    </row>
    <row r="37" spans="1:13" x14ac:dyDescent="0.25">
      <c r="A37">
        <v>1035</v>
      </c>
      <c r="B37" t="s">
        <v>75</v>
      </c>
      <c r="C37" t="s">
        <v>20</v>
      </c>
      <c r="D37" t="s">
        <v>76</v>
      </c>
      <c r="E37">
        <v>-1</v>
      </c>
      <c r="G37">
        <f t="shared" si="0"/>
        <v>0</v>
      </c>
      <c r="H37" s="3">
        <v>0.94</v>
      </c>
      <c r="I37">
        <f t="shared" si="1"/>
        <v>0</v>
      </c>
      <c r="K37" t="s">
        <v>18</v>
      </c>
      <c r="L37" t="s">
        <v>16</v>
      </c>
      <c r="M37">
        <v>-199.18</v>
      </c>
    </row>
    <row r="38" spans="1:13" x14ac:dyDescent="0.25">
      <c r="A38">
        <v>1036</v>
      </c>
      <c r="B38" t="s">
        <v>77</v>
      </c>
      <c r="C38" t="s">
        <v>31</v>
      </c>
      <c r="D38" t="s">
        <v>78</v>
      </c>
      <c r="E38">
        <v>-2</v>
      </c>
      <c r="F38">
        <v>2721.83</v>
      </c>
      <c r="G38">
        <f t="shared" si="0"/>
        <v>-5443.66</v>
      </c>
      <c r="I38">
        <f t="shared" si="1"/>
        <v>-5443.66</v>
      </c>
      <c r="J38" s="1">
        <v>45388</v>
      </c>
      <c r="K38" t="s">
        <v>18</v>
      </c>
      <c r="L38" t="s">
        <v>23</v>
      </c>
      <c r="M38">
        <v>1213.95</v>
      </c>
    </row>
    <row r="39" spans="1:13" x14ac:dyDescent="0.25">
      <c r="A39">
        <v>1037</v>
      </c>
      <c r="B39" t="s">
        <v>79</v>
      </c>
      <c r="C39" t="s">
        <v>28</v>
      </c>
      <c r="D39" t="s">
        <v>40</v>
      </c>
      <c r="E39">
        <v>2</v>
      </c>
      <c r="G39">
        <f t="shared" si="0"/>
        <v>0</v>
      </c>
      <c r="H39" s="3">
        <v>1.1000000000000001</v>
      </c>
      <c r="I39">
        <f t="shared" si="1"/>
        <v>0</v>
      </c>
      <c r="K39" t="s">
        <v>18</v>
      </c>
      <c r="L39" t="s">
        <v>23</v>
      </c>
      <c r="M39">
        <v>907.77</v>
      </c>
    </row>
    <row r="40" spans="1:13" x14ac:dyDescent="0.25">
      <c r="A40">
        <v>1038</v>
      </c>
      <c r="B40" t="s">
        <v>80</v>
      </c>
      <c r="C40" t="s">
        <v>31</v>
      </c>
      <c r="D40" t="s">
        <v>32</v>
      </c>
      <c r="E40">
        <v>3</v>
      </c>
      <c r="F40">
        <v>1692.38</v>
      </c>
      <c r="G40">
        <f t="shared" si="0"/>
        <v>5077.1400000000003</v>
      </c>
      <c r="I40">
        <f t="shared" si="1"/>
        <v>5077.1400000000003</v>
      </c>
      <c r="J40" s="1">
        <v>45311</v>
      </c>
      <c r="K40" t="s">
        <v>38</v>
      </c>
      <c r="L40" t="s">
        <v>16</v>
      </c>
      <c r="M40">
        <v>1704.49</v>
      </c>
    </row>
    <row r="41" spans="1:13" x14ac:dyDescent="0.25">
      <c r="A41">
        <v>1039</v>
      </c>
      <c r="B41" t="s">
        <v>81</v>
      </c>
      <c r="C41" t="s">
        <v>25</v>
      </c>
      <c r="D41" t="s">
        <v>82</v>
      </c>
      <c r="E41">
        <v>2</v>
      </c>
      <c r="F41">
        <v>1372.16</v>
      </c>
      <c r="G41">
        <f t="shared" si="0"/>
        <v>2744.32</v>
      </c>
      <c r="H41" s="3">
        <v>0.56000000000000005</v>
      </c>
      <c r="I41">
        <f t="shared" si="1"/>
        <v>1207.5008</v>
      </c>
      <c r="J41" s="1">
        <v>45797</v>
      </c>
      <c r="K41" t="s">
        <v>2517</v>
      </c>
      <c r="L41" t="s">
        <v>16</v>
      </c>
      <c r="M41">
        <v>1626.51</v>
      </c>
    </row>
    <row r="42" spans="1:13" x14ac:dyDescent="0.25">
      <c r="A42">
        <v>1040</v>
      </c>
      <c r="B42" t="s">
        <v>83</v>
      </c>
      <c r="C42" t="s">
        <v>20</v>
      </c>
      <c r="D42" t="s">
        <v>84</v>
      </c>
      <c r="E42">
        <v>2</v>
      </c>
      <c r="G42">
        <f t="shared" si="0"/>
        <v>0</v>
      </c>
      <c r="I42">
        <f t="shared" si="1"/>
        <v>0</v>
      </c>
      <c r="J42" s="1">
        <v>45611</v>
      </c>
      <c r="K42" t="s">
        <v>18</v>
      </c>
      <c r="L42" t="s">
        <v>16</v>
      </c>
      <c r="M42">
        <v>693.6</v>
      </c>
    </row>
    <row r="43" spans="1:13" x14ac:dyDescent="0.25">
      <c r="A43">
        <v>1041</v>
      </c>
      <c r="B43" t="s">
        <v>85</v>
      </c>
      <c r="C43" t="s">
        <v>20</v>
      </c>
      <c r="D43" t="s">
        <v>21</v>
      </c>
      <c r="E43">
        <v>2</v>
      </c>
      <c r="G43">
        <f t="shared" si="0"/>
        <v>0</v>
      </c>
      <c r="I43">
        <f t="shared" si="1"/>
        <v>0</v>
      </c>
      <c r="J43" s="1">
        <v>45723</v>
      </c>
      <c r="K43" t="s">
        <v>18</v>
      </c>
      <c r="L43" t="s">
        <v>16</v>
      </c>
      <c r="M43">
        <v>-983.06</v>
      </c>
    </row>
    <row r="44" spans="1:13" x14ac:dyDescent="0.25">
      <c r="A44">
        <v>1042</v>
      </c>
      <c r="B44" t="s">
        <v>86</v>
      </c>
      <c r="C44" t="s">
        <v>36</v>
      </c>
      <c r="D44" t="s">
        <v>87</v>
      </c>
      <c r="E44">
        <v>2</v>
      </c>
      <c r="G44">
        <f t="shared" si="0"/>
        <v>0</v>
      </c>
      <c r="I44">
        <f t="shared" si="1"/>
        <v>0</v>
      </c>
      <c r="J44" s="1">
        <v>45759</v>
      </c>
      <c r="K44" t="s">
        <v>44</v>
      </c>
      <c r="L44" t="s">
        <v>16</v>
      </c>
      <c r="M44">
        <v>283.39</v>
      </c>
    </row>
    <row r="45" spans="1:13" x14ac:dyDescent="0.25">
      <c r="A45">
        <v>1043</v>
      </c>
      <c r="B45" t="s">
        <v>88</v>
      </c>
      <c r="C45" t="s">
        <v>31</v>
      </c>
      <c r="D45" t="s">
        <v>78</v>
      </c>
      <c r="E45">
        <v>2</v>
      </c>
      <c r="F45">
        <v>4575.93</v>
      </c>
      <c r="G45">
        <f t="shared" si="0"/>
        <v>9151.86</v>
      </c>
      <c r="H45" s="3">
        <v>0.56000000000000005</v>
      </c>
      <c r="I45">
        <f t="shared" si="1"/>
        <v>4026.8183999999997</v>
      </c>
      <c r="J45" s="1">
        <v>45752</v>
      </c>
      <c r="K45" t="s">
        <v>18</v>
      </c>
      <c r="L45" t="s">
        <v>16</v>
      </c>
      <c r="M45">
        <v>442.14</v>
      </c>
    </row>
    <row r="46" spans="1:13" x14ac:dyDescent="0.25">
      <c r="A46">
        <v>1044</v>
      </c>
      <c r="B46" t="s">
        <v>89</v>
      </c>
      <c r="C46" t="s">
        <v>31</v>
      </c>
      <c r="D46" t="s">
        <v>68</v>
      </c>
      <c r="E46">
        <v>2</v>
      </c>
      <c r="G46">
        <f t="shared" si="0"/>
        <v>0</v>
      </c>
      <c r="I46">
        <f t="shared" si="1"/>
        <v>0</v>
      </c>
      <c r="J46" s="1">
        <v>45547</v>
      </c>
      <c r="K46" t="s">
        <v>38</v>
      </c>
      <c r="L46" t="s">
        <v>23</v>
      </c>
      <c r="M46">
        <v>-80.23</v>
      </c>
    </row>
    <row r="47" spans="1:13" x14ac:dyDescent="0.25">
      <c r="A47">
        <v>1045</v>
      </c>
      <c r="B47" t="s">
        <v>90</v>
      </c>
      <c r="C47" t="s">
        <v>28</v>
      </c>
      <c r="D47" t="s">
        <v>40</v>
      </c>
      <c r="E47">
        <v>2</v>
      </c>
      <c r="F47">
        <v>3477.16</v>
      </c>
      <c r="G47">
        <f t="shared" si="0"/>
        <v>6954.32</v>
      </c>
      <c r="I47">
        <f t="shared" si="1"/>
        <v>6954.32</v>
      </c>
      <c r="J47" s="1">
        <v>45698</v>
      </c>
      <c r="K47" t="s">
        <v>2517</v>
      </c>
      <c r="L47" t="s">
        <v>23</v>
      </c>
      <c r="M47">
        <v>1323.75</v>
      </c>
    </row>
    <row r="48" spans="1:13" x14ac:dyDescent="0.25">
      <c r="A48">
        <v>1046</v>
      </c>
      <c r="B48" t="s">
        <v>91</v>
      </c>
      <c r="C48" t="s">
        <v>13</v>
      </c>
      <c r="D48" t="s">
        <v>14</v>
      </c>
      <c r="E48">
        <v>-1</v>
      </c>
      <c r="F48">
        <v>2441.92</v>
      </c>
      <c r="G48">
        <f t="shared" si="0"/>
        <v>-2441.92</v>
      </c>
      <c r="H48" s="3">
        <v>0.92</v>
      </c>
      <c r="I48">
        <f t="shared" si="1"/>
        <v>-195.35359999999991</v>
      </c>
      <c r="K48" t="s">
        <v>15</v>
      </c>
      <c r="L48" t="s">
        <v>16</v>
      </c>
      <c r="M48">
        <v>1004.91</v>
      </c>
    </row>
    <row r="49" spans="1:13" x14ac:dyDescent="0.25">
      <c r="A49">
        <v>1047</v>
      </c>
      <c r="B49" t="s">
        <v>92</v>
      </c>
      <c r="C49" t="s">
        <v>13</v>
      </c>
      <c r="D49" t="s">
        <v>47</v>
      </c>
      <c r="E49">
        <v>3</v>
      </c>
      <c r="G49">
        <f t="shared" si="0"/>
        <v>0</v>
      </c>
      <c r="I49">
        <f t="shared" si="1"/>
        <v>0</v>
      </c>
      <c r="J49" s="1">
        <v>45820</v>
      </c>
      <c r="K49" t="s">
        <v>2517</v>
      </c>
      <c r="L49" t="s">
        <v>16</v>
      </c>
      <c r="M49">
        <v>-395.76</v>
      </c>
    </row>
    <row r="50" spans="1:13" x14ac:dyDescent="0.25">
      <c r="A50">
        <v>1048</v>
      </c>
      <c r="B50" t="s">
        <v>93</v>
      </c>
      <c r="C50" t="s">
        <v>13</v>
      </c>
      <c r="D50" t="s">
        <v>47</v>
      </c>
      <c r="E50">
        <v>5</v>
      </c>
      <c r="G50">
        <f t="shared" si="0"/>
        <v>0</v>
      </c>
      <c r="H50" s="3">
        <v>0.41</v>
      </c>
      <c r="I50">
        <f t="shared" si="1"/>
        <v>0</v>
      </c>
      <c r="J50" s="1">
        <v>45581</v>
      </c>
      <c r="K50" t="s">
        <v>15</v>
      </c>
      <c r="L50" t="s">
        <v>16</v>
      </c>
      <c r="M50">
        <v>2409.2600000000002</v>
      </c>
    </row>
    <row r="51" spans="1:13" x14ac:dyDescent="0.25">
      <c r="A51">
        <v>1049</v>
      </c>
      <c r="B51" t="s">
        <v>94</v>
      </c>
      <c r="C51" t="s">
        <v>31</v>
      </c>
      <c r="D51" t="s">
        <v>78</v>
      </c>
      <c r="E51">
        <v>2</v>
      </c>
      <c r="G51">
        <f t="shared" si="0"/>
        <v>0</v>
      </c>
      <c r="I51">
        <f t="shared" si="1"/>
        <v>0</v>
      </c>
      <c r="K51" t="s">
        <v>22</v>
      </c>
      <c r="L51" t="s">
        <v>16</v>
      </c>
      <c r="M51">
        <v>19.87</v>
      </c>
    </row>
    <row r="52" spans="1:13" x14ac:dyDescent="0.25">
      <c r="A52">
        <v>1050</v>
      </c>
      <c r="B52" t="s">
        <v>95</v>
      </c>
      <c r="C52" t="s">
        <v>13</v>
      </c>
      <c r="D52" t="s">
        <v>14</v>
      </c>
      <c r="E52">
        <v>-1</v>
      </c>
      <c r="F52">
        <v>1083.1600000000001</v>
      </c>
      <c r="G52">
        <f t="shared" si="0"/>
        <v>-1083.1600000000001</v>
      </c>
      <c r="I52">
        <f t="shared" si="1"/>
        <v>-1083.1600000000001</v>
      </c>
      <c r="J52" s="1">
        <v>45846</v>
      </c>
      <c r="K52" t="s">
        <v>44</v>
      </c>
      <c r="L52" t="s">
        <v>16</v>
      </c>
      <c r="M52">
        <v>2904.29</v>
      </c>
    </row>
    <row r="53" spans="1:13" x14ac:dyDescent="0.25">
      <c r="A53">
        <v>1051</v>
      </c>
      <c r="B53" t="s">
        <v>96</v>
      </c>
      <c r="C53" t="s">
        <v>13</v>
      </c>
      <c r="D53" t="s">
        <v>34</v>
      </c>
      <c r="E53">
        <v>2</v>
      </c>
      <c r="G53">
        <f t="shared" si="0"/>
        <v>0</v>
      </c>
      <c r="H53" s="3">
        <v>0.56999999999999995</v>
      </c>
      <c r="I53">
        <f t="shared" si="1"/>
        <v>0</v>
      </c>
      <c r="J53" s="1">
        <v>45773</v>
      </c>
      <c r="K53" t="s">
        <v>15</v>
      </c>
      <c r="L53" t="s">
        <v>16</v>
      </c>
      <c r="M53">
        <v>2857.9</v>
      </c>
    </row>
    <row r="54" spans="1:13" x14ac:dyDescent="0.25">
      <c r="A54">
        <v>1052</v>
      </c>
      <c r="B54" t="s">
        <v>97</v>
      </c>
      <c r="C54" t="s">
        <v>13</v>
      </c>
      <c r="D54" t="s">
        <v>98</v>
      </c>
      <c r="E54">
        <v>2</v>
      </c>
      <c r="F54">
        <v>3252.49</v>
      </c>
      <c r="G54">
        <f t="shared" si="0"/>
        <v>6504.98</v>
      </c>
      <c r="H54" s="3">
        <v>0.56000000000000005</v>
      </c>
      <c r="I54">
        <f t="shared" si="1"/>
        <v>2862.1911999999993</v>
      </c>
      <c r="J54" s="1">
        <v>45268</v>
      </c>
      <c r="K54" t="s">
        <v>38</v>
      </c>
      <c r="L54" t="s">
        <v>16</v>
      </c>
      <c r="M54">
        <v>-11.15</v>
      </c>
    </row>
    <row r="55" spans="1:13" x14ac:dyDescent="0.25">
      <c r="A55">
        <v>1053</v>
      </c>
      <c r="B55" t="s">
        <v>99</v>
      </c>
      <c r="C55" t="s">
        <v>36</v>
      </c>
      <c r="D55" t="s">
        <v>55</v>
      </c>
      <c r="E55">
        <v>2</v>
      </c>
      <c r="F55">
        <v>714.23</v>
      </c>
      <c r="G55">
        <f t="shared" si="0"/>
        <v>1428.46</v>
      </c>
      <c r="H55" s="3">
        <v>1.29</v>
      </c>
      <c r="I55">
        <f t="shared" si="1"/>
        <v>-414.25340000000006</v>
      </c>
      <c r="J55" s="1">
        <v>45859</v>
      </c>
      <c r="K55" t="s">
        <v>15</v>
      </c>
      <c r="L55" t="s">
        <v>16</v>
      </c>
      <c r="M55">
        <v>1057.24</v>
      </c>
    </row>
    <row r="56" spans="1:13" x14ac:dyDescent="0.25">
      <c r="A56">
        <v>1054</v>
      </c>
      <c r="B56" t="s">
        <v>100</v>
      </c>
      <c r="C56" t="s">
        <v>31</v>
      </c>
      <c r="D56" t="s">
        <v>68</v>
      </c>
      <c r="E56">
        <v>2</v>
      </c>
      <c r="G56">
        <f t="shared" si="0"/>
        <v>0</v>
      </c>
      <c r="I56">
        <f t="shared" si="1"/>
        <v>0</v>
      </c>
      <c r="J56" s="1">
        <v>45700</v>
      </c>
      <c r="K56" t="s">
        <v>44</v>
      </c>
      <c r="L56" t="s">
        <v>16</v>
      </c>
      <c r="M56">
        <v>1002.96</v>
      </c>
    </row>
    <row r="57" spans="1:13" x14ac:dyDescent="0.25">
      <c r="A57">
        <v>1055</v>
      </c>
      <c r="B57" t="s">
        <v>101</v>
      </c>
      <c r="C57" t="s">
        <v>13</v>
      </c>
      <c r="D57" t="s">
        <v>34</v>
      </c>
      <c r="E57">
        <v>0</v>
      </c>
      <c r="G57">
        <f t="shared" si="0"/>
        <v>0</v>
      </c>
      <c r="I57">
        <f t="shared" si="1"/>
        <v>0</v>
      </c>
      <c r="J57" s="1">
        <v>45353</v>
      </c>
      <c r="K57" t="s">
        <v>44</v>
      </c>
      <c r="L57" t="s">
        <v>23</v>
      </c>
      <c r="M57">
        <v>1374.9</v>
      </c>
    </row>
    <row r="58" spans="1:13" x14ac:dyDescent="0.25">
      <c r="A58">
        <v>1056</v>
      </c>
      <c r="B58" t="s">
        <v>102</v>
      </c>
      <c r="C58" t="s">
        <v>28</v>
      </c>
      <c r="D58" t="s">
        <v>40</v>
      </c>
      <c r="E58">
        <v>6</v>
      </c>
      <c r="G58">
        <f t="shared" si="0"/>
        <v>0</v>
      </c>
      <c r="I58">
        <f t="shared" si="1"/>
        <v>0</v>
      </c>
      <c r="J58" s="1">
        <v>45849</v>
      </c>
      <c r="K58" t="s">
        <v>22</v>
      </c>
      <c r="L58" t="s">
        <v>16</v>
      </c>
      <c r="M58">
        <v>-343.36</v>
      </c>
    </row>
    <row r="59" spans="1:13" x14ac:dyDescent="0.25">
      <c r="A59">
        <v>1057</v>
      </c>
      <c r="B59" t="s">
        <v>103</v>
      </c>
      <c r="C59" t="s">
        <v>20</v>
      </c>
      <c r="D59" t="s">
        <v>21</v>
      </c>
      <c r="E59">
        <v>4</v>
      </c>
      <c r="G59">
        <f t="shared" si="0"/>
        <v>0</v>
      </c>
      <c r="H59" s="3">
        <v>0.04</v>
      </c>
      <c r="I59">
        <f t="shared" si="1"/>
        <v>0</v>
      </c>
      <c r="J59" s="1">
        <v>45649</v>
      </c>
      <c r="K59" t="s">
        <v>44</v>
      </c>
      <c r="L59" t="s">
        <v>16</v>
      </c>
      <c r="M59">
        <v>1725.76</v>
      </c>
    </row>
    <row r="60" spans="1:13" x14ac:dyDescent="0.25">
      <c r="A60">
        <v>1058</v>
      </c>
      <c r="B60" t="s">
        <v>104</v>
      </c>
      <c r="C60" t="s">
        <v>31</v>
      </c>
      <c r="D60" t="s">
        <v>42</v>
      </c>
      <c r="E60">
        <v>2</v>
      </c>
      <c r="F60">
        <v>3982.53</v>
      </c>
      <c r="G60">
        <f t="shared" si="0"/>
        <v>7965.06</v>
      </c>
      <c r="H60" s="3">
        <v>1.08</v>
      </c>
      <c r="I60">
        <f t="shared" si="1"/>
        <v>-637.20480000000055</v>
      </c>
      <c r="J60" s="1">
        <v>45518</v>
      </c>
      <c r="K60" t="s">
        <v>44</v>
      </c>
      <c r="L60" t="s">
        <v>16</v>
      </c>
      <c r="M60">
        <v>1912.49</v>
      </c>
    </row>
    <row r="61" spans="1:13" x14ac:dyDescent="0.25">
      <c r="A61">
        <v>1059</v>
      </c>
      <c r="B61" t="s">
        <v>105</v>
      </c>
      <c r="C61" t="s">
        <v>13</v>
      </c>
      <c r="D61" t="s">
        <v>34</v>
      </c>
      <c r="E61">
        <v>0</v>
      </c>
      <c r="F61">
        <v>2927.57</v>
      </c>
      <c r="G61">
        <f t="shared" si="0"/>
        <v>0</v>
      </c>
      <c r="H61" s="3">
        <v>0.19</v>
      </c>
      <c r="I61">
        <f t="shared" si="1"/>
        <v>0</v>
      </c>
      <c r="K61" t="s">
        <v>15</v>
      </c>
      <c r="L61" t="s">
        <v>16</v>
      </c>
      <c r="M61">
        <v>2218.42</v>
      </c>
    </row>
    <row r="62" spans="1:13" x14ac:dyDescent="0.25">
      <c r="A62">
        <v>1060</v>
      </c>
      <c r="B62" t="s">
        <v>106</v>
      </c>
      <c r="C62" t="s">
        <v>13</v>
      </c>
      <c r="D62" t="s">
        <v>98</v>
      </c>
      <c r="E62">
        <v>2</v>
      </c>
      <c r="F62">
        <v>2813.51</v>
      </c>
      <c r="G62">
        <f t="shared" si="0"/>
        <v>5627.02</v>
      </c>
      <c r="I62">
        <f t="shared" si="1"/>
        <v>5627.02</v>
      </c>
      <c r="J62" s="1">
        <v>45852</v>
      </c>
      <c r="K62" t="s">
        <v>44</v>
      </c>
      <c r="L62" t="s">
        <v>16</v>
      </c>
      <c r="M62">
        <v>94.96</v>
      </c>
    </row>
    <row r="63" spans="1:13" x14ac:dyDescent="0.25">
      <c r="A63">
        <v>1061</v>
      </c>
      <c r="B63" t="s">
        <v>107</v>
      </c>
      <c r="C63" t="s">
        <v>28</v>
      </c>
      <c r="D63" t="s">
        <v>29</v>
      </c>
      <c r="E63">
        <v>2</v>
      </c>
      <c r="F63">
        <v>2291.15</v>
      </c>
      <c r="G63">
        <f t="shared" si="0"/>
        <v>4582.3</v>
      </c>
      <c r="H63" s="3">
        <v>0.33</v>
      </c>
      <c r="I63">
        <f t="shared" si="1"/>
        <v>3070.1409999999996</v>
      </c>
      <c r="J63" s="1">
        <v>45601</v>
      </c>
      <c r="K63" t="s">
        <v>22</v>
      </c>
      <c r="L63" t="s">
        <v>23</v>
      </c>
      <c r="M63">
        <v>2536.3000000000002</v>
      </c>
    </row>
    <row r="64" spans="1:13" x14ac:dyDescent="0.25">
      <c r="A64">
        <v>1062</v>
      </c>
      <c r="B64" t="s">
        <v>108</v>
      </c>
      <c r="C64" t="s">
        <v>13</v>
      </c>
      <c r="D64" t="s">
        <v>98</v>
      </c>
      <c r="E64">
        <v>-1</v>
      </c>
      <c r="G64">
        <f t="shared" si="0"/>
        <v>0</v>
      </c>
      <c r="I64">
        <f t="shared" si="1"/>
        <v>0</v>
      </c>
      <c r="K64" t="s">
        <v>44</v>
      </c>
      <c r="L64" t="s">
        <v>16</v>
      </c>
      <c r="M64">
        <v>328.72</v>
      </c>
    </row>
    <row r="65" spans="1:15" x14ac:dyDescent="0.25">
      <c r="A65">
        <v>1063</v>
      </c>
      <c r="B65" t="s">
        <v>109</v>
      </c>
      <c r="C65" t="s">
        <v>31</v>
      </c>
      <c r="D65" t="s">
        <v>78</v>
      </c>
      <c r="E65">
        <v>1</v>
      </c>
      <c r="G65">
        <f t="shared" si="0"/>
        <v>0</v>
      </c>
      <c r="I65">
        <f t="shared" si="1"/>
        <v>0</v>
      </c>
      <c r="J65" s="1">
        <v>45836</v>
      </c>
      <c r="K65" t="s">
        <v>38</v>
      </c>
      <c r="L65" t="s">
        <v>16</v>
      </c>
      <c r="M65">
        <v>2147.75</v>
      </c>
    </row>
    <row r="66" spans="1:15" x14ac:dyDescent="0.25">
      <c r="A66">
        <v>1064</v>
      </c>
      <c r="B66" t="s">
        <v>110</v>
      </c>
      <c r="C66" t="s">
        <v>20</v>
      </c>
      <c r="D66" t="s">
        <v>84</v>
      </c>
      <c r="E66">
        <v>2</v>
      </c>
      <c r="G66">
        <f t="shared" si="0"/>
        <v>0</v>
      </c>
      <c r="H66" s="3">
        <v>1.3</v>
      </c>
      <c r="I66">
        <f t="shared" si="1"/>
        <v>0</v>
      </c>
      <c r="K66" t="s">
        <v>38</v>
      </c>
      <c r="L66" t="s">
        <v>16</v>
      </c>
      <c r="M66">
        <v>-901.74</v>
      </c>
    </row>
    <row r="67" spans="1:15" x14ac:dyDescent="0.25">
      <c r="A67">
        <v>1065</v>
      </c>
      <c r="B67" t="s">
        <v>111</v>
      </c>
      <c r="C67" t="s">
        <v>13</v>
      </c>
      <c r="D67" t="s">
        <v>34</v>
      </c>
      <c r="E67">
        <v>5</v>
      </c>
      <c r="G67">
        <f t="shared" ref="G67:G130" si="2">F67*E67</f>
        <v>0</v>
      </c>
      <c r="I67">
        <f t="shared" ref="I67:I130" si="3">G67*(1-H67)</f>
        <v>0</v>
      </c>
      <c r="J67" s="1">
        <v>45440</v>
      </c>
      <c r="K67" t="s">
        <v>38</v>
      </c>
      <c r="L67" t="s">
        <v>16</v>
      </c>
      <c r="M67">
        <v>2316.9699999999998</v>
      </c>
    </row>
    <row r="68" spans="1:15" x14ac:dyDescent="0.25">
      <c r="A68">
        <v>1066</v>
      </c>
      <c r="B68" t="s">
        <v>112</v>
      </c>
      <c r="C68" t="s">
        <v>25</v>
      </c>
      <c r="D68" t="s">
        <v>62</v>
      </c>
      <c r="E68">
        <v>-2</v>
      </c>
      <c r="F68">
        <v>3479.44</v>
      </c>
      <c r="G68">
        <f t="shared" si="2"/>
        <v>-6958.88</v>
      </c>
      <c r="I68">
        <f t="shared" si="3"/>
        <v>-6958.88</v>
      </c>
      <c r="J68" s="1">
        <v>45672</v>
      </c>
      <c r="K68" t="s">
        <v>15</v>
      </c>
      <c r="L68" t="s">
        <v>16</v>
      </c>
      <c r="M68">
        <v>-252.78</v>
      </c>
    </row>
    <row r="69" spans="1:15" x14ac:dyDescent="0.25">
      <c r="A69">
        <v>1067</v>
      </c>
      <c r="B69" t="s">
        <v>113</v>
      </c>
      <c r="C69" t="s">
        <v>36</v>
      </c>
      <c r="D69" t="s">
        <v>37</v>
      </c>
      <c r="E69">
        <v>2</v>
      </c>
      <c r="F69">
        <v>3945.25</v>
      </c>
      <c r="G69">
        <f t="shared" si="2"/>
        <v>7890.5</v>
      </c>
      <c r="I69">
        <f t="shared" si="3"/>
        <v>7890.5</v>
      </c>
      <c r="J69" s="1">
        <v>45838</v>
      </c>
      <c r="K69" t="s">
        <v>38</v>
      </c>
      <c r="L69" t="s">
        <v>23</v>
      </c>
      <c r="M69">
        <v>305.55</v>
      </c>
      <c r="O69" t="s">
        <v>2516</v>
      </c>
    </row>
    <row r="70" spans="1:15" x14ac:dyDescent="0.25">
      <c r="A70">
        <v>1068</v>
      </c>
      <c r="B70" t="s">
        <v>114</v>
      </c>
      <c r="C70" t="s">
        <v>36</v>
      </c>
      <c r="D70" t="s">
        <v>59</v>
      </c>
      <c r="E70">
        <v>4</v>
      </c>
      <c r="F70">
        <v>2765.26</v>
      </c>
      <c r="G70">
        <f t="shared" si="2"/>
        <v>11061.04</v>
      </c>
      <c r="I70">
        <f t="shared" si="3"/>
        <v>11061.04</v>
      </c>
      <c r="K70" t="s">
        <v>18</v>
      </c>
      <c r="L70" t="s">
        <v>16</v>
      </c>
      <c r="M70">
        <v>1719.9</v>
      </c>
    </row>
    <row r="71" spans="1:15" x14ac:dyDescent="0.25">
      <c r="A71">
        <v>1069</v>
      </c>
      <c r="B71" t="s">
        <v>115</v>
      </c>
      <c r="C71" t="s">
        <v>28</v>
      </c>
      <c r="D71" t="s">
        <v>116</v>
      </c>
      <c r="E71">
        <v>2</v>
      </c>
      <c r="F71">
        <v>2102.02</v>
      </c>
      <c r="G71">
        <f t="shared" si="2"/>
        <v>4204.04</v>
      </c>
      <c r="H71" s="3">
        <v>1.1299999999999999</v>
      </c>
      <c r="I71">
        <f t="shared" si="3"/>
        <v>-546.52519999999959</v>
      </c>
      <c r="J71" s="1">
        <v>45362</v>
      </c>
      <c r="K71" t="s">
        <v>15</v>
      </c>
      <c r="L71" t="s">
        <v>23</v>
      </c>
      <c r="M71">
        <v>-992.61</v>
      </c>
    </row>
    <row r="72" spans="1:15" x14ac:dyDescent="0.25">
      <c r="A72">
        <v>1070</v>
      </c>
      <c r="B72" t="s">
        <v>117</v>
      </c>
      <c r="C72" t="s">
        <v>20</v>
      </c>
      <c r="D72" t="s">
        <v>118</v>
      </c>
      <c r="E72">
        <v>5</v>
      </c>
      <c r="G72">
        <f t="shared" si="2"/>
        <v>0</v>
      </c>
      <c r="I72">
        <f t="shared" si="3"/>
        <v>0</v>
      </c>
      <c r="J72" s="1">
        <v>45753</v>
      </c>
      <c r="K72" t="s">
        <v>2517</v>
      </c>
      <c r="L72" t="s">
        <v>23</v>
      </c>
      <c r="M72">
        <v>1383.48</v>
      </c>
    </row>
    <row r="73" spans="1:15" x14ac:dyDescent="0.25">
      <c r="A73">
        <v>1071</v>
      </c>
      <c r="B73" t="s">
        <v>119</v>
      </c>
      <c r="C73" t="s">
        <v>28</v>
      </c>
      <c r="D73" t="s">
        <v>40</v>
      </c>
      <c r="E73">
        <v>2</v>
      </c>
      <c r="F73">
        <v>1000.76</v>
      </c>
      <c r="G73">
        <f t="shared" si="2"/>
        <v>2001.52</v>
      </c>
      <c r="I73">
        <f t="shared" si="3"/>
        <v>2001.52</v>
      </c>
      <c r="K73" t="s">
        <v>15</v>
      </c>
      <c r="L73" t="s">
        <v>23</v>
      </c>
      <c r="M73">
        <v>2131.4299999999998</v>
      </c>
    </row>
    <row r="74" spans="1:15" x14ac:dyDescent="0.25">
      <c r="A74">
        <v>1072</v>
      </c>
      <c r="B74" t="s">
        <v>120</v>
      </c>
      <c r="C74" t="s">
        <v>36</v>
      </c>
      <c r="D74" t="s">
        <v>55</v>
      </c>
      <c r="E74">
        <v>2</v>
      </c>
      <c r="G74">
        <f t="shared" si="2"/>
        <v>0</v>
      </c>
      <c r="I74">
        <f t="shared" si="3"/>
        <v>0</v>
      </c>
      <c r="K74" t="s">
        <v>38</v>
      </c>
      <c r="L74" t="s">
        <v>16</v>
      </c>
      <c r="M74">
        <v>2878.09</v>
      </c>
    </row>
    <row r="75" spans="1:15" x14ac:dyDescent="0.25">
      <c r="A75">
        <v>1073</v>
      </c>
      <c r="B75" t="s">
        <v>121</v>
      </c>
      <c r="C75" t="s">
        <v>13</v>
      </c>
      <c r="D75" t="s">
        <v>47</v>
      </c>
      <c r="E75">
        <v>-2</v>
      </c>
      <c r="G75">
        <f t="shared" si="2"/>
        <v>0</v>
      </c>
      <c r="H75" s="3">
        <v>0.18</v>
      </c>
      <c r="I75">
        <f t="shared" si="3"/>
        <v>0</v>
      </c>
      <c r="K75" t="s">
        <v>44</v>
      </c>
      <c r="L75" t="s">
        <v>16</v>
      </c>
      <c r="M75">
        <v>368.69</v>
      </c>
    </row>
    <row r="76" spans="1:15" x14ac:dyDescent="0.25">
      <c r="A76">
        <v>1074</v>
      </c>
      <c r="B76" t="s">
        <v>122</v>
      </c>
      <c r="C76" t="s">
        <v>36</v>
      </c>
      <c r="D76" t="s">
        <v>37</v>
      </c>
      <c r="E76">
        <v>-2</v>
      </c>
      <c r="G76">
        <f t="shared" si="2"/>
        <v>0</v>
      </c>
      <c r="H76" s="3">
        <v>1.06</v>
      </c>
      <c r="I76">
        <f t="shared" si="3"/>
        <v>0</v>
      </c>
      <c r="J76" s="1">
        <v>45682</v>
      </c>
      <c r="K76" t="s">
        <v>2517</v>
      </c>
      <c r="L76" t="s">
        <v>16</v>
      </c>
      <c r="M76">
        <v>192.91</v>
      </c>
    </row>
    <row r="77" spans="1:15" x14ac:dyDescent="0.25">
      <c r="A77">
        <v>1075</v>
      </c>
      <c r="B77" t="s">
        <v>123</v>
      </c>
      <c r="C77" t="s">
        <v>31</v>
      </c>
      <c r="D77" t="s">
        <v>32</v>
      </c>
      <c r="E77">
        <v>2</v>
      </c>
      <c r="F77">
        <v>795.85</v>
      </c>
      <c r="G77">
        <f t="shared" si="2"/>
        <v>1591.7</v>
      </c>
      <c r="I77">
        <f t="shared" si="3"/>
        <v>1591.7</v>
      </c>
      <c r="K77" t="s">
        <v>44</v>
      </c>
      <c r="L77" t="s">
        <v>23</v>
      </c>
      <c r="M77">
        <v>2418.8000000000002</v>
      </c>
    </row>
    <row r="78" spans="1:15" x14ac:dyDescent="0.25">
      <c r="A78">
        <v>1076</v>
      </c>
      <c r="B78" t="s">
        <v>124</v>
      </c>
      <c r="C78" t="s">
        <v>31</v>
      </c>
      <c r="D78" t="s">
        <v>42</v>
      </c>
      <c r="E78">
        <v>2</v>
      </c>
      <c r="G78">
        <f t="shared" si="2"/>
        <v>0</v>
      </c>
      <c r="I78">
        <f t="shared" si="3"/>
        <v>0</v>
      </c>
      <c r="J78" s="1">
        <v>45664</v>
      </c>
      <c r="K78" t="s">
        <v>38</v>
      </c>
      <c r="L78" t="s">
        <v>16</v>
      </c>
      <c r="M78">
        <v>1408.61</v>
      </c>
    </row>
    <row r="79" spans="1:15" x14ac:dyDescent="0.25">
      <c r="A79">
        <v>1077</v>
      </c>
      <c r="B79" t="s">
        <v>125</v>
      </c>
      <c r="C79" t="s">
        <v>31</v>
      </c>
      <c r="D79" t="s">
        <v>42</v>
      </c>
      <c r="E79">
        <v>2</v>
      </c>
      <c r="G79">
        <f t="shared" si="2"/>
        <v>0</v>
      </c>
      <c r="I79">
        <f t="shared" si="3"/>
        <v>0</v>
      </c>
      <c r="J79" s="1">
        <v>45555</v>
      </c>
      <c r="K79" t="s">
        <v>2517</v>
      </c>
      <c r="L79" t="s">
        <v>23</v>
      </c>
      <c r="M79">
        <v>902.52</v>
      </c>
    </row>
    <row r="80" spans="1:15" x14ac:dyDescent="0.25">
      <c r="A80">
        <v>1078</v>
      </c>
      <c r="B80" t="s">
        <v>126</v>
      </c>
      <c r="C80" t="s">
        <v>20</v>
      </c>
      <c r="D80" t="s">
        <v>118</v>
      </c>
      <c r="E80">
        <v>2</v>
      </c>
      <c r="F80">
        <v>4059.56</v>
      </c>
      <c r="G80">
        <f t="shared" si="2"/>
        <v>8119.12</v>
      </c>
      <c r="I80">
        <f t="shared" si="3"/>
        <v>8119.12</v>
      </c>
      <c r="J80" s="1">
        <v>45701</v>
      </c>
      <c r="K80" t="s">
        <v>44</v>
      </c>
      <c r="L80" t="s">
        <v>16</v>
      </c>
      <c r="M80">
        <v>-819.94</v>
      </c>
    </row>
    <row r="81" spans="1:13" x14ac:dyDescent="0.25">
      <c r="A81">
        <v>1079</v>
      </c>
      <c r="B81" t="s">
        <v>127</v>
      </c>
      <c r="C81" t="s">
        <v>31</v>
      </c>
      <c r="D81" t="s">
        <v>68</v>
      </c>
      <c r="E81">
        <v>2</v>
      </c>
      <c r="G81">
        <f t="shared" si="2"/>
        <v>0</v>
      </c>
      <c r="I81">
        <f t="shared" si="3"/>
        <v>0</v>
      </c>
      <c r="K81" t="s">
        <v>2517</v>
      </c>
      <c r="L81" t="s">
        <v>23</v>
      </c>
      <c r="M81">
        <v>-22.55</v>
      </c>
    </row>
    <row r="82" spans="1:13" x14ac:dyDescent="0.25">
      <c r="A82">
        <v>1080</v>
      </c>
      <c r="B82" t="s">
        <v>128</v>
      </c>
      <c r="C82" t="s">
        <v>31</v>
      </c>
      <c r="D82" t="s">
        <v>32</v>
      </c>
      <c r="E82">
        <v>2</v>
      </c>
      <c r="F82">
        <v>3872.22</v>
      </c>
      <c r="G82">
        <f t="shared" si="2"/>
        <v>7744.44</v>
      </c>
      <c r="H82" s="3">
        <v>1.1499999999999999</v>
      </c>
      <c r="I82">
        <f t="shared" si="3"/>
        <v>-1161.6659999999993</v>
      </c>
      <c r="K82" t="s">
        <v>22</v>
      </c>
      <c r="L82" t="s">
        <v>16</v>
      </c>
      <c r="M82">
        <v>-302.97000000000003</v>
      </c>
    </row>
    <row r="83" spans="1:13" x14ac:dyDescent="0.25">
      <c r="A83">
        <v>1081</v>
      </c>
      <c r="B83" t="s">
        <v>129</v>
      </c>
      <c r="C83" t="s">
        <v>13</v>
      </c>
      <c r="D83" t="s">
        <v>34</v>
      </c>
      <c r="E83">
        <v>6</v>
      </c>
      <c r="F83">
        <v>4798.0600000000004</v>
      </c>
      <c r="G83">
        <f t="shared" si="2"/>
        <v>28788.36</v>
      </c>
      <c r="H83" s="3">
        <v>0.81</v>
      </c>
      <c r="I83">
        <f t="shared" si="3"/>
        <v>5469.7883999999985</v>
      </c>
      <c r="K83" t="s">
        <v>2517</v>
      </c>
      <c r="L83" t="s">
        <v>23</v>
      </c>
      <c r="M83">
        <v>-361.78</v>
      </c>
    </row>
    <row r="84" spans="1:13" x14ac:dyDescent="0.25">
      <c r="A84">
        <v>1082</v>
      </c>
      <c r="B84" t="s">
        <v>130</v>
      </c>
      <c r="C84" t="s">
        <v>36</v>
      </c>
      <c r="D84" t="s">
        <v>87</v>
      </c>
      <c r="E84">
        <v>0</v>
      </c>
      <c r="G84">
        <f t="shared" si="2"/>
        <v>0</v>
      </c>
      <c r="I84">
        <f t="shared" si="3"/>
        <v>0</v>
      </c>
      <c r="K84" t="s">
        <v>38</v>
      </c>
      <c r="L84" t="s">
        <v>23</v>
      </c>
      <c r="M84">
        <v>712.91</v>
      </c>
    </row>
    <row r="85" spans="1:13" x14ac:dyDescent="0.25">
      <c r="A85">
        <v>1083</v>
      </c>
      <c r="B85" t="s">
        <v>131</v>
      </c>
      <c r="C85" t="s">
        <v>20</v>
      </c>
      <c r="D85" t="s">
        <v>76</v>
      </c>
      <c r="E85">
        <v>1</v>
      </c>
      <c r="G85">
        <f t="shared" si="2"/>
        <v>0</v>
      </c>
      <c r="H85" s="3">
        <v>1.28</v>
      </c>
      <c r="I85">
        <f t="shared" si="3"/>
        <v>0</v>
      </c>
      <c r="K85" t="s">
        <v>44</v>
      </c>
      <c r="L85" t="s">
        <v>23</v>
      </c>
      <c r="M85">
        <v>-612.62</v>
      </c>
    </row>
    <row r="86" spans="1:13" x14ac:dyDescent="0.25">
      <c r="A86">
        <v>1084</v>
      </c>
      <c r="B86" t="s">
        <v>132</v>
      </c>
      <c r="C86" t="s">
        <v>25</v>
      </c>
      <c r="D86" t="s">
        <v>26</v>
      </c>
      <c r="E86">
        <v>2</v>
      </c>
      <c r="G86">
        <f t="shared" si="2"/>
        <v>0</v>
      </c>
      <c r="H86" s="3">
        <v>0.53</v>
      </c>
      <c r="I86">
        <f t="shared" si="3"/>
        <v>0</v>
      </c>
      <c r="J86" s="1">
        <v>45650</v>
      </c>
      <c r="K86" t="s">
        <v>44</v>
      </c>
      <c r="L86" t="s">
        <v>23</v>
      </c>
      <c r="M86">
        <v>2458.0700000000002</v>
      </c>
    </row>
    <row r="87" spans="1:13" x14ac:dyDescent="0.25">
      <c r="A87">
        <v>1085</v>
      </c>
      <c r="B87" t="s">
        <v>133</v>
      </c>
      <c r="C87" t="s">
        <v>25</v>
      </c>
      <c r="D87" t="s">
        <v>62</v>
      </c>
      <c r="E87">
        <v>2</v>
      </c>
      <c r="G87">
        <f t="shared" si="2"/>
        <v>0</v>
      </c>
      <c r="H87" s="3">
        <v>0.02</v>
      </c>
      <c r="I87">
        <f t="shared" si="3"/>
        <v>0</v>
      </c>
      <c r="J87" s="1">
        <v>45217</v>
      </c>
      <c r="K87" t="s">
        <v>44</v>
      </c>
      <c r="L87" t="s">
        <v>23</v>
      </c>
      <c r="M87">
        <v>264.73</v>
      </c>
    </row>
    <row r="88" spans="1:13" x14ac:dyDescent="0.25">
      <c r="A88">
        <v>1086</v>
      </c>
      <c r="B88" t="s">
        <v>134</v>
      </c>
      <c r="C88" t="s">
        <v>28</v>
      </c>
      <c r="D88" t="s">
        <v>40</v>
      </c>
      <c r="E88">
        <v>2</v>
      </c>
      <c r="F88">
        <v>948.33</v>
      </c>
      <c r="G88">
        <f t="shared" si="2"/>
        <v>1896.66</v>
      </c>
      <c r="H88" s="3">
        <v>0.46</v>
      </c>
      <c r="I88">
        <f t="shared" si="3"/>
        <v>1024.1964</v>
      </c>
      <c r="J88" s="1">
        <v>45732</v>
      </c>
      <c r="K88" t="s">
        <v>38</v>
      </c>
      <c r="L88" t="s">
        <v>16</v>
      </c>
      <c r="M88">
        <v>-865.22</v>
      </c>
    </row>
    <row r="89" spans="1:13" x14ac:dyDescent="0.25">
      <c r="A89">
        <v>1087</v>
      </c>
      <c r="B89" t="s">
        <v>135</v>
      </c>
      <c r="C89" t="s">
        <v>13</v>
      </c>
      <c r="D89" t="s">
        <v>98</v>
      </c>
      <c r="E89">
        <v>2</v>
      </c>
      <c r="F89">
        <v>1976.75</v>
      </c>
      <c r="G89">
        <f t="shared" si="2"/>
        <v>3953.5</v>
      </c>
      <c r="H89" s="3">
        <v>0.81</v>
      </c>
      <c r="I89">
        <f t="shared" si="3"/>
        <v>751.16499999999974</v>
      </c>
      <c r="J89" s="1">
        <v>45846</v>
      </c>
      <c r="K89" t="s">
        <v>22</v>
      </c>
      <c r="L89" t="s">
        <v>16</v>
      </c>
      <c r="M89">
        <v>2790.95</v>
      </c>
    </row>
    <row r="90" spans="1:13" x14ac:dyDescent="0.25">
      <c r="A90">
        <v>1088</v>
      </c>
      <c r="B90" t="s">
        <v>136</v>
      </c>
      <c r="C90" t="s">
        <v>28</v>
      </c>
      <c r="D90" t="s">
        <v>137</v>
      </c>
      <c r="E90">
        <v>2</v>
      </c>
      <c r="F90">
        <v>3891.14</v>
      </c>
      <c r="G90">
        <f t="shared" si="2"/>
        <v>7782.28</v>
      </c>
      <c r="I90">
        <f t="shared" si="3"/>
        <v>7782.28</v>
      </c>
      <c r="J90" s="1">
        <v>45785</v>
      </c>
      <c r="K90" t="s">
        <v>44</v>
      </c>
      <c r="L90" t="s">
        <v>16</v>
      </c>
      <c r="M90">
        <v>1374.27</v>
      </c>
    </row>
    <row r="91" spans="1:13" x14ac:dyDescent="0.25">
      <c r="A91">
        <v>1089</v>
      </c>
      <c r="B91" t="s">
        <v>138</v>
      </c>
      <c r="C91" t="s">
        <v>25</v>
      </c>
      <c r="D91" t="s">
        <v>62</v>
      </c>
      <c r="E91">
        <v>2</v>
      </c>
      <c r="F91">
        <v>1412.17</v>
      </c>
      <c r="G91">
        <f t="shared" si="2"/>
        <v>2824.34</v>
      </c>
      <c r="H91" s="3">
        <v>0.88</v>
      </c>
      <c r="I91">
        <f t="shared" si="3"/>
        <v>338.92079999999999</v>
      </c>
      <c r="J91" s="1">
        <v>45710</v>
      </c>
      <c r="K91" t="s">
        <v>22</v>
      </c>
      <c r="L91" t="s">
        <v>16</v>
      </c>
      <c r="M91">
        <v>-355.26</v>
      </c>
    </row>
    <row r="92" spans="1:13" x14ac:dyDescent="0.25">
      <c r="A92">
        <v>1090</v>
      </c>
      <c r="B92" t="s">
        <v>139</v>
      </c>
      <c r="C92" t="s">
        <v>25</v>
      </c>
      <c r="D92" t="s">
        <v>62</v>
      </c>
      <c r="E92">
        <v>5</v>
      </c>
      <c r="F92">
        <v>2477.8200000000002</v>
      </c>
      <c r="G92">
        <f t="shared" si="2"/>
        <v>12389.1</v>
      </c>
      <c r="I92">
        <f t="shared" si="3"/>
        <v>12389.1</v>
      </c>
      <c r="J92" s="1">
        <v>45605</v>
      </c>
      <c r="K92" t="s">
        <v>18</v>
      </c>
      <c r="L92" t="s">
        <v>16</v>
      </c>
      <c r="M92">
        <v>-888.86</v>
      </c>
    </row>
    <row r="93" spans="1:13" x14ac:dyDescent="0.25">
      <c r="A93">
        <v>1091</v>
      </c>
      <c r="B93" t="s">
        <v>140</v>
      </c>
      <c r="C93" t="s">
        <v>28</v>
      </c>
      <c r="D93" t="s">
        <v>29</v>
      </c>
      <c r="E93">
        <v>1</v>
      </c>
      <c r="G93">
        <f t="shared" si="2"/>
        <v>0</v>
      </c>
      <c r="I93">
        <f t="shared" si="3"/>
        <v>0</v>
      </c>
      <c r="J93" s="1">
        <v>45135</v>
      </c>
      <c r="K93" t="s">
        <v>15</v>
      </c>
      <c r="L93" t="s">
        <v>16</v>
      </c>
      <c r="M93">
        <v>156.43</v>
      </c>
    </row>
    <row r="94" spans="1:13" x14ac:dyDescent="0.25">
      <c r="A94">
        <v>1092</v>
      </c>
      <c r="B94" t="s">
        <v>141</v>
      </c>
      <c r="C94" t="s">
        <v>36</v>
      </c>
      <c r="D94" t="s">
        <v>87</v>
      </c>
      <c r="E94">
        <v>2</v>
      </c>
      <c r="G94">
        <f t="shared" si="2"/>
        <v>0</v>
      </c>
      <c r="I94">
        <f t="shared" si="3"/>
        <v>0</v>
      </c>
      <c r="K94" t="s">
        <v>44</v>
      </c>
      <c r="L94" t="s">
        <v>16</v>
      </c>
      <c r="M94">
        <v>1122.6600000000001</v>
      </c>
    </row>
    <row r="95" spans="1:13" x14ac:dyDescent="0.25">
      <c r="A95">
        <v>1093</v>
      </c>
      <c r="B95" t="s">
        <v>142</v>
      </c>
      <c r="C95" t="s">
        <v>36</v>
      </c>
      <c r="D95" t="s">
        <v>87</v>
      </c>
      <c r="E95">
        <v>-2</v>
      </c>
      <c r="G95">
        <f t="shared" si="2"/>
        <v>0</v>
      </c>
      <c r="I95">
        <f t="shared" si="3"/>
        <v>0</v>
      </c>
      <c r="J95" s="1">
        <v>45629</v>
      </c>
      <c r="K95" t="s">
        <v>38</v>
      </c>
      <c r="L95" t="s">
        <v>23</v>
      </c>
      <c r="M95">
        <v>2966.76</v>
      </c>
    </row>
    <row r="96" spans="1:13" x14ac:dyDescent="0.25">
      <c r="A96">
        <v>1094</v>
      </c>
      <c r="B96" t="s">
        <v>143</v>
      </c>
      <c r="C96" t="s">
        <v>20</v>
      </c>
      <c r="D96" t="s">
        <v>84</v>
      </c>
      <c r="E96">
        <v>-1</v>
      </c>
      <c r="F96">
        <v>4741.41</v>
      </c>
      <c r="G96">
        <f t="shared" si="2"/>
        <v>-4741.41</v>
      </c>
      <c r="I96">
        <f t="shared" si="3"/>
        <v>-4741.41</v>
      </c>
      <c r="K96" t="s">
        <v>22</v>
      </c>
      <c r="L96" t="s">
        <v>16</v>
      </c>
      <c r="M96">
        <v>1901.7</v>
      </c>
    </row>
    <row r="97" spans="1:13" x14ac:dyDescent="0.25">
      <c r="A97">
        <v>1035</v>
      </c>
      <c r="B97" t="s">
        <v>144</v>
      </c>
      <c r="C97" t="s">
        <v>28</v>
      </c>
      <c r="D97" t="s">
        <v>29</v>
      </c>
      <c r="E97">
        <v>2</v>
      </c>
      <c r="G97">
        <f t="shared" si="2"/>
        <v>0</v>
      </c>
      <c r="I97">
        <f t="shared" si="3"/>
        <v>0</v>
      </c>
      <c r="J97" s="1">
        <v>45661</v>
      </c>
      <c r="K97" t="s">
        <v>22</v>
      </c>
      <c r="L97" t="s">
        <v>16</v>
      </c>
      <c r="M97">
        <v>1539.59</v>
      </c>
    </row>
    <row r="98" spans="1:13" x14ac:dyDescent="0.25">
      <c r="A98">
        <v>1033</v>
      </c>
      <c r="B98" t="s">
        <v>145</v>
      </c>
      <c r="C98" t="s">
        <v>28</v>
      </c>
      <c r="D98" t="s">
        <v>29</v>
      </c>
      <c r="E98">
        <v>2</v>
      </c>
      <c r="F98">
        <v>421.92</v>
      </c>
      <c r="G98">
        <f t="shared" si="2"/>
        <v>843.84</v>
      </c>
      <c r="I98">
        <f t="shared" si="3"/>
        <v>843.84</v>
      </c>
      <c r="K98" t="s">
        <v>2517</v>
      </c>
      <c r="L98" t="s">
        <v>16</v>
      </c>
      <c r="M98">
        <v>2969.19</v>
      </c>
    </row>
    <row r="99" spans="1:13" x14ac:dyDescent="0.25">
      <c r="A99">
        <v>1097</v>
      </c>
      <c r="B99" t="s">
        <v>146</v>
      </c>
      <c r="C99" t="s">
        <v>28</v>
      </c>
      <c r="D99" t="s">
        <v>40</v>
      </c>
      <c r="E99">
        <v>0</v>
      </c>
      <c r="G99">
        <f t="shared" si="2"/>
        <v>0</v>
      </c>
      <c r="I99">
        <f t="shared" si="3"/>
        <v>0</v>
      </c>
      <c r="J99" s="1">
        <v>45675</v>
      </c>
      <c r="K99" t="s">
        <v>22</v>
      </c>
      <c r="L99" t="s">
        <v>16</v>
      </c>
      <c r="M99">
        <v>1141.1500000000001</v>
      </c>
    </row>
    <row r="100" spans="1:13" x14ac:dyDescent="0.25">
      <c r="A100">
        <v>1098</v>
      </c>
      <c r="B100" t="s">
        <v>147</v>
      </c>
      <c r="C100" t="s">
        <v>28</v>
      </c>
      <c r="D100" t="s">
        <v>137</v>
      </c>
      <c r="E100">
        <v>0</v>
      </c>
      <c r="F100">
        <v>4752.04</v>
      </c>
      <c r="G100">
        <f t="shared" si="2"/>
        <v>0</v>
      </c>
      <c r="I100">
        <f t="shared" si="3"/>
        <v>0</v>
      </c>
      <c r="J100" s="1">
        <v>45543</v>
      </c>
      <c r="K100" t="s">
        <v>18</v>
      </c>
      <c r="L100" t="s">
        <v>16</v>
      </c>
      <c r="M100">
        <v>129.37</v>
      </c>
    </row>
    <row r="101" spans="1:13" x14ac:dyDescent="0.25">
      <c r="A101">
        <v>1099</v>
      </c>
      <c r="B101" t="s">
        <v>148</v>
      </c>
      <c r="C101" t="s">
        <v>25</v>
      </c>
      <c r="D101" t="s">
        <v>26</v>
      </c>
      <c r="E101">
        <v>2</v>
      </c>
      <c r="G101">
        <f t="shared" si="2"/>
        <v>0</v>
      </c>
      <c r="I101">
        <f t="shared" si="3"/>
        <v>0</v>
      </c>
      <c r="J101" s="1">
        <v>45344</v>
      </c>
      <c r="K101" t="s">
        <v>44</v>
      </c>
      <c r="L101" t="s">
        <v>23</v>
      </c>
      <c r="M101">
        <v>300.02</v>
      </c>
    </row>
    <row r="102" spans="1:13" x14ac:dyDescent="0.25">
      <c r="A102">
        <v>1100</v>
      </c>
      <c r="B102" t="s">
        <v>149</v>
      </c>
      <c r="C102" t="s">
        <v>25</v>
      </c>
      <c r="D102" t="s">
        <v>82</v>
      </c>
      <c r="E102">
        <v>2</v>
      </c>
      <c r="F102">
        <v>2011.73</v>
      </c>
      <c r="G102">
        <f t="shared" si="2"/>
        <v>4023.46</v>
      </c>
      <c r="I102">
        <f t="shared" si="3"/>
        <v>4023.46</v>
      </c>
      <c r="J102" s="1">
        <v>45656</v>
      </c>
      <c r="K102" t="s">
        <v>2517</v>
      </c>
      <c r="L102" t="s">
        <v>16</v>
      </c>
      <c r="M102">
        <v>2493.5</v>
      </c>
    </row>
    <row r="103" spans="1:13" x14ac:dyDescent="0.25">
      <c r="A103">
        <v>1101</v>
      </c>
      <c r="B103" t="s">
        <v>150</v>
      </c>
      <c r="C103" t="s">
        <v>13</v>
      </c>
      <c r="D103" t="s">
        <v>34</v>
      </c>
      <c r="E103">
        <v>2</v>
      </c>
      <c r="G103">
        <f t="shared" si="2"/>
        <v>0</v>
      </c>
      <c r="H103" s="3">
        <v>0.22</v>
      </c>
      <c r="I103">
        <f t="shared" si="3"/>
        <v>0</v>
      </c>
      <c r="J103" s="1">
        <v>45720</v>
      </c>
      <c r="K103" t="s">
        <v>44</v>
      </c>
      <c r="L103" t="s">
        <v>16</v>
      </c>
      <c r="M103">
        <v>2962.73</v>
      </c>
    </row>
    <row r="104" spans="1:13" x14ac:dyDescent="0.25">
      <c r="A104">
        <v>1102</v>
      </c>
      <c r="B104" t="s">
        <v>151</v>
      </c>
      <c r="C104" t="s">
        <v>13</v>
      </c>
      <c r="D104" t="s">
        <v>34</v>
      </c>
      <c r="E104">
        <v>5</v>
      </c>
      <c r="G104">
        <f t="shared" si="2"/>
        <v>0</v>
      </c>
      <c r="I104">
        <f t="shared" si="3"/>
        <v>0</v>
      </c>
      <c r="J104" s="1">
        <v>45762</v>
      </c>
      <c r="K104" t="s">
        <v>2517</v>
      </c>
      <c r="L104" t="s">
        <v>16</v>
      </c>
      <c r="M104">
        <v>2776.7</v>
      </c>
    </row>
    <row r="105" spans="1:13" x14ac:dyDescent="0.25">
      <c r="A105">
        <v>1103</v>
      </c>
      <c r="B105" t="s">
        <v>152</v>
      </c>
      <c r="C105" t="s">
        <v>36</v>
      </c>
      <c r="D105" t="s">
        <v>87</v>
      </c>
      <c r="E105">
        <v>5</v>
      </c>
      <c r="F105">
        <v>1521.46</v>
      </c>
      <c r="G105">
        <f t="shared" si="2"/>
        <v>7607.3</v>
      </c>
      <c r="I105">
        <f t="shared" si="3"/>
        <v>7607.3</v>
      </c>
      <c r="J105" s="1">
        <v>45819</v>
      </c>
      <c r="K105" t="s">
        <v>38</v>
      </c>
      <c r="L105" t="s">
        <v>23</v>
      </c>
      <c r="M105">
        <v>1713.47</v>
      </c>
    </row>
    <row r="106" spans="1:13" x14ac:dyDescent="0.25">
      <c r="A106">
        <v>1104</v>
      </c>
      <c r="B106" t="s">
        <v>153</v>
      </c>
      <c r="C106" t="s">
        <v>36</v>
      </c>
      <c r="D106" t="s">
        <v>55</v>
      </c>
      <c r="E106">
        <v>3</v>
      </c>
      <c r="F106">
        <v>2752.71</v>
      </c>
      <c r="G106">
        <f t="shared" si="2"/>
        <v>8258.130000000001</v>
      </c>
      <c r="I106">
        <f t="shared" si="3"/>
        <v>8258.130000000001</v>
      </c>
      <c r="J106" s="1">
        <v>45454</v>
      </c>
      <c r="K106" t="s">
        <v>18</v>
      </c>
      <c r="L106" t="s">
        <v>23</v>
      </c>
      <c r="M106">
        <v>1660.01</v>
      </c>
    </row>
    <row r="107" spans="1:13" x14ac:dyDescent="0.25">
      <c r="A107">
        <v>1105</v>
      </c>
      <c r="B107" t="s">
        <v>154</v>
      </c>
      <c r="C107" t="s">
        <v>36</v>
      </c>
      <c r="D107" t="s">
        <v>55</v>
      </c>
      <c r="E107">
        <v>-2</v>
      </c>
      <c r="G107">
        <f t="shared" si="2"/>
        <v>0</v>
      </c>
      <c r="I107">
        <f t="shared" si="3"/>
        <v>0</v>
      </c>
      <c r="K107" t="s">
        <v>18</v>
      </c>
      <c r="L107" t="s">
        <v>23</v>
      </c>
      <c r="M107">
        <v>616.04</v>
      </c>
    </row>
    <row r="108" spans="1:13" x14ac:dyDescent="0.25">
      <c r="A108">
        <v>1106</v>
      </c>
      <c r="B108" t="s">
        <v>155</v>
      </c>
      <c r="C108" t="s">
        <v>13</v>
      </c>
      <c r="D108" t="s">
        <v>34</v>
      </c>
      <c r="E108">
        <v>3</v>
      </c>
      <c r="G108">
        <f t="shared" si="2"/>
        <v>0</v>
      </c>
      <c r="I108">
        <f t="shared" si="3"/>
        <v>0</v>
      </c>
      <c r="J108" s="1">
        <v>45748</v>
      </c>
      <c r="K108" t="s">
        <v>44</v>
      </c>
      <c r="L108" t="s">
        <v>16</v>
      </c>
      <c r="M108">
        <v>53.28</v>
      </c>
    </row>
    <row r="109" spans="1:13" x14ac:dyDescent="0.25">
      <c r="A109">
        <v>1107</v>
      </c>
      <c r="B109" t="s">
        <v>156</v>
      </c>
      <c r="C109" t="s">
        <v>13</v>
      </c>
      <c r="D109" t="s">
        <v>47</v>
      </c>
      <c r="E109">
        <v>2</v>
      </c>
      <c r="F109">
        <v>4948</v>
      </c>
      <c r="G109">
        <f t="shared" si="2"/>
        <v>9896</v>
      </c>
      <c r="I109">
        <f t="shared" si="3"/>
        <v>9896</v>
      </c>
      <c r="K109" t="s">
        <v>15</v>
      </c>
      <c r="L109" t="s">
        <v>16</v>
      </c>
      <c r="M109">
        <v>1064.8599999999999</v>
      </c>
    </row>
    <row r="110" spans="1:13" x14ac:dyDescent="0.25">
      <c r="A110">
        <v>1036</v>
      </c>
      <c r="B110" t="s">
        <v>157</v>
      </c>
      <c r="C110" t="s">
        <v>13</v>
      </c>
      <c r="D110" t="s">
        <v>47</v>
      </c>
      <c r="E110">
        <v>1</v>
      </c>
      <c r="F110">
        <v>4601.4399999999996</v>
      </c>
      <c r="G110">
        <f t="shared" si="2"/>
        <v>4601.4399999999996</v>
      </c>
      <c r="I110">
        <f t="shared" si="3"/>
        <v>4601.4399999999996</v>
      </c>
      <c r="J110" s="1">
        <v>45642</v>
      </c>
      <c r="K110" t="s">
        <v>22</v>
      </c>
      <c r="L110" t="s">
        <v>16</v>
      </c>
      <c r="M110">
        <v>2145.66</v>
      </c>
    </row>
    <row r="111" spans="1:13" x14ac:dyDescent="0.25">
      <c r="A111">
        <v>1109</v>
      </c>
      <c r="B111" t="s">
        <v>158</v>
      </c>
      <c r="C111" t="s">
        <v>13</v>
      </c>
      <c r="D111" t="s">
        <v>98</v>
      </c>
      <c r="E111">
        <v>2</v>
      </c>
      <c r="G111">
        <f t="shared" si="2"/>
        <v>0</v>
      </c>
      <c r="I111">
        <f t="shared" si="3"/>
        <v>0</v>
      </c>
      <c r="J111" s="1">
        <v>45779</v>
      </c>
      <c r="K111" t="s">
        <v>2517</v>
      </c>
      <c r="L111" t="s">
        <v>16</v>
      </c>
      <c r="M111">
        <v>2133.58</v>
      </c>
    </row>
    <row r="112" spans="1:13" x14ac:dyDescent="0.25">
      <c r="A112">
        <v>1110</v>
      </c>
      <c r="B112" t="s">
        <v>159</v>
      </c>
      <c r="C112" t="s">
        <v>13</v>
      </c>
      <c r="D112" t="s">
        <v>14</v>
      </c>
      <c r="E112">
        <v>4</v>
      </c>
      <c r="G112">
        <f t="shared" si="2"/>
        <v>0</v>
      </c>
      <c r="I112">
        <f t="shared" si="3"/>
        <v>0</v>
      </c>
      <c r="J112" s="1">
        <v>45834</v>
      </c>
      <c r="K112" t="s">
        <v>22</v>
      </c>
      <c r="L112" t="s">
        <v>16</v>
      </c>
      <c r="M112">
        <v>2155.6799999999998</v>
      </c>
    </row>
    <row r="113" spans="1:16" x14ac:dyDescent="0.25">
      <c r="A113">
        <v>1111</v>
      </c>
      <c r="B113" t="s">
        <v>160</v>
      </c>
      <c r="C113" t="s">
        <v>31</v>
      </c>
      <c r="D113" t="s">
        <v>68</v>
      </c>
      <c r="E113">
        <v>2</v>
      </c>
      <c r="G113">
        <f t="shared" si="2"/>
        <v>0</v>
      </c>
      <c r="I113">
        <f t="shared" si="3"/>
        <v>0</v>
      </c>
      <c r="K113" t="s">
        <v>18</v>
      </c>
      <c r="L113" t="s">
        <v>16</v>
      </c>
      <c r="M113">
        <v>748.93</v>
      </c>
      <c r="O113" s="4" t="s">
        <v>2508</v>
      </c>
      <c r="P113" t="s">
        <v>2514</v>
      </c>
    </row>
    <row r="114" spans="1:16" x14ac:dyDescent="0.25">
      <c r="A114">
        <v>1112</v>
      </c>
      <c r="B114" t="s">
        <v>161</v>
      </c>
      <c r="C114" t="s">
        <v>36</v>
      </c>
      <c r="D114" t="s">
        <v>37</v>
      </c>
      <c r="E114">
        <v>2</v>
      </c>
      <c r="F114">
        <v>1027.56</v>
      </c>
      <c r="G114">
        <f t="shared" si="2"/>
        <v>2055.12</v>
      </c>
      <c r="I114">
        <f t="shared" si="3"/>
        <v>2055.12</v>
      </c>
      <c r="K114" t="s">
        <v>22</v>
      </c>
      <c r="L114" t="s">
        <v>16</v>
      </c>
      <c r="M114">
        <v>1160.17</v>
      </c>
      <c r="O114" s="5" t="s">
        <v>18</v>
      </c>
      <c r="P114">
        <v>1026652.0556999999</v>
      </c>
    </row>
    <row r="115" spans="1:16" x14ac:dyDescent="0.25">
      <c r="A115">
        <v>1113</v>
      </c>
      <c r="B115" t="s">
        <v>162</v>
      </c>
      <c r="C115" t="s">
        <v>20</v>
      </c>
      <c r="D115" t="s">
        <v>21</v>
      </c>
      <c r="E115">
        <v>2</v>
      </c>
      <c r="F115">
        <v>3864.5</v>
      </c>
      <c r="G115">
        <f t="shared" si="2"/>
        <v>7729</v>
      </c>
      <c r="I115">
        <f t="shared" si="3"/>
        <v>7729</v>
      </c>
      <c r="K115" t="s">
        <v>18</v>
      </c>
      <c r="L115" t="s">
        <v>16</v>
      </c>
      <c r="M115">
        <v>-763.23</v>
      </c>
      <c r="O115" s="5" t="s">
        <v>38</v>
      </c>
      <c r="P115">
        <v>882305.84449999977</v>
      </c>
    </row>
    <row r="116" spans="1:16" x14ac:dyDescent="0.25">
      <c r="A116">
        <v>1114</v>
      </c>
      <c r="B116" t="s">
        <v>163</v>
      </c>
      <c r="C116" t="s">
        <v>36</v>
      </c>
      <c r="D116" t="s">
        <v>87</v>
      </c>
      <c r="E116">
        <v>6</v>
      </c>
      <c r="F116">
        <v>568.61</v>
      </c>
      <c r="G116">
        <f t="shared" si="2"/>
        <v>3411.66</v>
      </c>
      <c r="H116" s="3">
        <v>0.2</v>
      </c>
      <c r="I116">
        <f t="shared" si="3"/>
        <v>2729.328</v>
      </c>
      <c r="J116" s="1">
        <v>45706</v>
      </c>
      <c r="K116" t="s">
        <v>15</v>
      </c>
      <c r="L116" t="s">
        <v>16</v>
      </c>
      <c r="M116">
        <v>-689.16</v>
      </c>
      <c r="O116" s="5" t="s">
        <v>15</v>
      </c>
      <c r="P116">
        <v>857972.71310000017</v>
      </c>
    </row>
    <row r="117" spans="1:16" x14ac:dyDescent="0.25">
      <c r="A117">
        <v>1115</v>
      </c>
      <c r="B117" t="s">
        <v>164</v>
      </c>
      <c r="C117" t="s">
        <v>28</v>
      </c>
      <c r="D117" t="s">
        <v>29</v>
      </c>
      <c r="E117">
        <v>2</v>
      </c>
      <c r="G117">
        <f t="shared" si="2"/>
        <v>0</v>
      </c>
      <c r="I117">
        <f t="shared" si="3"/>
        <v>0</v>
      </c>
      <c r="J117" s="1">
        <v>45826</v>
      </c>
      <c r="K117" t="s">
        <v>18</v>
      </c>
      <c r="L117" t="s">
        <v>16</v>
      </c>
      <c r="M117">
        <v>-624.26</v>
      </c>
      <c r="O117" s="5" t="s">
        <v>22</v>
      </c>
      <c r="P117">
        <v>942039.20739999972</v>
      </c>
    </row>
    <row r="118" spans="1:16" x14ac:dyDescent="0.25">
      <c r="A118">
        <v>1116</v>
      </c>
      <c r="B118" t="s">
        <v>165</v>
      </c>
      <c r="C118" t="s">
        <v>20</v>
      </c>
      <c r="D118" t="s">
        <v>76</v>
      </c>
      <c r="E118">
        <v>1</v>
      </c>
      <c r="G118">
        <f t="shared" si="2"/>
        <v>0</v>
      </c>
      <c r="I118">
        <f t="shared" si="3"/>
        <v>0</v>
      </c>
      <c r="J118" s="1">
        <v>45718</v>
      </c>
      <c r="K118" t="s">
        <v>15</v>
      </c>
      <c r="L118" t="s">
        <v>16</v>
      </c>
      <c r="M118">
        <v>1733.04</v>
      </c>
      <c r="O118" s="5" t="s">
        <v>44</v>
      </c>
      <c r="P118">
        <v>750971.91590000049</v>
      </c>
    </row>
    <row r="119" spans="1:16" x14ac:dyDescent="0.25">
      <c r="A119">
        <v>1117</v>
      </c>
      <c r="B119" t="s">
        <v>166</v>
      </c>
      <c r="C119" t="s">
        <v>20</v>
      </c>
      <c r="D119" t="s">
        <v>21</v>
      </c>
      <c r="E119">
        <v>2</v>
      </c>
      <c r="F119">
        <v>3567.55</v>
      </c>
      <c r="G119">
        <f t="shared" si="2"/>
        <v>7135.1</v>
      </c>
      <c r="I119">
        <f t="shared" si="3"/>
        <v>7135.1</v>
      </c>
      <c r="K119" t="s">
        <v>38</v>
      </c>
      <c r="L119" t="s">
        <v>16</v>
      </c>
      <c r="M119">
        <v>-455.6</v>
      </c>
      <c r="O119" s="5" t="s">
        <v>2517</v>
      </c>
      <c r="P119">
        <v>986323.90040000028</v>
      </c>
    </row>
    <row r="120" spans="1:16" x14ac:dyDescent="0.25">
      <c r="A120">
        <v>1118</v>
      </c>
      <c r="B120" t="s">
        <v>167</v>
      </c>
      <c r="C120" t="s">
        <v>28</v>
      </c>
      <c r="D120" t="s">
        <v>29</v>
      </c>
      <c r="E120">
        <v>2</v>
      </c>
      <c r="G120">
        <f t="shared" si="2"/>
        <v>0</v>
      </c>
      <c r="I120">
        <f t="shared" si="3"/>
        <v>0</v>
      </c>
      <c r="J120" s="1">
        <v>45778</v>
      </c>
      <c r="K120" t="s">
        <v>38</v>
      </c>
      <c r="L120" t="s">
        <v>16</v>
      </c>
      <c r="M120">
        <v>1039.53</v>
      </c>
      <c r="O120" s="5" t="s">
        <v>2509</v>
      </c>
      <c r="P120">
        <v>5446265.637000001</v>
      </c>
    </row>
    <row r="121" spans="1:16" x14ac:dyDescent="0.25">
      <c r="A121">
        <v>1119</v>
      </c>
      <c r="B121" t="s">
        <v>168</v>
      </c>
      <c r="C121" t="s">
        <v>13</v>
      </c>
      <c r="D121" t="s">
        <v>98</v>
      </c>
      <c r="E121">
        <v>2</v>
      </c>
      <c r="G121">
        <f t="shared" si="2"/>
        <v>0</v>
      </c>
      <c r="I121">
        <f t="shared" si="3"/>
        <v>0</v>
      </c>
      <c r="J121" s="1">
        <v>45791</v>
      </c>
      <c r="K121" t="s">
        <v>22</v>
      </c>
      <c r="L121" t="s">
        <v>16</v>
      </c>
      <c r="M121">
        <v>142.69</v>
      </c>
    </row>
    <row r="122" spans="1:16" x14ac:dyDescent="0.25">
      <c r="A122">
        <v>1120</v>
      </c>
      <c r="B122" t="s">
        <v>169</v>
      </c>
      <c r="C122" t="s">
        <v>20</v>
      </c>
      <c r="D122" t="s">
        <v>21</v>
      </c>
      <c r="E122">
        <v>2</v>
      </c>
      <c r="F122">
        <v>4709</v>
      </c>
      <c r="G122">
        <f t="shared" si="2"/>
        <v>9418</v>
      </c>
      <c r="I122">
        <f t="shared" si="3"/>
        <v>9418</v>
      </c>
      <c r="J122" s="1">
        <v>45782</v>
      </c>
      <c r="K122" t="s">
        <v>18</v>
      </c>
      <c r="L122" t="s">
        <v>16</v>
      </c>
      <c r="M122">
        <v>828.98</v>
      </c>
    </row>
    <row r="123" spans="1:16" x14ac:dyDescent="0.25">
      <c r="A123">
        <v>1121</v>
      </c>
      <c r="B123" t="s">
        <v>170</v>
      </c>
      <c r="C123" t="s">
        <v>25</v>
      </c>
      <c r="D123" t="s">
        <v>82</v>
      </c>
      <c r="E123">
        <v>2</v>
      </c>
      <c r="F123">
        <v>4109.6000000000004</v>
      </c>
      <c r="G123">
        <f t="shared" si="2"/>
        <v>8219.2000000000007</v>
      </c>
      <c r="H123" s="3">
        <v>0.42</v>
      </c>
      <c r="I123">
        <f t="shared" si="3"/>
        <v>4767.1360000000013</v>
      </c>
      <c r="K123" t="s">
        <v>44</v>
      </c>
      <c r="L123" t="s">
        <v>16</v>
      </c>
      <c r="M123">
        <v>1422.36</v>
      </c>
    </row>
    <row r="124" spans="1:16" x14ac:dyDescent="0.25">
      <c r="A124">
        <v>1122</v>
      </c>
      <c r="B124" t="s">
        <v>171</v>
      </c>
      <c r="C124" t="s">
        <v>20</v>
      </c>
      <c r="D124" t="s">
        <v>76</v>
      </c>
      <c r="E124">
        <v>0</v>
      </c>
      <c r="F124">
        <v>4745.03</v>
      </c>
      <c r="G124">
        <f t="shared" si="2"/>
        <v>0</v>
      </c>
      <c r="H124" s="3">
        <v>0.4</v>
      </c>
      <c r="I124">
        <f t="shared" si="3"/>
        <v>0</v>
      </c>
      <c r="K124" t="s">
        <v>22</v>
      </c>
      <c r="L124" t="s">
        <v>16</v>
      </c>
      <c r="M124">
        <v>2658.02</v>
      </c>
    </row>
    <row r="125" spans="1:16" x14ac:dyDescent="0.25">
      <c r="A125">
        <v>1123</v>
      </c>
      <c r="B125" t="s">
        <v>172</v>
      </c>
      <c r="C125" t="s">
        <v>28</v>
      </c>
      <c r="D125" t="s">
        <v>137</v>
      </c>
      <c r="E125">
        <v>5</v>
      </c>
      <c r="F125">
        <v>3978.76</v>
      </c>
      <c r="G125">
        <f t="shared" si="2"/>
        <v>19893.800000000003</v>
      </c>
      <c r="I125">
        <f t="shared" si="3"/>
        <v>19893.800000000003</v>
      </c>
      <c r="J125" s="1">
        <v>45393</v>
      </c>
      <c r="K125" t="s">
        <v>18</v>
      </c>
      <c r="L125" t="s">
        <v>16</v>
      </c>
      <c r="M125">
        <v>1494.78</v>
      </c>
    </row>
    <row r="126" spans="1:16" x14ac:dyDescent="0.25">
      <c r="A126">
        <v>1002</v>
      </c>
      <c r="B126" t="s">
        <v>173</v>
      </c>
      <c r="C126" t="s">
        <v>20</v>
      </c>
      <c r="D126" t="s">
        <v>21</v>
      </c>
      <c r="E126">
        <v>1</v>
      </c>
      <c r="G126">
        <f t="shared" si="2"/>
        <v>0</v>
      </c>
      <c r="I126">
        <f t="shared" si="3"/>
        <v>0</v>
      </c>
      <c r="J126" s="1">
        <v>45657</v>
      </c>
      <c r="K126" t="s">
        <v>18</v>
      </c>
      <c r="L126" t="s">
        <v>23</v>
      </c>
      <c r="M126">
        <v>2513.75</v>
      </c>
    </row>
    <row r="127" spans="1:16" x14ac:dyDescent="0.25">
      <c r="A127">
        <v>1125</v>
      </c>
      <c r="B127" t="s">
        <v>174</v>
      </c>
      <c r="C127" t="s">
        <v>25</v>
      </c>
      <c r="D127" t="s">
        <v>82</v>
      </c>
      <c r="E127">
        <v>-2</v>
      </c>
      <c r="G127">
        <f t="shared" si="2"/>
        <v>0</v>
      </c>
      <c r="I127">
        <f t="shared" si="3"/>
        <v>0</v>
      </c>
      <c r="K127" t="s">
        <v>15</v>
      </c>
      <c r="L127" t="s">
        <v>16</v>
      </c>
      <c r="M127">
        <v>-754.58</v>
      </c>
    </row>
    <row r="128" spans="1:16" x14ac:dyDescent="0.25">
      <c r="A128">
        <v>1126</v>
      </c>
      <c r="B128" t="s">
        <v>175</v>
      </c>
      <c r="C128" t="s">
        <v>13</v>
      </c>
      <c r="D128" t="s">
        <v>34</v>
      </c>
      <c r="E128">
        <v>2</v>
      </c>
      <c r="G128">
        <f t="shared" si="2"/>
        <v>0</v>
      </c>
      <c r="H128" s="3">
        <v>0.59</v>
      </c>
      <c r="I128">
        <f t="shared" si="3"/>
        <v>0</v>
      </c>
      <c r="K128" t="s">
        <v>44</v>
      </c>
      <c r="L128" t="s">
        <v>16</v>
      </c>
      <c r="M128">
        <v>1820.2</v>
      </c>
    </row>
    <row r="129" spans="1:13" x14ac:dyDescent="0.25">
      <c r="A129">
        <v>1127</v>
      </c>
      <c r="B129" t="s">
        <v>176</v>
      </c>
      <c r="C129" t="s">
        <v>36</v>
      </c>
      <c r="D129" t="s">
        <v>87</v>
      </c>
      <c r="E129">
        <v>3</v>
      </c>
      <c r="F129">
        <v>4843.4399999999996</v>
      </c>
      <c r="G129">
        <f t="shared" si="2"/>
        <v>14530.32</v>
      </c>
      <c r="H129" s="3">
        <v>7.0000000000000007E-2</v>
      </c>
      <c r="I129">
        <f t="shared" si="3"/>
        <v>13513.1976</v>
      </c>
      <c r="J129" s="1">
        <v>45511</v>
      </c>
      <c r="K129" t="s">
        <v>18</v>
      </c>
      <c r="L129" t="s">
        <v>23</v>
      </c>
      <c r="M129">
        <v>2881.91</v>
      </c>
    </row>
    <row r="130" spans="1:13" x14ac:dyDescent="0.25">
      <c r="A130">
        <v>1128</v>
      </c>
      <c r="B130" t="s">
        <v>177</v>
      </c>
      <c r="C130" t="s">
        <v>31</v>
      </c>
      <c r="D130" t="s">
        <v>42</v>
      </c>
      <c r="E130">
        <v>2</v>
      </c>
      <c r="G130">
        <f t="shared" si="2"/>
        <v>0</v>
      </c>
      <c r="H130" s="3">
        <v>0.43</v>
      </c>
      <c r="I130">
        <f t="shared" si="3"/>
        <v>0</v>
      </c>
      <c r="K130" t="s">
        <v>2517</v>
      </c>
      <c r="L130" t="s">
        <v>16</v>
      </c>
      <c r="M130">
        <v>-68.489999999999995</v>
      </c>
    </row>
    <row r="131" spans="1:13" x14ac:dyDescent="0.25">
      <c r="A131">
        <v>1129</v>
      </c>
      <c r="B131" t="s">
        <v>178</v>
      </c>
      <c r="C131" t="s">
        <v>13</v>
      </c>
      <c r="D131" t="s">
        <v>34</v>
      </c>
      <c r="E131">
        <v>-2</v>
      </c>
      <c r="F131">
        <v>2412.36</v>
      </c>
      <c r="G131">
        <f t="shared" ref="G131:G194" si="4">F131*E131</f>
        <v>-4824.72</v>
      </c>
      <c r="H131" s="3">
        <v>0.23</v>
      </c>
      <c r="I131">
        <f t="shared" ref="I131:I194" si="5">G131*(1-H131)</f>
        <v>-3715.0344000000005</v>
      </c>
      <c r="J131" s="1">
        <v>45835</v>
      </c>
      <c r="K131" t="s">
        <v>22</v>
      </c>
      <c r="L131" t="s">
        <v>16</v>
      </c>
      <c r="M131">
        <v>-668.36</v>
      </c>
    </row>
    <row r="132" spans="1:13" x14ac:dyDescent="0.25">
      <c r="A132">
        <v>1130</v>
      </c>
      <c r="B132" t="s">
        <v>30</v>
      </c>
      <c r="C132" t="s">
        <v>28</v>
      </c>
      <c r="D132" t="s">
        <v>40</v>
      </c>
      <c r="E132">
        <v>2</v>
      </c>
      <c r="G132">
        <f t="shared" si="4"/>
        <v>0</v>
      </c>
      <c r="I132">
        <f t="shared" si="5"/>
        <v>0</v>
      </c>
      <c r="K132" t="s">
        <v>15</v>
      </c>
      <c r="L132" t="s">
        <v>23</v>
      </c>
      <c r="M132">
        <v>2782.45</v>
      </c>
    </row>
    <row r="133" spans="1:13" x14ac:dyDescent="0.25">
      <c r="A133">
        <v>1131</v>
      </c>
      <c r="B133" t="s">
        <v>179</v>
      </c>
      <c r="C133" t="s">
        <v>31</v>
      </c>
      <c r="D133" t="s">
        <v>68</v>
      </c>
      <c r="E133">
        <v>5</v>
      </c>
      <c r="G133">
        <f t="shared" si="4"/>
        <v>0</v>
      </c>
      <c r="H133" s="3">
        <v>0.99</v>
      </c>
      <c r="I133">
        <f t="shared" si="5"/>
        <v>0</v>
      </c>
      <c r="J133" s="1">
        <v>45675</v>
      </c>
      <c r="K133" t="s">
        <v>15</v>
      </c>
      <c r="L133" t="s">
        <v>16</v>
      </c>
      <c r="M133">
        <v>-941.56</v>
      </c>
    </row>
    <row r="134" spans="1:13" x14ac:dyDescent="0.25">
      <c r="A134">
        <v>1132</v>
      </c>
      <c r="B134" t="s">
        <v>180</v>
      </c>
      <c r="C134" t="s">
        <v>20</v>
      </c>
      <c r="D134" t="s">
        <v>76</v>
      </c>
      <c r="E134">
        <v>2</v>
      </c>
      <c r="G134">
        <f t="shared" si="4"/>
        <v>0</v>
      </c>
      <c r="H134" s="3">
        <v>0.57999999999999996</v>
      </c>
      <c r="I134">
        <f t="shared" si="5"/>
        <v>0</v>
      </c>
      <c r="K134" t="s">
        <v>15</v>
      </c>
      <c r="L134" t="s">
        <v>23</v>
      </c>
      <c r="M134">
        <v>2043.57</v>
      </c>
    </row>
    <row r="135" spans="1:13" x14ac:dyDescent="0.25">
      <c r="A135">
        <v>1133</v>
      </c>
      <c r="B135" t="s">
        <v>181</v>
      </c>
      <c r="C135" t="s">
        <v>36</v>
      </c>
      <c r="D135" t="s">
        <v>37</v>
      </c>
      <c r="E135">
        <v>2</v>
      </c>
      <c r="G135">
        <f t="shared" si="4"/>
        <v>0</v>
      </c>
      <c r="H135" s="3">
        <v>0.6</v>
      </c>
      <c r="I135">
        <f t="shared" si="5"/>
        <v>0</v>
      </c>
      <c r="K135" t="s">
        <v>18</v>
      </c>
      <c r="L135" t="s">
        <v>16</v>
      </c>
      <c r="M135">
        <v>806.19</v>
      </c>
    </row>
    <row r="136" spans="1:13" x14ac:dyDescent="0.25">
      <c r="A136">
        <v>1134</v>
      </c>
      <c r="B136" t="s">
        <v>182</v>
      </c>
      <c r="C136" t="s">
        <v>36</v>
      </c>
      <c r="D136" t="s">
        <v>59</v>
      </c>
      <c r="E136">
        <v>3</v>
      </c>
      <c r="G136">
        <f t="shared" si="4"/>
        <v>0</v>
      </c>
      <c r="I136">
        <f t="shared" si="5"/>
        <v>0</v>
      </c>
      <c r="J136" s="1">
        <v>45791</v>
      </c>
      <c r="K136" t="s">
        <v>15</v>
      </c>
      <c r="L136" t="s">
        <v>16</v>
      </c>
      <c r="M136">
        <v>1101.19</v>
      </c>
    </row>
    <row r="137" spans="1:13" x14ac:dyDescent="0.25">
      <c r="A137">
        <v>1135</v>
      </c>
      <c r="B137" t="s">
        <v>183</v>
      </c>
      <c r="C137" t="s">
        <v>25</v>
      </c>
      <c r="D137" t="s">
        <v>51</v>
      </c>
      <c r="E137">
        <v>4</v>
      </c>
      <c r="F137">
        <v>1556.96</v>
      </c>
      <c r="G137">
        <f t="shared" si="4"/>
        <v>6227.84</v>
      </c>
      <c r="H137" s="3">
        <v>0.84</v>
      </c>
      <c r="I137">
        <f t="shared" si="5"/>
        <v>996.45440000000019</v>
      </c>
      <c r="J137" s="1">
        <v>45588</v>
      </c>
      <c r="K137" t="s">
        <v>22</v>
      </c>
      <c r="L137" t="s">
        <v>23</v>
      </c>
      <c r="M137">
        <v>1432.84</v>
      </c>
    </row>
    <row r="138" spans="1:13" x14ac:dyDescent="0.25">
      <c r="A138">
        <v>1136</v>
      </c>
      <c r="B138" t="s">
        <v>184</v>
      </c>
      <c r="C138" t="s">
        <v>13</v>
      </c>
      <c r="D138" t="s">
        <v>47</v>
      </c>
      <c r="E138">
        <v>2</v>
      </c>
      <c r="F138">
        <v>3658.42</v>
      </c>
      <c r="G138">
        <f t="shared" si="4"/>
        <v>7316.84</v>
      </c>
      <c r="H138" s="3">
        <v>0.47</v>
      </c>
      <c r="I138">
        <f t="shared" si="5"/>
        <v>3877.9252000000001</v>
      </c>
      <c r="J138" s="1">
        <v>45318</v>
      </c>
      <c r="K138" t="s">
        <v>22</v>
      </c>
      <c r="L138" t="s">
        <v>16</v>
      </c>
      <c r="M138">
        <v>1897.33</v>
      </c>
    </row>
    <row r="139" spans="1:13" x14ac:dyDescent="0.25">
      <c r="A139">
        <v>1137</v>
      </c>
      <c r="B139" t="s">
        <v>185</v>
      </c>
      <c r="C139" t="s">
        <v>25</v>
      </c>
      <c r="D139" t="s">
        <v>51</v>
      </c>
      <c r="E139">
        <v>2</v>
      </c>
      <c r="F139">
        <v>4206.0600000000004</v>
      </c>
      <c r="G139">
        <f t="shared" si="4"/>
        <v>8412.1200000000008</v>
      </c>
      <c r="I139">
        <f t="shared" si="5"/>
        <v>8412.1200000000008</v>
      </c>
      <c r="J139" s="1">
        <v>45770</v>
      </c>
      <c r="K139" t="s">
        <v>15</v>
      </c>
      <c r="L139" t="s">
        <v>23</v>
      </c>
      <c r="M139">
        <v>1161.76</v>
      </c>
    </row>
    <row r="140" spans="1:13" x14ac:dyDescent="0.25">
      <c r="A140">
        <v>1138</v>
      </c>
      <c r="B140" t="s">
        <v>186</v>
      </c>
      <c r="C140" t="s">
        <v>36</v>
      </c>
      <c r="D140" t="s">
        <v>87</v>
      </c>
      <c r="E140">
        <v>2</v>
      </c>
      <c r="G140">
        <f t="shared" si="4"/>
        <v>0</v>
      </c>
      <c r="H140" s="3">
        <v>0.26</v>
      </c>
      <c r="I140">
        <f t="shared" si="5"/>
        <v>0</v>
      </c>
      <c r="K140" t="s">
        <v>2517</v>
      </c>
      <c r="L140" t="s">
        <v>16</v>
      </c>
      <c r="M140">
        <v>-658.58</v>
      </c>
    </row>
    <row r="141" spans="1:13" x14ac:dyDescent="0.25">
      <c r="A141">
        <v>1139</v>
      </c>
      <c r="B141" t="s">
        <v>187</v>
      </c>
      <c r="C141" t="s">
        <v>31</v>
      </c>
      <c r="D141" t="s">
        <v>78</v>
      </c>
      <c r="E141">
        <v>2</v>
      </c>
      <c r="G141">
        <f t="shared" si="4"/>
        <v>0</v>
      </c>
      <c r="H141" s="3">
        <v>0.21</v>
      </c>
      <c r="I141">
        <f t="shared" si="5"/>
        <v>0</v>
      </c>
      <c r="J141" s="1">
        <v>45593</v>
      </c>
      <c r="K141" t="s">
        <v>38</v>
      </c>
      <c r="L141" t="s">
        <v>16</v>
      </c>
      <c r="M141">
        <v>-832.45</v>
      </c>
    </row>
    <row r="142" spans="1:13" x14ac:dyDescent="0.25">
      <c r="A142">
        <v>1140</v>
      </c>
      <c r="B142" t="s">
        <v>188</v>
      </c>
      <c r="C142" t="s">
        <v>28</v>
      </c>
      <c r="D142" t="s">
        <v>29</v>
      </c>
      <c r="E142">
        <v>4</v>
      </c>
      <c r="G142">
        <f t="shared" si="4"/>
        <v>0</v>
      </c>
      <c r="I142">
        <f t="shared" si="5"/>
        <v>0</v>
      </c>
      <c r="J142" s="1">
        <v>45517</v>
      </c>
      <c r="K142" t="s">
        <v>2517</v>
      </c>
      <c r="L142" t="s">
        <v>23</v>
      </c>
      <c r="M142">
        <v>-127.91</v>
      </c>
    </row>
    <row r="143" spans="1:13" x14ac:dyDescent="0.25">
      <c r="A143">
        <v>1141</v>
      </c>
      <c r="B143" t="s">
        <v>189</v>
      </c>
      <c r="C143" t="s">
        <v>31</v>
      </c>
      <c r="D143" t="s">
        <v>78</v>
      </c>
      <c r="E143">
        <v>2</v>
      </c>
      <c r="G143">
        <f t="shared" si="4"/>
        <v>0</v>
      </c>
      <c r="H143" s="3">
        <v>1.1499999999999999</v>
      </c>
      <c r="I143">
        <f t="shared" si="5"/>
        <v>0</v>
      </c>
      <c r="J143" s="1">
        <v>45401</v>
      </c>
      <c r="K143" t="s">
        <v>15</v>
      </c>
      <c r="L143" t="s">
        <v>16</v>
      </c>
      <c r="M143">
        <v>429.67</v>
      </c>
    </row>
    <row r="144" spans="1:13" x14ac:dyDescent="0.25">
      <c r="A144">
        <v>1142</v>
      </c>
      <c r="B144" t="s">
        <v>190</v>
      </c>
      <c r="C144" t="s">
        <v>36</v>
      </c>
      <c r="D144" t="s">
        <v>87</v>
      </c>
      <c r="E144">
        <v>6</v>
      </c>
      <c r="F144">
        <v>3004.58</v>
      </c>
      <c r="G144">
        <f t="shared" si="4"/>
        <v>18027.48</v>
      </c>
      <c r="I144">
        <f t="shared" si="5"/>
        <v>18027.48</v>
      </c>
      <c r="J144" s="1">
        <v>45344</v>
      </c>
      <c r="K144" t="s">
        <v>2517</v>
      </c>
      <c r="L144" t="s">
        <v>16</v>
      </c>
      <c r="M144">
        <v>-509.67</v>
      </c>
    </row>
    <row r="145" spans="1:13" x14ac:dyDescent="0.25">
      <c r="A145">
        <v>1143</v>
      </c>
      <c r="B145" t="s">
        <v>191</v>
      </c>
      <c r="C145" t="s">
        <v>20</v>
      </c>
      <c r="D145" t="s">
        <v>84</v>
      </c>
      <c r="E145">
        <v>2</v>
      </c>
      <c r="G145">
        <f t="shared" si="4"/>
        <v>0</v>
      </c>
      <c r="I145">
        <f t="shared" si="5"/>
        <v>0</v>
      </c>
      <c r="J145" s="1">
        <v>45782</v>
      </c>
      <c r="K145" t="s">
        <v>38</v>
      </c>
      <c r="L145" t="s">
        <v>16</v>
      </c>
      <c r="M145">
        <v>816.49</v>
      </c>
    </row>
    <row r="146" spans="1:13" x14ac:dyDescent="0.25">
      <c r="A146">
        <v>1144</v>
      </c>
      <c r="B146" t="s">
        <v>192</v>
      </c>
      <c r="C146" t="s">
        <v>13</v>
      </c>
      <c r="D146" t="s">
        <v>14</v>
      </c>
      <c r="E146">
        <v>2</v>
      </c>
      <c r="G146">
        <f t="shared" si="4"/>
        <v>0</v>
      </c>
      <c r="H146" s="3">
        <v>0.19</v>
      </c>
      <c r="I146">
        <f t="shared" si="5"/>
        <v>0</v>
      </c>
      <c r="K146" t="s">
        <v>22</v>
      </c>
      <c r="L146" t="s">
        <v>16</v>
      </c>
      <c r="M146">
        <v>2966.21</v>
      </c>
    </row>
    <row r="147" spans="1:13" x14ac:dyDescent="0.25">
      <c r="A147">
        <v>1145</v>
      </c>
      <c r="B147" t="s">
        <v>193</v>
      </c>
      <c r="C147" t="s">
        <v>31</v>
      </c>
      <c r="D147" t="s">
        <v>78</v>
      </c>
      <c r="E147">
        <v>-2</v>
      </c>
      <c r="F147">
        <v>3607.9</v>
      </c>
      <c r="G147">
        <f t="shared" si="4"/>
        <v>-7215.8</v>
      </c>
      <c r="H147" s="3">
        <v>0.94</v>
      </c>
      <c r="I147">
        <f t="shared" si="5"/>
        <v>-432.94800000000038</v>
      </c>
      <c r="J147" s="1">
        <v>45602</v>
      </c>
      <c r="K147" t="s">
        <v>2517</v>
      </c>
      <c r="L147" t="s">
        <v>23</v>
      </c>
      <c r="M147">
        <v>-171.58</v>
      </c>
    </row>
    <row r="148" spans="1:13" x14ac:dyDescent="0.25">
      <c r="A148">
        <v>1146</v>
      </c>
      <c r="B148" t="s">
        <v>194</v>
      </c>
      <c r="C148" t="s">
        <v>28</v>
      </c>
      <c r="D148" t="s">
        <v>29</v>
      </c>
      <c r="E148">
        <v>2</v>
      </c>
      <c r="G148">
        <f t="shared" si="4"/>
        <v>0</v>
      </c>
      <c r="H148" s="3">
        <v>1.0900000000000001</v>
      </c>
      <c r="I148">
        <f t="shared" si="5"/>
        <v>0</v>
      </c>
      <c r="J148" s="1">
        <v>45719</v>
      </c>
      <c r="K148" t="s">
        <v>44</v>
      </c>
      <c r="L148" t="s">
        <v>16</v>
      </c>
      <c r="M148">
        <v>-431.7</v>
      </c>
    </row>
    <row r="149" spans="1:13" x14ac:dyDescent="0.25">
      <c r="A149">
        <v>1147</v>
      </c>
      <c r="B149" t="s">
        <v>195</v>
      </c>
      <c r="C149" t="s">
        <v>36</v>
      </c>
      <c r="D149" t="s">
        <v>37</v>
      </c>
      <c r="E149">
        <v>2</v>
      </c>
      <c r="F149">
        <v>2875.46</v>
      </c>
      <c r="G149">
        <f t="shared" si="4"/>
        <v>5750.92</v>
      </c>
      <c r="I149">
        <f t="shared" si="5"/>
        <v>5750.92</v>
      </c>
      <c r="J149" s="1">
        <v>45632</v>
      </c>
      <c r="K149" t="s">
        <v>15</v>
      </c>
      <c r="L149" t="s">
        <v>23</v>
      </c>
      <c r="M149">
        <v>-794.99</v>
      </c>
    </row>
    <row r="150" spans="1:13" x14ac:dyDescent="0.25">
      <c r="A150">
        <v>1148</v>
      </c>
      <c r="B150" t="s">
        <v>196</v>
      </c>
      <c r="C150" t="s">
        <v>28</v>
      </c>
      <c r="D150" t="s">
        <v>29</v>
      </c>
      <c r="E150">
        <v>2</v>
      </c>
      <c r="F150">
        <v>2471.48</v>
      </c>
      <c r="G150">
        <f t="shared" si="4"/>
        <v>4942.96</v>
      </c>
      <c r="H150" s="3">
        <v>1.1100000000000001</v>
      </c>
      <c r="I150">
        <f t="shared" si="5"/>
        <v>-543.72560000000044</v>
      </c>
      <c r="J150" s="1">
        <v>45680</v>
      </c>
      <c r="K150" t="s">
        <v>22</v>
      </c>
      <c r="L150" t="s">
        <v>16</v>
      </c>
      <c r="M150">
        <v>2247.9</v>
      </c>
    </row>
    <row r="151" spans="1:13" x14ac:dyDescent="0.25">
      <c r="A151">
        <v>1149</v>
      </c>
      <c r="B151" t="s">
        <v>197</v>
      </c>
      <c r="C151" t="s">
        <v>36</v>
      </c>
      <c r="D151" t="s">
        <v>87</v>
      </c>
      <c r="E151">
        <v>2</v>
      </c>
      <c r="G151">
        <f t="shared" si="4"/>
        <v>0</v>
      </c>
      <c r="I151">
        <f t="shared" si="5"/>
        <v>0</v>
      </c>
      <c r="J151" s="1">
        <v>45570</v>
      </c>
      <c r="K151" t="s">
        <v>2517</v>
      </c>
      <c r="L151" t="s">
        <v>23</v>
      </c>
      <c r="M151">
        <v>562.69000000000005</v>
      </c>
    </row>
    <row r="152" spans="1:13" x14ac:dyDescent="0.25">
      <c r="A152">
        <v>1150</v>
      </c>
      <c r="B152" t="s">
        <v>198</v>
      </c>
      <c r="C152" t="s">
        <v>28</v>
      </c>
      <c r="D152" t="s">
        <v>40</v>
      </c>
      <c r="E152">
        <v>2</v>
      </c>
      <c r="F152">
        <v>1554.9</v>
      </c>
      <c r="G152">
        <f t="shared" si="4"/>
        <v>3109.8</v>
      </c>
      <c r="I152">
        <f t="shared" si="5"/>
        <v>3109.8</v>
      </c>
      <c r="J152" s="1">
        <v>45582</v>
      </c>
      <c r="K152" t="s">
        <v>18</v>
      </c>
      <c r="L152" t="s">
        <v>16</v>
      </c>
      <c r="M152">
        <v>457.65</v>
      </c>
    </row>
    <row r="153" spans="1:13" x14ac:dyDescent="0.25">
      <c r="A153">
        <v>1151</v>
      </c>
      <c r="B153" t="s">
        <v>199</v>
      </c>
      <c r="C153" t="s">
        <v>13</v>
      </c>
      <c r="D153" t="s">
        <v>47</v>
      </c>
      <c r="E153">
        <v>4</v>
      </c>
      <c r="F153">
        <v>2266.44</v>
      </c>
      <c r="G153">
        <f t="shared" si="4"/>
        <v>9065.76</v>
      </c>
      <c r="H153" s="3">
        <v>0.33</v>
      </c>
      <c r="I153">
        <f t="shared" si="5"/>
        <v>6074.0591999999997</v>
      </c>
      <c r="J153" s="1">
        <v>45855</v>
      </c>
      <c r="K153" t="s">
        <v>44</v>
      </c>
      <c r="L153" t="s">
        <v>16</v>
      </c>
      <c r="M153">
        <v>-655.45</v>
      </c>
    </row>
    <row r="154" spans="1:13" x14ac:dyDescent="0.25">
      <c r="A154">
        <v>1152</v>
      </c>
      <c r="B154" t="s">
        <v>200</v>
      </c>
      <c r="C154" t="s">
        <v>25</v>
      </c>
      <c r="D154" t="s">
        <v>62</v>
      </c>
      <c r="E154">
        <v>1</v>
      </c>
      <c r="G154">
        <f t="shared" si="4"/>
        <v>0</v>
      </c>
      <c r="H154" s="3">
        <v>1.26</v>
      </c>
      <c r="I154">
        <f t="shared" si="5"/>
        <v>0</v>
      </c>
      <c r="J154" s="1">
        <v>45599</v>
      </c>
      <c r="K154" t="s">
        <v>44</v>
      </c>
      <c r="L154" t="s">
        <v>16</v>
      </c>
      <c r="M154">
        <v>454.45</v>
      </c>
    </row>
    <row r="155" spans="1:13" x14ac:dyDescent="0.25">
      <c r="A155">
        <v>1153</v>
      </c>
      <c r="B155" t="s">
        <v>201</v>
      </c>
      <c r="C155" t="s">
        <v>28</v>
      </c>
      <c r="D155" t="s">
        <v>29</v>
      </c>
      <c r="E155">
        <v>1</v>
      </c>
      <c r="F155">
        <v>478.59</v>
      </c>
      <c r="G155">
        <f t="shared" si="4"/>
        <v>478.59</v>
      </c>
      <c r="I155">
        <f t="shared" si="5"/>
        <v>478.59</v>
      </c>
      <c r="J155" s="1">
        <v>45641</v>
      </c>
      <c r="K155" t="s">
        <v>15</v>
      </c>
      <c r="L155" t="s">
        <v>23</v>
      </c>
      <c r="M155">
        <v>-681.2</v>
      </c>
    </row>
    <row r="156" spans="1:13" x14ac:dyDescent="0.25">
      <c r="A156">
        <v>1154</v>
      </c>
      <c r="B156" t="s">
        <v>202</v>
      </c>
      <c r="C156" t="s">
        <v>28</v>
      </c>
      <c r="D156" t="s">
        <v>116</v>
      </c>
      <c r="E156">
        <v>2</v>
      </c>
      <c r="G156">
        <f t="shared" si="4"/>
        <v>0</v>
      </c>
      <c r="I156">
        <f t="shared" si="5"/>
        <v>0</v>
      </c>
      <c r="J156" s="1">
        <v>45575</v>
      </c>
      <c r="K156" t="s">
        <v>38</v>
      </c>
      <c r="L156" t="s">
        <v>16</v>
      </c>
      <c r="M156">
        <v>52.85</v>
      </c>
    </row>
    <row r="157" spans="1:13" x14ac:dyDescent="0.25">
      <c r="A157">
        <v>1155</v>
      </c>
      <c r="B157" t="s">
        <v>203</v>
      </c>
      <c r="C157" t="s">
        <v>25</v>
      </c>
      <c r="D157" t="s">
        <v>62</v>
      </c>
      <c r="E157">
        <v>2</v>
      </c>
      <c r="G157">
        <f t="shared" si="4"/>
        <v>0</v>
      </c>
      <c r="H157" s="3">
        <v>0.64</v>
      </c>
      <c r="I157">
        <f t="shared" si="5"/>
        <v>0</v>
      </c>
      <c r="J157" s="1">
        <v>45604</v>
      </c>
      <c r="K157" t="s">
        <v>22</v>
      </c>
      <c r="L157" t="s">
        <v>16</v>
      </c>
      <c r="M157">
        <v>2493.12</v>
      </c>
    </row>
    <row r="158" spans="1:13" x14ac:dyDescent="0.25">
      <c r="A158">
        <v>1156</v>
      </c>
      <c r="B158" t="s">
        <v>204</v>
      </c>
      <c r="C158" t="s">
        <v>36</v>
      </c>
      <c r="D158" t="s">
        <v>59</v>
      </c>
      <c r="E158">
        <v>3</v>
      </c>
      <c r="G158">
        <f t="shared" si="4"/>
        <v>0</v>
      </c>
      <c r="H158" s="3">
        <v>0.93</v>
      </c>
      <c r="I158">
        <f t="shared" si="5"/>
        <v>0</v>
      </c>
      <c r="K158" t="s">
        <v>15</v>
      </c>
      <c r="L158" t="s">
        <v>16</v>
      </c>
      <c r="M158">
        <v>1699.17</v>
      </c>
    </row>
    <row r="159" spans="1:13" x14ac:dyDescent="0.25">
      <c r="A159">
        <v>1157</v>
      </c>
      <c r="B159" t="s">
        <v>205</v>
      </c>
      <c r="C159" t="s">
        <v>13</v>
      </c>
      <c r="D159" t="s">
        <v>98</v>
      </c>
      <c r="E159">
        <v>6</v>
      </c>
      <c r="F159">
        <v>645.03</v>
      </c>
      <c r="G159">
        <f t="shared" si="4"/>
        <v>3870.18</v>
      </c>
      <c r="I159">
        <f t="shared" si="5"/>
        <v>3870.18</v>
      </c>
      <c r="J159" s="1">
        <v>45833</v>
      </c>
      <c r="K159" t="s">
        <v>18</v>
      </c>
      <c r="L159" t="s">
        <v>16</v>
      </c>
      <c r="M159">
        <v>2724.92</v>
      </c>
    </row>
    <row r="160" spans="1:13" x14ac:dyDescent="0.25">
      <c r="A160">
        <v>1158</v>
      </c>
      <c r="B160" t="s">
        <v>206</v>
      </c>
      <c r="C160" t="s">
        <v>36</v>
      </c>
      <c r="D160" t="s">
        <v>59</v>
      </c>
      <c r="E160">
        <v>2</v>
      </c>
      <c r="F160">
        <v>4516.08</v>
      </c>
      <c r="G160">
        <f t="shared" si="4"/>
        <v>9032.16</v>
      </c>
      <c r="I160">
        <f t="shared" si="5"/>
        <v>9032.16</v>
      </c>
      <c r="J160" s="1">
        <v>45844</v>
      </c>
      <c r="K160" t="s">
        <v>15</v>
      </c>
      <c r="L160" t="s">
        <v>23</v>
      </c>
      <c r="M160">
        <v>2164.9499999999998</v>
      </c>
    </row>
    <row r="161" spans="1:13" x14ac:dyDescent="0.25">
      <c r="A161">
        <v>1159</v>
      </c>
      <c r="B161" t="s">
        <v>207</v>
      </c>
      <c r="C161" t="s">
        <v>25</v>
      </c>
      <c r="D161" t="s">
        <v>51</v>
      </c>
      <c r="E161">
        <v>2</v>
      </c>
      <c r="F161">
        <v>3335.18</v>
      </c>
      <c r="G161">
        <f t="shared" si="4"/>
        <v>6670.36</v>
      </c>
      <c r="H161" s="3">
        <v>0.09</v>
      </c>
      <c r="I161">
        <f t="shared" si="5"/>
        <v>6070.0276000000003</v>
      </c>
      <c r="K161" t="s">
        <v>18</v>
      </c>
      <c r="L161" t="s">
        <v>16</v>
      </c>
      <c r="M161">
        <v>235.11</v>
      </c>
    </row>
    <row r="162" spans="1:13" x14ac:dyDescent="0.25">
      <c r="A162">
        <v>1160</v>
      </c>
      <c r="B162" t="s">
        <v>208</v>
      </c>
      <c r="C162" t="s">
        <v>36</v>
      </c>
      <c r="D162" t="s">
        <v>37</v>
      </c>
      <c r="E162">
        <v>0</v>
      </c>
      <c r="G162">
        <f t="shared" si="4"/>
        <v>0</v>
      </c>
      <c r="H162" s="3">
        <v>0.77</v>
      </c>
      <c r="I162">
        <f t="shared" si="5"/>
        <v>0</v>
      </c>
      <c r="J162" s="1">
        <v>45607</v>
      </c>
      <c r="K162" t="s">
        <v>2517</v>
      </c>
      <c r="L162" t="s">
        <v>16</v>
      </c>
      <c r="M162">
        <v>-711.19</v>
      </c>
    </row>
    <row r="163" spans="1:13" x14ac:dyDescent="0.25">
      <c r="A163">
        <v>1161</v>
      </c>
      <c r="B163" t="s">
        <v>209</v>
      </c>
      <c r="C163" t="s">
        <v>31</v>
      </c>
      <c r="D163" t="s">
        <v>68</v>
      </c>
      <c r="E163">
        <v>2</v>
      </c>
      <c r="F163">
        <v>1801.91</v>
      </c>
      <c r="G163">
        <f t="shared" si="4"/>
        <v>3603.82</v>
      </c>
      <c r="I163">
        <f t="shared" si="5"/>
        <v>3603.82</v>
      </c>
      <c r="J163" s="1">
        <v>45352</v>
      </c>
      <c r="K163" t="s">
        <v>22</v>
      </c>
      <c r="L163" t="s">
        <v>16</v>
      </c>
      <c r="M163">
        <v>502.86</v>
      </c>
    </row>
    <row r="164" spans="1:13" x14ac:dyDescent="0.25">
      <c r="A164">
        <v>1162</v>
      </c>
      <c r="B164" t="s">
        <v>210</v>
      </c>
      <c r="C164" t="s">
        <v>25</v>
      </c>
      <c r="D164" t="s">
        <v>82</v>
      </c>
      <c r="E164">
        <v>4</v>
      </c>
      <c r="G164">
        <f t="shared" si="4"/>
        <v>0</v>
      </c>
      <c r="H164" s="3">
        <v>0.14000000000000001</v>
      </c>
      <c r="I164">
        <f t="shared" si="5"/>
        <v>0</v>
      </c>
      <c r="J164" s="1">
        <v>45621</v>
      </c>
      <c r="K164" t="s">
        <v>22</v>
      </c>
      <c r="L164" t="s">
        <v>16</v>
      </c>
      <c r="M164">
        <v>2566.0500000000002</v>
      </c>
    </row>
    <row r="165" spans="1:13" x14ac:dyDescent="0.25">
      <c r="A165">
        <v>1163</v>
      </c>
      <c r="B165" t="s">
        <v>211</v>
      </c>
      <c r="C165" t="s">
        <v>28</v>
      </c>
      <c r="D165" t="s">
        <v>40</v>
      </c>
      <c r="E165">
        <v>2</v>
      </c>
      <c r="F165">
        <v>1033.58</v>
      </c>
      <c r="G165">
        <f t="shared" si="4"/>
        <v>2067.16</v>
      </c>
      <c r="H165" s="3">
        <v>0.68</v>
      </c>
      <c r="I165">
        <f t="shared" si="5"/>
        <v>661.49119999999982</v>
      </c>
      <c r="J165" s="1">
        <v>45666</v>
      </c>
      <c r="K165" t="s">
        <v>38</v>
      </c>
      <c r="L165" t="s">
        <v>16</v>
      </c>
      <c r="M165">
        <v>-441.46</v>
      </c>
    </row>
    <row r="166" spans="1:13" x14ac:dyDescent="0.25">
      <c r="A166">
        <v>1164</v>
      </c>
      <c r="B166" t="s">
        <v>212</v>
      </c>
      <c r="C166" t="s">
        <v>28</v>
      </c>
      <c r="D166" t="s">
        <v>40</v>
      </c>
      <c r="E166">
        <v>5</v>
      </c>
      <c r="G166">
        <f t="shared" si="4"/>
        <v>0</v>
      </c>
      <c r="I166">
        <f t="shared" si="5"/>
        <v>0</v>
      </c>
      <c r="K166" t="s">
        <v>2517</v>
      </c>
      <c r="L166" t="s">
        <v>23</v>
      </c>
      <c r="M166">
        <v>598.79</v>
      </c>
    </row>
    <row r="167" spans="1:13" x14ac:dyDescent="0.25">
      <c r="A167">
        <v>1165</v>
      </c>
      <c r="B167" t="s">
        <v>213</v>
      </c>
      <c r="C167" t="s">
        <v>31</v>
      </c>
      <c r="D167" t="s">
        <v>68</v>
      </c>
      <c r="E167">
        <v>2</v>
      </c>
      <c r="G167">
        <f t="shared" si="4"/>
        <v>0</v>
      </c>
      <c r="H167" s="3">
        <v>0.08</v>
      </c>
      <c r="I167">
        <f t="shared" si="5"/>
        <v>0</v>
      </c>
      <c r="J167" s="1">
        <v>45569</v>
      </c>
      <c r="K167" t="s">
        <v>38</v>
      </c>
      <c r="L167" t="s">
        <v>23</v>
      </c>
      <c r="M167">
        <v>-102.32</v>
      </c>
    </row>
    <row r="168" spans="1:13" x14ac:dyDescent="0.25">
      <c r="A168">
        <v>1166</v>
      </c>
      <c r="B168" t="s">
        <v>214</v>
      </c>
      <c r="C168" t="s">
        <v>20</v>
      </c>
      <c r="D168" t="s">
        <v>76</v>
      </c>
      <c r="E168">
        <v>2</v>
      </c>
      <c r="G168">
        <f t="shared" si="4"/>
        <v>0</v>
      </c>
      <c r="H168" s="3">
        <v>0.91</v>
      </c>
      <c r="I168">
        <f t="shared" si="5"/>
        <v>0</v>
      </c>
      <c r="J168" s="1">
        <v>45165</v>
      </c>
      <c r="K168" t="s">
        <v>18</v>
      </c>
      <c r="L168" t="s">
        <v>16</v>
      </c>
      <c r="M168">
        <v>285.44</v>
      </c>
    </row>
    <row r="169" spans="1:13" x14ac:dyDescent="0.25">
      <c r="A169">
        <v>1167</v>
      </c>
      <c r="B169" t="s">
        <v>215</v>
      </c>
      <c r="C169" t="s">
        <v>31</v>
      </c>
      <c r="D169" t="s">
        <v>42</v>
      </c>
      <c r="E169">
        <v>0</v>
      </c>
      <c r="F169">
        <v>4595.8999999999996</v>
      </c>
      <c r="G169">
        <f t="shared" si="4"/>
        <v>0</v>
      </c>
      <c r="H169" s="3">
        <v>0.09</v>
      </c>
      <c r="I169">
        <f t="shared" si="5"/>
        <v>0</v>
      </c>
      <c r="J169" s="1">
        <v>45791</v>
      </c>
      <c r="K169" t="s">
        <v>38</v>
      </c>
      <c r="L169" t="s">
        <v>16</v>
      </c>
      <c r="M169">
        <v>-653.79999999999995</v>
      </c>
    </row>
    <row r="170" spans="1:13" x14ac:dyDescent="0.25">
      <c r="A170">
        <v>1168</v>
      </c>
      <c r="B170" t="s">
        <v>216</v>
      </c>
      <c r="C170" t="s">
        <v>28</v>
      </c>
      <c r="D170" t="s">
        <v>40</v>
      </c>
      <c r="E170">
        <v>0</v>
      </c>
      <c r="F170">
        <v>3655.71</v>
      </c>
      <c r="G170">
        <f t="shared" si="4"/>
        <v>0</v>
      </c>
      <c r="H170" s="3">
        <v>0.48</v>
      </c>
      <c r="I170">
        <f t="shared" si="5"/>
        <v>0</v>
      </c>
      <c r="J170" s="1">
        <v>45609</v>
      </c>
      <c r="K170" t="s">
        <v>2517</v>
      </c>
      <c r="L170" t="s">
        <v>16</v>
      </c>
      <c r="M170">
        <v>2024.15</v>
      </c>
    </row>
    <row r="171" spans="1:13" x14ac:dyDescent="0.25">
      <c r="A171">
        <v>1169</v>
      </c>
      <c r="B171" t="s">
        <v>217</v>
      </c>
      <c r="C171" t="s">
        <v>31</v>
      </c>
      <c r="D171" t="s">
        <v>68</v>
      </c>
      <c r="E171">
        <v>-1</v>
      </c>
      <c r="F171">
        <v>2948.26</v>
      </c>
      <c r="G171">
        <f t="shared" si="4"/>
        <v>-2948.26</v>
      </c>
      <c r="H171" s="3">
        <v>0.9</v>
      </c>
      <c r="I171">
        <f t="shared" si="5"/>
        <v>-294.82599999999996</v>
      </c>
      <c r="K171" t="s">
        <v>44</v>
      </c>
      <c r="L171" t="s">
        <v>16</v>
      </c>
      <c r="M171">
        <v>1285.1500000000001</v>
      </c>
    </row>
    <row r="172" spans="1:13" x14ac:dyDescent="0.25">
      <c r="A172">
        <v>1170</v>
      </c>
      <c r="B172" t="s">
        <v>218</v>
      </c>
      <c r="C172" t="s">
        <v>13</v>
      </c>
      <c r="D172" t="s">
        <v>47</v>
      </c>
      <c r="E172">
        <v>0</v>
      </c>
      <c r="G172">
        <f t="shared" si="4"/>
        <v>0</v>
      </c>
      <c r="H172" s="3">
        <v>0.76</v>
      </c>
      <c r="I172">
        <f t="shared" si="5"/>
        <v>0</v>
      </c>
      <c r="K172" t="s">
        <v>15</v>
      </c>
      <c r="L172" t="s">
        <v>16</v>
      </c>
      <c r="M172">
        <v>-528.70000000000005</v>
      </c>
    </row>
    <row r="173" spans="1:13" x14ac:dyDescent="0.25">
      <c r="A173">
        <v>1171</v>
      </c>
      <c r="B173" t="s">
        <v>219</v>
      </c>
      <c r="C173" t="s">
        <v>13</v>
      </c>
      <c r="D173" t="s">
        <v>47</v>
      </c>
      <c r="E173">
        <v>1</v>
      </c>
      <c r="G173">
        <f t="shared" si="4"/>
        <v>0</v>
      </c>
      <c r="I173">
        <f t="shared" si="5"/>
        <v>0</v>
      </c>
      <c r="J173" s="1">
        <v>45824</v>
      </c>
      <c r="K173" t="s">
        <v>44</v>
      </c>
      <c r="L173" t="s">
        <v>23</v>
      </c>
      <c r="M173">
        <v>2475.83</v>
      </c>
    </row>
    <row r="174" spans="1:13" x14ac:dyDescent="0.25">
      <c r="A174">
        <v>1172</v>
      </c>
      <c r="B174" t="s">
        <v>220</v>
      </c>
      <c r="C174" t="s">
        <v>20</v>
      </c>
      <c r="D174" t="s">
        <v>21</v>
      </c>
      <c r="E174">
        <v>-2</v>
      </c>
      <c r="F174">
        <v>2719.32</v>
      </c>
      <c r="G174">
        <f t="shared" si="4"/>
        <v>-5438.64</v>
      </c>
      <c r="I174">
        <f t="shared" si="5"/>
        <v>-5438.64</v>
      </c>
      <c r="J174" s="1">
        <v>45779</v>
      </c>
      <c r="K174" t="s">
        <v>2517</v>
      </c>
      <c r="L174" t="s">
        <v>16</v>
      </c>
      <c r="M174">
        <v>655.1</v>
      </c>
    </row>
    <row r="175" spans="1:13" x14ac:dyDescent="0.25">
      <c r="A175">
        <v>1173</v>
      </c>
      <c r="B175" t="s">
        <v>221</v>
      </c>
      <c r="C175" t="s">
        <v>13</v>
      </c>
      <c r="D175" t="s">
        <v>34</v>
      </c>
      <c r="E175">
        <v>2</v>
      </c>
      <c r="F175">
        <v>4063.39</v>
      </c>
      <c r="G175">
        <f t="shared" si="4"/>
        <v>8126.78</v>
      </c>
      <c r="I175">
        <f t="shared" si="5"/>
        <v>8126.78</v>
      </c>
      <c r="K175" t="s">
        <v>38</v>
      </c>
      <c r="L175" t="s">
        <v>16</v>
      </c>
      <c r="M175">
        <v>2034.39</v>
      </c>
    </row>
    <row r="176" spans="1:13" x14ac:dyDescent="0.25">
      <c r="A176">
        <v>1174</v>
      </c>
      <c r="B176" t="s">
        <v>222</v>
      </c>
      <c r="C176" t="s">
        <v>20</v>
      </c>
      <c r="D176" t="s">
        <v>118</v>
      </c>
      <c r="E176">
        <v>6</v>
      </c>
      <c r="F176">
        <v>4984.6499999999996</v>
      </c>
      <c r="G176">
        <f t="shared" si="4"/>
        <v>29907.899999999998</v>
      </c>
      <c r="H176" s="3">
        <v>0.42</v>
      </c>
      <c r="I176">
        <f t="shared" si="5"/>
        <v>17346.582000000002</v>
      </c>
      <c r="J176" s="1">
        <v>45649</v>
      </c>
      <c r="K176" t="s">
        <v>38</v>
      </c>
      <c r="L176" t="s">
        <v>16</v>
      </c>
      <c r="M176">
        <v>2931.32</v>
      </c>
    </row>
    <row r="177" spans="1:13" x14ac:dyDescent="0.25">
      <c r="A177">
        <v>1175</v>
      </c>
      <c r="B177" t="s">
        <v>223</v>
      </c>
      <c r="C177" t="s">
        <v>36</v>
      </c>
      <c r="D177" t="s">
        <v>37</v>
      </c>
      <c r="E177">
        <v>3</v>
      </c>
      <c r="G177">
        <f t="shared" si="4"/>
        <v>0</v>
      </c>
      <c r="I177">
        <f t="shared" si="5"/>
        <v>0</v>
      </c>
      <c r="J177" s="1">
        <v>45566</v>
      </c>
      <c r="K177" t="s">
        <v>18</v>
      </c>
      <c r="L177" t="s">
        <v>16</v>
      </c>
      <c r="M177">
        <v>728.61</v>
      </c>
    </row>
    <row r="178" spans="1:13" x14ac:dyDescent="0.25">
      <c r="A178">
        <v>1176</v>
      </c>
      <c r="B178" t="s">
        <v>224</v>
      </c>
      <c r="C178" t="s">
        <v>13</v>
      </c>
      <c r="D178" t="s">
        <v>34</v>
      </c>
      <c r="E178">
        <v>6</v>
      </c>
      <c r="G178">
        <f t="shared" si="4"/>
        <v>0</v>
      </c>
      <c r="H178" s="3">
        <v>0.87</v>
      </c>
      <c r="I178">
        <f t="shared" si="5"/>
        <v>0</v>
      </c>
      <c r="K178" t="s">
        <v>22</v>
      </c>
      <c r="L178" t="s">
        <v>23</v>
      </c>
      <c r="M178">
        <v>-879.15</v>
      </c>
    </row>
    <row r="179" spans="1:13" x14ac:dyDescent="0.25">
      <c r="A179">
        <v>1177</v>
      </c>
      <c r="B179" t="s">
        <v>225</v>
      </c>
      <c r="C179" t="s">
        <v>13</v>
      </c>
      <c r="D179" t="s">
        <v>47</v>
      </c>
      <c r="E179">
        <v>2</v>
      </c>
      <c r="F179">
        <v>2426.13</v>
      </c>
      <c r="G179">
        <f t="shared" si="4"/>
        <v>4852.26</v>
      </c>
      <c r="I179">
        <f t="shared" si="5"/>
        <v>4852.26</v>
      </c>
      <c r="J179" s="1">
        <v>45746</v>
      </c>
      <c r="K179" t="s">
        <v>18</v>
      </c>
      <c r="L179" t="s">
        <v>16</v>
      </c>
      <c r="M179">
        <v>353.91</v>
      </c>
    </row>
    <row r="180" spans="1:13" x14ac:dyDescent="0.25">
      <c r="A180">
        <v>1178</v>
      </c>
      <c r="B180" t="s">
        <v>226</v>
      </c>
      <c r="C180" t="s">
        <v>31</v>
      </c>
      <c r="D180" t="s">
        <v>32</v>
      </c>
      <c r="E180">
        <v>4</v>
      </c>
      <c r="F180">
        <v>1204.5899999999999</v>
      </c>
      <c r="G180">
        <f t="shared" si="4"/>
        <v>4818.3599999999997</v>
      </c>
      <c r="I180">
        <f t="shared" si="5"/>
        <v>4818.3599999999997</v>
      </c>
      <c r="K180" t="s">
        <v>2517</v>
      </c>
      <c r="L180" t="s">
        <v>16</v>
      </c>
      <c r="M180">
        <v>2161.64</v>
      </c>
    </row>
    <row r="181" spans="1:13" x14ac:dyDescent="0.25">
      <c r="A181">
        <v>1179</v>
      </c>
      <c r="B181" t="s">
        <v>227</v>
      </c>
      <c r="C181" t="s">
        <v>20</v>
      </c>
      <c r="D181" t="s">
        <v>76</v>
      </c>
      <c r="E181">
        <v>0</v>
      </c>
      <c r="G181">
        <f t="shared" si="4"/>
        <v>0</v>
      </c>
      <c r="I181">
        <f t="shared" si="5"/>
        <v>0</v>
      </c>
      <c r="J181" s="1">
        <v>45751</v>
      </c>
      <c r="K181" t="s">
        <v>22</v>
      </c>
      <c r="L181" t="s">
        <v>16</v>
      </c>
      <c r="M181">
        <v>510.53</v>
      </c>
    </row>
    <row r="182" spans="1:13" x14ac:dyDescent="0.25">
      <c r="A182">
        <v>1180</v>
      </c>
      <c r="B182" t="s">
        <v>228</v>
      </c>
      <c r="C182" t="s">
        <v>36</v>
      </c>
      <c r="D182" t="s">
        <v>87</v>
      </c>
      <c r="E182">
        <v>6</v>
      </c>
      <c r="F182">
        <v>2495.96</v>
      </c>
      <c r="G182">
        <f t="shared" si="4"/>
        <v>14975.76</v>
      </c>
      <c r="I182">
        <f t="shared" si="5"/>
        <v>14975.76</v>
      </c>
      <c r="K182" t="s">
        <v>2517</v>
      </c>
      <c r="L182" t="s">
        <v>16</v>
      </c>
      <c r="M182">
        <v>835.4</v>
      </c>
    </row>
    <row r="183" spans="1:13" x14ac:dyDescent="0.25">
      <c r="A183">
        <v>1181</v>
      </c>
      <c r="B183" t="s">
        <v>229</v>
      </c>
      <c r="C183" t="s">
        <v>20</v>
      </c>
      <c r="D183" t="s">
        <v>76</v>
      </c>
      <c r="E183">
        <v>2</v>
      </c>
      <c r="G183">
        <f t="shared" si="4"/>
        <v>0</v>
      </c>
      <c r="I183">
        <f t="shared" si="5"/>
        <v>0</v>
      </c>
      <c r="J183" s="1">
        <v>45732</v>
      </c>
      <c r="K183" t="s">
        <v>22</v>
      </c>
      <c r="L183" t="s">
        <v>23</v>
      </c>
      <c r="M183">
        <v>2564.06</v>
      </c>
    </row>
    <row r="184" spans="1:13" x14ac:dyDescent="0.25">
      <c r="A184">
        <v>1182</v>
      </c>
      <c r="B184" t="s">
        <v>230</v>
      </c>
      <c r="C184" t="s">
        <v>13</v>
      </c>
      <c r="D184" t="s">
        <v>14</v>
      </c>
      <c r="E184">
        <v>-1</v>
      </c>
      <c r="G184">
        <f t="shared" si="4"/>
        <v>0</v>
      </c>
      <c r="I184">
        <f t="shared" si="5"/>
        <v>0</v>
      </c>
      <c r="J184" s="1">
        <v>45510</v>
      </c>
      <c r="K184" t="s">
        <v>44</v>
      </c>
      <c r="L184" t="s">
        <v>16</v>
      </c>
      <c r="M184">
        <v>-747.25</v>
      </c>
    </row>
    <row r="185" spans="1:13" x14ac:dyDescent="0.25">
      <c r="A185">
        <v>1183</v>
      </c>
      <c r="B185" t="s">
        <v>231</v>
      </c>
      <c r="C185" t="s">
        <v>28</v>
      </c>
      <c r="D185" t="s">
        <v>116</v>
      </c>
      <c r="E185">
        <v>6</v>
      </c>
      <c r="F185">
        <v>2372.3000000000002</v>
      </c>
      <c r="G185">
        <f t="shared" si="4"/>
        <v>14233.800000000001</v>
      </c>
      <c r="I185">
        <f t="shared" si="5"/>
        <v>14233.800000000001</v>
      </c>
      <c r="J185" s="1">
        <v>45378</v>
      </c>
      <c r="K185" t="s">
        <v>15</v>
      </c>
      <c r="L185" t="s">
        <v>16</v>
      </c>
      <c r="M185">
        <v>1888.87</v>
      </c>
    </row>
    <row r="186" spans="1:13" x14ac:dyDescent="0.25">
      <c r="A186">
        <v>1184</v>
      </c>
      <c r="B186" t="s">
        <v>232</v>
      </c>
      <c r="C186" t="s">
        <v>13</v>
      </c>
      <c r="D186" t="s">
        <v>98</v>
      </c>
      <c r="E186">
        <v>0</v>
      </c>
      <c r="F186">
        <v>2697.1</v>
      </c>
      <c r="G186">
        <f t="shared" si="4"/>
        <v>0</v>
      </c>
      <c r="I186">
        <f t="shared" si="5"/>
        <v>0</v>
      </c>
      <c r="J186" s="1">
        <v>45829</v>
      </c>
      <c r="K186" t="s">
        <v>15</v>
      </c>
      <c r="L186" t="s">
        <v>23</v>
      </c>
      <c r="M186">
        <v>1518.99</v>
      </c>
    </row>
    <row r="187" spans="1:13" x14ac:dyDescent="0.25">
      <c r="A187">
        <v>1185</v>
      </c>
      <c r="B187" t="s">
        <v>233</v>
      </c>
      <c r="C187" t="s">
        <v>28</v>
      </c>
      <c r="D187" t="s">
        <v>29</v>
      </c>
      <c r="E187">
        <v>2</v>
      </c>
      <c r="G187">
        <f t="shared" si="4"/>
        <v>0</v>
      </c>
      <c r="I187">
        <f t="shared" si="5"/>
        <v>0</v>
      </c>
      <c r="J187" s="1">
        <v>45791</v>
      </c>
      <c r="K187" t="s">
        <v>15</v>
      </c>
      <c r="L187" t="s">
        <v>16</v>
      </c>
      <c r="M187">
        <v>-445.19</v>
      </c>
    </row>
    <row r="188" spans="1:13" x14ac:dyDescent="0.25">
      <c r="A188">
        <v>1186</v>
      </c>
      <c r="B188" t="s">
        <v>234</v>
      </c>
      <c r="C188" t="s">
        <v>13</v>
      </c>
      <c r="D188" t="s">
        <v>34</v>
      </c>
      <c r="E188">
        <v>6</v>
      </c>
      <c r="G188">
        <f t="shared" si="4"/>
        <v>0</v>
      </c>
      <c r="H188" s="3">
        <v>0.71</v>
      </c>
      <c r="I188">
        <f t="shared" si="5"/>
        <v>0</v>
      </c>
      <c r="J188" s="1">
        <v>45820</v>
      </c>
      <c r="K188" t="s">
        <v>38</v>
      </c>
      <c r="L188" t="s">
        <v>23</v>
      </c>
      <c r="M188">
        <v>-40.479999999999997</v>
      </c>
    </row>
    <row r="189" spans="1:13" x14ac:dyDescent="0.25">
      <c r="A189">
        <v>1187</v>
      </c>
      <c r="B189" t="s">
        <v>235</v>
      </c>
      <c r="C189" t="s">
        <v>28</v>
      </c>
      <c r="D189" t="s">
        <v>29</v>
      </c>
      <c r="E189">
        <v>3</v>
      </c>
      <c r="F189">
        <v>3810.89</v>
      </c>
      <c r="G189">
        <f t="shared" si="4"/>
        <v>11432.67</v>
      </c>
      <c r="I189">
        <f t="shared" si="5"/>
        <v>11432.67</v>
      </c>
      <c r="K189" t="s">
        <v>22</v>
      </c>
      <c r="L189" t="s">
        <v>16</v>
      </c>
      <c r="M189">
        <v>1153.72</v>
      </c>
    </row>
    <row r="190" spans="1:13" x14ac:dyDescent="0.25">
      <c r="A190">
        <v>1188</v>
      </c>
      <c r="B190" t="s">
        <v>236</v>
      </c>
      <c r="C190" t="s">
        <v>28</v>
      </c>
      <c r="D190" t="s">
        <v>29</v>
      </c>
      <c r="E190">
        <v>6</v>
      </c>
      <c r="F190">
        <v>4910.28</v>
      </c>
      <c r="G190">
        <f t="shared" si="4"/>
        <v>29461.68</v>
      </c>
      <c r="H190" s="3">
        <v>0.12</v>
      </c>
      <c r="I190">
        <f t="shared" si="5"/>
        <v>25926.278399999999</v>
      </c>
      <c r="J190" s="1">
        <v>45531</v>
      </c>
      <c r="K190" t="s">
        <v>38</v>
      </c>
      <c r="L190" t="s">
        <v>16</v>
      </c>
      <c r="M190">
        <v>2089.25</v>
      </c>
    </row>
    <row r="191" spans="1:13" x14ac:dyDescent="0.25">
      <c r="A191">
        <v>1189</v>
      </c>
      <c r="B191" t="s">
        <v>237</v>
      </c>
      <c r="C191" t="s">
        <v>31</v>
      </c>
      <c r="D191" t="s">
        <v>42</v>
      </c>
      <c r="E191">
        <v>2</v>
      </c>
      <c r="F191">
        <v>4808.1000000000004</v>
      </c>
      <c r="G191">
        <f t="shared" si="4"/>
        <v>9616.2000000000007</v>
      </c>
      <c r="I191">
        <f t="shared" si="5"/>
        <v>9616.2000000000007</v>
      </c>
      <c r="J191" s="1">
        <v>45685</v>
      </c>
      <c r="K191" t="s">
        <v>18</v>
      </c>
      <c r="L191" t="s">
        <v>16</v>
      </c>
      <c r="M191">
        <v>392.87</v>
      </c>
    </row>
    <row r="192" spans="1:13" x14ac:dyDescent="0.25">
      <c r="A192">
        <v>1190</v>
      </c>
      <c r="B192" t="s">
        <v>238</v>
      </c>
      <c r="C192" t="s">
        <v>20</v>
      </c>
      <c r="D192" t="s">
        <v>21</v>
      </c>
      <c r="E192">
        <v>2</v>
      </c>
      <c r="G192">
        <f t="shared" si="4"/>
        <v>0</v>
      </c>
      <c r="H192" s="3">
        <v>0.63</v>
      </c>
      <c r="I192">
        <f t="shared" si="5"/>
        <v>0</v>
      </c>
      <c r="J192" s="1">
        <v>45804</v>
      </c>
      <c r="K192" t="s">
        <v>44</v>
      </c>
      <c r="L192" t="s">
        <v>23</v>
      </c>
      <c r="M192">
        <v>75.040000000000006</v>
      </c>
    </row>
    <row r="193" spans="1:13" x14ac:dyDescent="0.25">
      <c r="A193">
        <v>1191</v>
      </c>
      <c r="B193" t="s">
        <v>239</v>
      </c>
      <c r="C193" t="s">
        <v>28</v>
      </c>
      <c r="D193" t="s">
        <v>29</v>
      </c>
      <c r="E193">
        <v>2</v>
      </c>
      <c r="F193">
        <v>2469.87</v>
      </c>
      <c r="G193">
        <f t="shared" si="4"/>
        <v>4939.74</v>
      </c>
      <c r="H193" s="3">
        <v>0.56000000000000005</v>
      </c>
      <c r="I193">
        <f t="shared" si="5"/>
        <v>2173.4855999999995</v>
      </c>
      <c r="K193" t="s">
        <v>22</v>
      </c>
      <c r="L193" t="s">
        <v>16</v>
      </c>
      <c r="M193">
        <v>2860.2</v>
      </c>
    </row>
    <row r="194" spans="1:13" x14ac:dyDescent="0.25">
      <c r="A194">
        <v>1010</v>
      </c>
      <c r="B194" t="s">
        <v>240</v>
      </c>
      <c r="C194" t="s">
        <v>31</v>
      </c>
      <c r="D194" t="s">
        <v>32</v>
      </c>
      <c r="E194">
        <v>0</v>
      </c>
      <c r="G194">
        <f t="shared" si="4"/>
        <v>0</v>
      </c>
      <c r="I194">
        <f t="shared" si="5"/>
        <v>0</v>
      </c>
      <c r="K194" t="s">
        <v>2517</v>
      </c>
      <c r="L194" t="s">
        <v>16</v>
      </c>
      <c r="M194">
        <v>2709.47</v>
      </c>
    </row>
    <row r="195" spans="1:13" x14ac:dyDescent="0.25">
      <c r="A195">
        <v>1193</v>
      </c>
      <c r="B195" t="s">
        <v>241</v>
      </c>
      <c r="C195" t="s">
        <v>36</v>
      </c>
      <c r="D195" t="s">
        <v>37</v>
      </c>
      <c r="E195">
        <v>2</v>
      </c>
      <c r="F195">
        <v>3031.06</v>
      </c>
      <c r="G195">
        <f t="shared" ref="G195:G258" si="6">F195*E195</f>
        <v>6062.12</v>
      </c>
      <c r="I195">
        <f t="shared" ref="I195:I258" si="7">G195*(1-H195)</f>
        <v>6062.12</v>
      </c>
      <c r="J195" s="1">
        <v>45512</v>
      </c>
      <c r="K195" t="s">
        <v>44</v>
      </c>
      <c r="L195" t="s">
        <v>23</v>
      </c>
      <c r="M195">
        <v>-682.74</v>
      </c>
    </row>
    <row r="196" spans="1:13" x14ac:dyDescent="0.25">
      <c r="A196">
        <v>1032</v>
      </c>
      <c r="B196" t="s">
        <v>242</v>
      </c>
      <c r="C196" t="s">
        <v>28</v>
      </c>
      <c r="D196" t="s">
        <v>40</v>
      </c>
      <c r="E196">
        <v>2</v>
      </c>
      <c r="G196">
        <f t="shared" si="6"/>
        <v>0</v>
      </c>
      <c r="I196">
        <f t="shared" si="7"/>
        <v>0</v>
      </c>
      <c r="J196" s="1">
        <v>45847</v>
      </c>
      <c r="K196" t="s">
        <v>18</v>
      </c>
      <c r="L196" t="s">
        <v>16</v>
      </c>
      <c r="M196">
        <v>1941.65</v>
      </c>
    </row>
    <row r="197" spans="1:13" x14ac:dyDescent="0.25">
      <c r="A197">
        <v>1195</v>
      </c>
      <c r="B197" t="s">
        <v>243</v>
      </c>
      <c r="C197" t="s">
        <v>36</v>
      </c>
      <c r="D197" t="s">
        <v>59</v>
      </c>
      <c r="E197">
        <v>2</v>
      </c>
      <c r="G197">
        <f t="shared" si="6"/>
        <v>0</v>
      </c>
      <c r="H197" s="3">
        <v>1.2</v>
      </c>
      <c r="I197">
        <f t="shared" si="7"/>
        <v>0</v>
      </c>
      <c r="K197" t="s">
        <v>22</v>
      </c>
      <c r="L197" t="s">
        <v>16</v>
      </c>
      <c r="M197">
        <v>1059.17</v>
      </c>
    </row>
    <row r="198" spans="1:13" x14ac:dyDescent="0.25">
      <c r="A198">
        <v>1196</v>
      </c>
      <c r="B198" t="s">
        <v>244</v>
      </c>
      <c r="C198" t="s">
        <v>13</v>
      </c>
      <c r="D198" t="s">
        <v>14</v>
      </c>
      <c r="E198">
        <v>2</v>
      </c>
      <c r="F198">
        <v>3959.06</v>
      </c>
      <c r="G198">
        <f t="shared" si="6"/>
        <v>7918.12</v>
      </c>
      <c r="H198" s="3">
        <v>0.37</v>
      </c>
      <c r="I198">
        <f t="shared" si="7"/>
        <v>4988.4156000000003</v>
      </c>
      <c r="J198" s="1">
        <v>45791</v>
      </c>
      <c r="K198" t="s">
        <v>2517</v>
      </c>
      <c r="L198" t="s">
        <v>23</v>
      </c>
      <c r="M198">
        <v>1539.5</v>
      </c>
    </row>
    <row r="199" spans="1:13" x14ac:dyDescent="0.25">
      <c r="A199">
        <v>1197</v>
      </c>
      <c r="B199" t="s">
        <v>245</v>
      </c>
      <c r="C199" t="s">
        <v>20</v>
      </c>
      <c r="D199" t="s">
        <v>84</v>
      </c>
      <c r="E199">
        <v>1</v>
      </c>
      <c r="G199">
        <f t="shared" si="6"/>
        <v>0</v>
      </c>
      <c r="I199">
        <f t="shared" si="7"/>
        <v>0</v>
      </c>
      <c r="K199" t="s">
        <v>2517</v>
      </c>
      <c r="L199" t="s">
        <v>23</v>
      </c>
      <c r="M199">
        <v>650.97</v>
      </c>
    </row>
    <row r="200" spans="1:13" x14ac:dyDescent="0.25">
      <c r="A200">
        <v>1198</v>
      </c>
      <c r="B200" t="s">
        <v>246</v>
      </c>
      <c r="C200" t="s">
        <v>28</v>
      </c>
      <c r="D200" t="s">
        <v>40</v>
      </c>
      <c r="E200">
        <v>3</v>
      </c>
      <c r="F200">
        <v>3594.97</v>
      </c>
      <c r="G200">
        <f t="shared" si="6"/>
        <v>10784.91</v>
      </c>
      <c r="I200">
        <f t="shared" si="7"/>
        <v>10784.91</v>
      </c>
      <c r="J200" s="1">
        <v>45764</v>
      </c>
      <c r="K200" t="s">
        <v>15</v>
      </c>
      <c r="L200" t="s">
        <v>16</v>
      </c>
      <c r="M200">
        <v>2422.27</v>
      </c>
    </row>
    <row r="201" spans="1:13" x14ac:dyDescent="0.25">
      <c r="A201">
        <v>1199</v>
      </c>
      <c r="B201" t="s">
        <v>247</v>
      </c>
      <c r="C201" t="s">
        <v>25</v>
      </c>
      <c r="D201" t="s">
        <v>82</v>
      </c>
      <c r="E201">
        <v>2</v>
      </c>
      <c r="F201">
        <v>2317.1</v>
      </c>
      <c r="G201">
        <f t="shared" si="6"/>
        <v>4634.2</v>
      </c>
      <c r="I201">
        <f t="shared" si="7"/>
        <v>4634.2</v>
      </c>
      <c r="J201" s="1">
        <v>45690</v>
      </c>
      <c r="K201" t="s">
        <v>38</v>
      </c>
      <c r="L201" t="s">
        <v>16</v>
      </c>
      <c r="M201">
        <v>2637.77</v>
      </c>
    </row>
    <row r="202" spans="1:13" x14ac:dyDescent="0.25">
      <c r="A202">
        <v>1200</v>
      </c>
      <c r="B202" t="s">
        <v>248</v>
      </c>
      <c r="C202" t="s">
        <v>25</v>
      </c>
      <c r="D202" t="s">
        <v>51</v>
      </c>
      <c r="E202">
        <v>4</v>
      </c>
      <c r="G202">
        <f t="shared" si="6"/>
        <v>0</v>
      </c>
      <c r="I202">
        <f t="shared" si="7"/>
        <v>0</v>
      </c>
      <c r="K202" t="s">
        <v>2517</v>
      </c>
      <c r="L202" t="s">
        <v>16</v>
      </c>
      <c r="M202">
        <v>2782.21</v>
      </c>
    </row>
    <row r="203" spans="1:13" x14ac:dyDescent="0.25">
      <c r="A203">
        <v>1201</v>
      </c>
      <c r="B203" t="s">
        <v>249</v>
      </c>
      <c r="C203" t="s">
        <v>20</v>
      </c>
      <c r="D203" t="s">
        <v>76</v>
      </c>
      <c r="E203">
        <v>2</v>
      </c>
      <c r="F203">
        <v>3507.85</v>
      </c>
      <c r="G203">
        <f t="shared" si="6"/>
        <v>7015.7</v>
      </c>
      <c r="I203">
        <f t="shared" si="7"/>
        <v>7015.7</v>
      </c>
      <c r="J203" s="1">
        <v>45667</v>
      </c>
      <c r="K203" t="s">
        <v>44</v>
      </c>
      <c r="L203" t="s">
        <v>23</v>
      </c>
      <c r="M203">
        <v>1023.04</v>
      </c>
    </row>
    <row r="204" spans="1:13" x14ac:dyDescent="0.25">
      <c r="A204">
        <v>1202</v>
      </c>
      <c r="B204" t="s">
        <v>250</v>
      </c>
      <c r="C204" t="s">
        <v>28</v>
      </c>
      <c r="D204" t="s">
        <v>40</v>
      </c>
      <c r="E204">
        <v>2</v>
      </c>
      <c r="G204">
        <f t="shared" si="6"/>
        <v>0</v>
      </c>
      <c r="I204">
        <f t="shared" si="7"/>
        <v>0</v>
      </c>
      <c r="J204" s="1">
        <v>45739</v>
      </c>
      <c r="K204" t="s">
        <v>38</v>
      </c>
      <c r="L204" t="s">
        <v>16</v>
      </c>
      <c r="M204">
        <v>-207.53</v>
      </c>
    </row>
    <row r="205" spans="1:13" x14ac:dyDescent="0.25">
      <c r="A205">
        <v>1203</v>
      </c>
      <c r="B205" t="s">
        <v>251</v>
      </c>
      <c r="C205" t="s">
        <v>31</v>
      </c>
      <c r="D205" t="s">
        <v>32</v>
      </c>
      <c r="E205">
        <v>5</v>
      </c>
      <c r="G205">
        <f t="shared" si="6"/>
        <v>0</v>
      </c>
      <c r="I205">
        <f t="shared" si="7"/>
        <v>0</v>
      </c>
      <c r="J205" s="1">
        <v>45671</v>
      </c>
      <c r="K205" t="s">
        <v>2517</v>
      </c>
      <c r="L205" t="s">
        <v>16</v>
      </c>
      <c r="M205">
        <v>657.59</v>
      </c>
    </row>
    <row r="206" spans="1:13" x14ac:dyDescent="0.25">
      <c r="A206">
        <v>1204</v>
      </c>
      <c r="B206" t="s">
        <v>252</v>
      </c>
      <c r="C206" t="s">
        <v>25</v>
      </c>
      <c r="D206" t="s">
        <v>62</v>
      </c>
      <c r="E206">
        <v>2</v>
      </c>
      <c r="F206">
        <v>4213.3999999999996</v>
      </c>
      <c r="G206">
        <f t="shared" si="6"/>
        <v>8426.7999999999993</v>
      </c>
      <c r="I206">
        <f t="shared" si="7"/>
        <v>8426.7999999999993</v>
      </c>
      <c r="J206" s="1">
        <v>45608</v>
      </c>
      <c r="K206" t="s">
        <v>44</v>
      </c>
      <c r="L206" t="s">
        <v>23</v>
      </c>
      <c r="M206">
        <v>1867.53</v>
      </c>
    </row>
    <row r="207" spans="1:13" x14ac:dyDescent="0.25">
      <c r="A207">
        <v>1205</v>
      </c>
      <c r="B207" t="s">
        <v>253</v>
      </c>
      <c r="C207" t="s">
        <v>13</v>
      </c>
      <c r="D207" t="s">
        <v>14</v>
      </c>
      <c r="E207">
        <v>2</v>
      </c>
      <c r="F207">
        <v>696.49</v>
      </c>
      <c r="G207">
        <f t="shared" si="6"/>
        <v>1392.98</v>
      </c>
      <c r="I207">
        <f t="shared" si="7"/>
        <v>1392.98</v>
      </c>
      <c r="J207" s="1">
        <v>45819</v>
      </c>
      <c r="K207" t="s">
        <v>15</v>
      </c>
      <c r="L207" t="s">
        <v>16</v>
      </c>
      <c r="M207">
        <v>-24.51</v>
      </c>
    </row>
    <row r="208" spans="1:13" x14ac:dyDescent="0.25">
      <c r="A208">
        <v>1206</v>
      </c>
      <c r="B208" t="s">
        <v>254</v>
      </c>
      <c r="C208" t="s">
        <v>31</v>
      </c>
      <c r="D208" t="s">
        <v>68</v>
      </c>
      <c r="E208">
        <v>0</v>
      </c>
      <c r="G208">
        <f t="shared" si="6"/>
        <v>0</v>
      </c>
      <c r="I208">
        <f t="shared" si="7"/>
        <v>0</v>
      </c>
      <c r="J208" s="1">
        <v>45747</v>
      </c>
      <c r="K208" t="s">
        <v>2517</v>
      </c>
      <c r="L208" t="s">
        <v>16</v>
      </c>
      <c r="M208">
        <v>2472.2399999999998</v>
      </c>
    </row>
    <row r="209" spans="1:13" x14ac:dyDescent="0.25">
      <c r="A209">
        <v>1207</v>
      </c>
      <c r="B209" t="s">
        <v>255</v>
      </c>
      <c r="C209" t="s">
        <v>13</v>
      </c>
      <c r="D209" t="s">
        <v>47</v>
      </c>
      <c r="E209">
        <v>2</v>
      </c>
      <c r="F209">
        <v>563.14</v>
      </c>
      <c r="G209">
        <f t="shared" si="6"/>
        <v>1126.28</v>
      </c>
      <c r="H209" s="3">
        <v>0.33</v>
      </c>
      <c r="I209">
        <f t="shared" si="7"/>
        <v>754.60759999999993</v>
      </c>
      <c r="J209" s="1">
        <v>45433</v>
      </c>
      <c r="K209" t="s">
        <v>18</v>
      </c>
      <c r="L209" t="s">
        <v>23</v>
      </c>
      <c r="M209">
        <v>945.7</v>
      </c>
    </row>
    <row r="210" spans="1:13" x14ac:dyDescent="0.25">
      <c r="A210">
        <v>1208</v>
      </c>
      <c r="B210" t="s">
        <v>256</v>
      </c>
      <c r="C210" t="s">
        <v>20</v>
      </c>
      <c r="D210" t="s">
        <v>84</v>
      </c>
      <c r="E210">
        <v>1</v>
      </c>
      <c r="G210">
        <f t="shared" si="6"/>
        <v>0</v>
      </c>
      <c r="I210">
        <f t="shared" si="7"/>
        <v>0</v>
      </c>
      <c r="J210" s="1">
        <v>45667</v>
      </c>
      <c r="K210" t="s">
        <v>22</v>
      </c>
      <c r="L210" t="s">
        <v>16</v>
      </c>
      <c r="M210">
        <v>648.73</v>
      </c>
    </row>
    <row r="211" spans="1:13" x14ac:dyDescent="0.25">
      <c r="A211">
        <v>1209</v>
      </c>
      <c r="B211" t="s">
        <v>257</v>
      </c>
      <c r="C211" t="s">
        <v>28</v>
      </c>
      <c r="D211" t="s">
        <v>116</v>
      </c>
      <c r="E211">
        <v>2</v>
      </c>
      <c r="F211">
        <v>4029.87</v>
      </c>
      <c r="G211">
        <f t="shared" si="6"/>
        <v>8059.74</v>
      </c>
      <c r="I211">
        <f t="shared" si="7"/>
        <v>8059.74</v>
      </c>
      <c r="J211" s="1">
        <v>45666</v>
      </c>
      <c r="K211" t="s">
        <v>18</v>
      </c>
      <c r="L211" t="s">
        <v>16</v>
      </c>
      <c r="M211">
        <v>1447.79</v>
      </c>
    </row>
    <row r="212" spans="1:13" x14ac:dyDescent="0.25">
      <c r="A212">
        <v>1210</v>
      </c>
      <c r="B212" t="s">
        <v>258</v>
      </c>
      <c r="C212" t="s">
        <v>28</v>
      </c>
      <c r="D212" t="s">
        <v>116</v>
      </c>
      <c r="E212">
        <v>4</v>
      </c>
      <c r="G212">
        <f t="shared" si="6"/>
        <v>0</v>
      </c>
      <c r="H212" s="3">
        <v>1.1599999999999999</v>
      </c>
      <c r="I212">
        <f t="shared" si="7"/>
        <v>0</v>
      </c>
      <c r="J212" s="1">
        <v>45803</v>
      </c>
      <c r="K212" t="s">
        <v>15</v>
      </c>
      <c r="L212" t="s">
        <v>16</v>
      </c>
      <c r="M212">
        <v>2179.54</v>
      </c>
    </row>
    <row r="213" spans="1:13" x14ac:dyDescent="0.25">
      <c r="A213">
        <v>1211</v>
      </c>
      <c r="B213" t="s">
        <v>259</v>
      </c>
      <c r="C213" t="s">
        <v>13</v>
      </c>
      <c r="D213" t="s">
        <v>98</v>
      </c>
      <c r="E213">
        <v>2</v>
      </c>
      <c r="F213">
        <v>1560.37</v>
      </c>
      <c r="G213">
        <f t="shared" si="6"/>
        <v>3120.74</v>
      </c>
      <c r="I213">
        <f t="shared" si="7"/>
        <v>3120.74</v>
      </c>
      <c r="J213" s="1">
        <v>45630</v>
      </c>
      <c r="K213" t="s">
        <v>18</v>
      </c>
      <c r="L213" t="s">
        <v>16</v>
      </c>
      <c r="M213">
        <v>2783.91</v>
      </c>
    </row>
    <row r="214" spans="1:13" x14ac:dyDescent="0.25">
      <c r="A214">
        <v>1212</v>
      </c>
      <c r="B214" t="s">
        <v>260</v>
      </c>
      <c r="C214" t="s">
        <v>25</v>
      </c>
      <c r="D214" t="s">
        <v>62</v>
      </c>
      <c r="E214">
        <v>-1</v>
      </c>
      <c r="F214">
        <v>4098.12</v>
      </c>
      <c r="G214">
        <f t="shared" si="6"/>
        <v>-4098.12</v>
      </c>
      <c r="I214">
        <f t="shared" si="7"/>
        <v>-4098.12</v>
      </c>
      <c r="J214" s="1">
        <v>45582</v>
      </c>
      <c r="K214" t="s">
        <v>2517</v>
      </c>
      <c r="L214" t="s">
        <v>16</v>
      </c>
      <c r="M214">
        <v>-656.35</v>
      </c>
    </row>
    <row r="215" spans="1:13" x14ac:dyDescent="0.25">
      <c r="A215">
        <v>1213</v>
      </c>
      <c r="B215" t="s">
        <v>261</v>
      </c>
      <c r="C215" t="s">
        <v>31</v>
      </c>
      <c r="D215" t="s">
        <v>68</v>
      </c>
      <c r="E215">
        <v>2</v>
      </c>
      <c r="G215">
        <f t="shared" si="6"/>
        <v>0</v>
      </c>
      <c r="I215">
        <f t="shared" si="7"/>
        <v>0</v>
      </c>
      <c r="J215" s="1">
        <v>45684</v>
      </c>
      <c r="K215" t="s">
        <v>18</v>
      </c>
      <c r="L215" t="s">
        <v>16</v>
      </c>
      <c r="M215">
        <v>1093.98</v>
      </c>
    </row>
    <row r="216" spans="1:13" x14ac:dyDescent="0.25">
      <c r="A216">
        <v>1214</v>
      </c>
      <c r="B216" t="s">
        <v>262</v>
      </c>
      <c r="C216" t="s">
        <v>20</v>
      </c>
      <c r="D216" t="s">
        <v>118</v>
      </c>
      <c r="E216">
        <v>4</v>
      </c>
      <c r="F216">
        <v>1273.5999999999999</v>
      </c>
      <c r="G216">
        <f t="shared" si="6"/>
        <v>5094.3999999999996</v>
      </c>
      <c r="I216">
        <f t="shared" si="7"/>
        <v>5094.3999999999996</v>
      </c>
      <c r="J216" s="1">
        <v>45826</v>
      </c>
      <c r="K216" t="s">
        <v>2517</v>
      </c>
      <c r="L216" t="s">
        <v>16</v>
      </c>
      <c r="M216">
        <v>1851.89</v>
      </c>
    </row>
    <row r="217" spans="1:13" x14ac:dyDescent="0.25">
      <c r="A217">
        <v>1215</v>
      </c>
      <c r="B217" t="s">
        <v>263</v>
      </c>
      <c r="C217" t="s">
        <v>31</v>
      </c>
      <c r="D217" t="s">
        <v>68</v>
      </c>
      <c r="E217">
        <v>6</v>
      </c>
      <c r="F217">
        <v>3802.27</v>
      </c>
      <c r="G217">
        <f t="shared" si="6"/>
        <v>22813.62</v>
      </c>
      <c r="I217">
        <f t="shared" si="7"/>
        <v>22813.62</v>
      </c>
      <c r="K217" t="s">
        <v>18</v>
      </c>
      <c r="L217" t="s">
        <v>16</v>
      </c>
      <c r="M217">
        <v>-266.99</v>
      </c>
    </row>
    <row r="218" spans="1:13" x14ac:dyDescent="0.25">
      <c r="A218">
        <v>1216</v>
      </c>
      <c r="B218" t="s">
        <v>264</v>
      </c>
      <c r="C218" t="s">
        <v>31</v>
      </c>
      <c r="D218" t="s">
        <v>68</v>
      </c>
      <c r="E218">
        <v>6</v>
      </c>
      <c r="G218">
        <f t="shared" si="6"/>
        <v>0</v>
      </c>
      <c r="H218" s="3">
        <v>1.17</v>
      </c>
      <c r="I218">
        <f t="shared" si="7"/>
        <v>0</v>
      </c>
      <c r="J218" s="1">
        <v>45495</v>
      </c>
      <c r="K218" t="s">
        <v>15</v>
      </c>
      <c r="L218" t="s">
        <v>23</v>
      </c>
      <c r="M218">
        <v>2986.8</v>
      </c>
    </row>
    <row r="219" spans="1:13" x14ac:dyDescent="0.25">
      <c r="A219">
        <v>1217</v>
      </c>
      <c r="B219" t="s">
        <v>265</v>
      </c>
      <c r="C219" t="s">
        <v>20</v>
      </c>
      <c r="D219" t="s">
        <v>84</v>
      </c>
      <c r="E219">
        <v>3</v>
      </c>
      <c r="F219">
        <v>2850.38</v>
      </c>
      <c r="G219">
        <f t="shared" si="6"/>
        <v>8551.14</v>
      </c>
      <c r="I219">
        <f t="shared" si="7"/>
        <v>8551.14</v>
      </c>
      <c r="K219" t="s">
        <v>15</v>
      </c>
      <c r="L219" t="s">
        <v>16</v>
      </c>
      <c r="M219">
        <v>17.309999999999999</v>
      </c>
    </row>
    <row r="220" spans="1:13" x14ac:dyDescent="0.25">
      <c r="A220">
        <v>1218</v>
      </c>
      <c r="B220" t="s">
        <v>266</v>
      </c>
      <c r="C220" t="s">
        <v>36</v>
      </c>
      <c r="D220" t="s">
        <v>59</v>
      </c>
      <c r="E220">
        <v>3</v>
      </c>
      <c r="F220">
        <v>1544.45</v>
      </c>
      <c r="G220">
        <f t="shared" si="6"/>
        <v>4633.3500000000004</v>
      </c>
      <c r="H220" s="3">
        <v>0.33</v>
      </c>
      <c r="I220">
        <f t="shared" si="7"/>
        <v>3104.3444999999997</v>
      </c>
      <c r="J220" s="1">
        <v>45747</v>
      </c>
      <c r="K220" t="s">
        <v>2517</v>
      </c>
      <c r="L220" t="s">
        <v>23</v>
      </c>
      <c r="M220">
        <v>707.56</v>
      </c>
    </row>
    <row r="221" spans="1:13" x14ac:dyDescent="0.25">
      <c r="A221">
        <v>1219</v>
      </c>
      <c r="B221" t="s">
        <v>267</v>
      </c>
      <c r="C221" t="s">
        <v>13</v>
      </c>
      <c r="D221" t="s">
        <v>47</v>
      </c>
      <c r="E221">
        <v>2</v>
      </c>
      <c r="G221">
        <f t="shared" si="6"/>
        <v>0</v>
      </c>
      <c r="I221">
        <f t="shared" si="7"/>
        <v>0</v>
      </c>
      <c r="J221" s="1">
        <v>45624</v>
      </c>
      <c r="K221" t="s">
        <v>38</v>
      </c>
      <c r="L221" t="s">
        <v>16</v>
      </c>
      <c r="M221">
        <v>2206</v>
      </c>
    </row>
    <row r="222" spans="1:13" x14ac:dyDescent="0.25">
      <c r="A222">
        <v>1220</v>
      </c>
      <c r="B222" t="s">
        <v>268</v>
      </c>
      <c r="C222" t="s">
        <v>31</v>
      </c>
      <c r="D222" t="s">
        <v>42</v>
      </c>
      <c r="E222">
        <v>2</v>
      </c>
      <c r="G222">
        <f t="shared" si="6"/>
        <v>0</v>
      </c>
      <c r="I222">
        <f t="shared" si="7"/>
        <v>0</v>
      </c>
      <c r="J222" s="1">
        <v>45495</v>
      </c>
      <c r="K222" t="s">
        <v>38</v>
      </c>
      <c r="L222" t="s">
        <v>16</v>
      </c>
      <c r="M222">
        <v>1598.22</v>
      </c>
    </row>
    <row r="223" spans="1:13" x14ac:dyDescent="0.25">
      <c r="A223">
        <v>1221</v>
      </c>
      <c r="B223" t="s">
        <v>269</v>
      </c>
      <c r="C223" t="s">
        <v>28</v>
      </c>
      <c r="D223" t="s">
        <v>29</v>
      </c>
      <c r="E223">
        <v>3</v>
      </c>
      <c r="G223">
        <f t="shared" si="6"/>
        <v>0</v>
      </c>
      <c r="I223">
        <f t="shared" si="7"/>
        <v>0</v>
      </c>
      <c r="J223" s="1">
        <v>45563</v>
      </c>
      <c r="K223" t="s">
        <v>22</v>
      </c>
      <c r="L223" t="s">
        <v>23</v>
      </c>
      <c r="M223">
        <v>898.67</v>
      </c>
    </row>
    <row r="224" spans="1:13" x14ac:dyDescent="0.25">
      <c r="A224">
        <v>1222</v>
      </c>
      <c r="B224" t="s">
        <v>270</v>
      </c>
      <c r="C224" t="s">
        <v>31</v>
      </c>
      <c r="D224" t="s">
        <v>68</v>
      </c>
      <c r="E224">
        <v>2</v>
      </c>
      <c r="F224">
        <v>683.85</v>
      </c>
      <c r="G224">
        <f t="shared" si="6"/>
        <v>1367.7</v>
      </c>
      <c r="I224">
        <f t="shared" si="7"/>
        <v>1367.7</v>
      </c>
      <c r="J224" s="1">
        <v>45595</v>
      </c>
      <c r="K224" t="s">
        <v>44</v>
      </c>
      <c r="L224" t="s">
        <v>16</v>
      </c>
      <c r="M224">
        <v>1489.45</v>
      </c>
    </row>
    <row r="225" spans="1:13" x14ac:dyDescent="0.25">
      <c r="A225">
        <v>1223</v>
      </c>
      <c r="B225" t="s">
        <v>271</v>
      </c>
      <c r="C225" t="s">
        <v>31</v>
      </c>
      <c r="D225" t="s">
        <v>32</v>
      </c>
      <c r="E225">
        <v>2</v>
      </c>
      <c r="G225">
        <f t="shared" si="6"/>
        <v>0</v>
      </c>
      <c r="I225">
        <f t="shared" si="7"/>
        <v>0</v>
      </c>
      <c r="K225" t="s">
        <v>2517</v>
      </c>
      <c r="L225" t="s">
        <v>23</v>
      </c>
      <c r="M225">
        <v>-531.04999999999995</v>
      </c>
    </row>
    <row r="226" spans="1:13" x14ac:dyDescent="0.25">
      <c r="A226">
        <v>1224</v>
      </c>
      <c r="B226" t="s">
        <v>272</v>
      </c>
      <c r="C226" t="s">
        <v>36</v>
      </c>
      <c r="D226" t="s">
        <v>59</v>
      </c>
      <c r="E226">
        <v>2</v>
      </c>
      <c r="G226">
        <f t="shared" si="6"/>
        <v>0</v>
      </c>
      <c r="I226">
        <f t="shared" si="7"/>
        <v>0</v>
      </c>
      <c r="J226" s="1">
        <v>45737</v>
      </c>
      <c r="K226" t="s">
        <v>18</v>
      </c>
      <c r="L226" t="s">
        <v>16</v>
      </c>
      <c r="M226">
        <v>2219.56</v>
      </c>
    </row>
    <row r="227" spans="1:13" x14ac:dyDescent="0.25">
      <c r="A227">
        <v>1225</v>
      </c>
      <c r="B227" t="s">
        <v>273</v>
      </c>
      <c r="C227" t="s">
        <v>25</v>
      </c>
      <c r="D227" t="s">
        <v>26</v>
      </c>
      <c r="E227">
        <v>-1</v>
      </c>
      <c r="F227">
        <v>1406.32</v>
      </c>
      <c r="G227">
        <f t="shared" si="6"/>
        <v>-1406.32</v>
      </c>
      <c r="H227" s="3">
        <v>1.05</v>
      </c>
      <c r="I227">
        <f t="shared" si="7"/>
        <v>70.316000000000059</v>
      </c>
      <c r="J227" s="1">
        <v>45851</v>
      </c>
      <c r="K227" t="s">
        <v>38</v>
      </c>
      <c r="L227" t="s">
        <v>16</v>
      </c>
      <c r="M227">
        <v>1937.71</v>
      </c>
    </row>
    <row r="228" spans="1:13" x14ac:dyDescent="0.25">
      <c r="A228">
        <v>1226</v>
      </c>
      <c r="B228" t="s">
        <v>274</v>
      </c>
      <c r="C228" t="s">
        <v>36</v>
      </c>
      <c r="D228" t="s">
        <v>87</v>
      </c>
      <c r="E228">
        <v>1</v>
      </c>
      <c r="G228">
        <f t="shared" si="6"/>
        <v>0</v>
      </c>
      <c r="H228" s="3">
        <v>1.1499999999999999</v>
      </c>
      <c r="I228">
        <f t="shared" si="7"/>
        <v>0</v>
      </c>
      <c r="J228" s="1">
        <v>45591</v>
      </c>
      <c r="K228" t="s">
        <v>18</v>
      </c>
      <c r="L228" t="s">
        <v>23</v>
      </c>
      <c r="M228">
        <v>2806.56</v>
      </c>
    </row>
    <row r="229" spans="1:13" x14ac:dyDescent="0.25">
      <c r="A229">
        <v>1227</v>
      </c>
      <c r="B229" t="s">
        <v>275</v>
      </c>
      <c r="C229" t="s">
        <v>28</v>
      </c>
      <c r="D229" t="s">
        <v>40</v>
      </c>
      <c r="E229">
        <v>2</v>
      </c>
      <c r="G229">
        <f t="shared" si="6"/>
        <v>0</v>
      </c>
      <c r="H229" s="3">
        <v>0.25</v>
      </c>
      <c r="I229">
        <f t="shared" si="7"/>
        <v>0</v>
      </c>
      <c r="J229" s="1">
        <v>45356</v>
      </c>
      <c r="K229" t="s">
        <v>2517</v>
      </c>
      <c r="L229" t="s">
        <v>16</v>
      </c>
      <c r="M229">
        <v>2096.6799999999998</v>
      </c>
    </row>
    <row r="230" spans="1:13" x14ac:dyDescent="0.25">
      <c r="A230">
        <v>1048</v>
      </c>
      <c r="B230" t="s">
        <v>276</v>
      </c>
      <c r="C230" t="s">
        <v>28</v>
      </c>
      <c r="D230" t="s">
        <v>137</v>
      </c>
      <c r="E230">
        <v>2</v>
      </c>
      <c r="F230">
        <v>2298.27</v>
      </c>
      <c r="G230">
        <f t="shared" si="6"/>
        <v>4596.54</v>
      </c>
      <c r="H230" s="3">
        <v>0.59</v>
      </c>
      <c r="I230">
        <f t="shared" si="7"/>
        <v>1884.5814</v>
      </c>
      <c r="J230" s="1">
        <v>45743</v>
      </c>
      <c r="K230" t="s">
        <v>44</v>
      </c>
      <c r="L230" t="s">
        <v>23</v>
      </c>
      <c r="M230">
        <v>2994.93</v>
      </c>
    </row>
    <row r="231" spans="1:13" x14ac:dyDescent="0.25">
      <c r="A231">
        <v>1229</v>
      </c>
      <c r="B231" t="s">
        <v>277</v>
      </c>
      <c r="C231" t="s">
        <v>36</v>
      </c>
      <c r="D231" t="s">
        <v>87</v>
      </c>
      <c r="E231">
        <v>2</v>
      </c>
      <c r="G231">
        <f t="shared" si="6"/>
        <v>0</v>
      </c>
      <c r="I231">
        <f t="shared" si="7"/>
        <v>0</v>
      </c>
      <c r="K231" t="s">
        <v>15</v>
      </c>
      <c r="L231" t="s">
        <v>16</v>
      </c>
      <c r="M231">
        <v>925.22</v>
      </c>
    </row>
    <row r="232" spans="1:13" x14ac:dyDescent="0.25">
      <c r="A232">
        <v>1230</v>
      </c>
      <c r="B232" t="s">
        <v>278</v>
      </c>
      <c r="C232" t="s">
        <v>28</v>
      </c>
      <c r="D232" t="s">
        <v>116</v>
      </c>
      <c r="E232">
        <v>3</v>
      </c>
      <c r="G232">
        <f t="shared" si="6"/>
        <v>0</v>
      </c>
      <c r="H232" s="3">
        <v>1.2</v>
      </c>
      <c r="I232">
        <f t="shared" si="7"/>
        <v>0</v>
      </c>
      <c r="K232" t="s">
        <v>2517</v>
      </c>
      <c r="L232" t="s">
        <v>16</v>
      </c>
      <c r="M232">
        <v>2725.11</v>
      </c>
    </row>
    <row r="233" spans="1:13" x14ac:dyDescent="0.25">
      <c r="A233">
        <v>1231</v>
      </c>
      <c r="B233" t="s">
        <v>279</v>
      </c>
      <c r="C233" t="s">
        <v>25</v>
      </c>
      <c r="D233" t="s">
        <v>62</v>
      </c>
      <c r="E233">
        <v>1</v>
      </c>
      <c r="F233">
        <v>1744.73</v>
      </c>
      <c r="G233">
        <f t="shared" si="6"/>
        <v>1744.73</v>
      </c>
      <c r="I233">
        <f t="shared" si="7"/>
        <v>1744.73</v>
      </c>
      <c r="K233" t="s">
        <v>44</v>
      </c>
      <c r="L233" t="s">
        <v>23</v>
      </c>
      <c r="M233">
        <v>1393.69</v>
      </c>
    </row>
    <row r="234" spans="1:13" x14ac:dyDescent="0.25">
      <c r="A234">
        <v>1232</v>
      </c>
      <c r="B234" t="s">
        <v>280</v>
      </c>
      <c r="C234" t="s">
        <v>25</v>
      </c>
      <c r="D234" t="s">
        <v>51</v>
      </c>
      <c r="E234">
        <v>2</v>
      </c>
      <c r="F234">
        <v>2526.77</v>
      </c>
      <c r="G234">
        <f t="shared" si="6"/>
        <v>5053.54</v>
      </c>
      <c r="I234">
        <f t="shared" si="7"/>
        <v>5053.54</v>
      </c>
      <c r="J234" s="1">
        <v>45183</v>
      </c>
      <c r="K234" t="s">
        <v>22</v>
      </c>
      <c r="L234" t="s">
        <v>16</v>
      </c>
      <c r="M234">
        <v>1494.67</v>
      </c>
    </row>
    <row r="235" spans="1:13" x14ac:dyDescent="0.25">
      <c r="A235">
        <v>1233</v>
      </c>
      <c r="B235" t="s">
        <v>281</v>
      </c>
      <c r="C235" t="s">
        <v>20</v>
      </c>
      <c r="D235" t="s">
        <v>21</v>
      </c>
      <c r="E235">
        <v>-1</v>
      </c>
      <c r="G235">
        <f t="shared" si="6"/>
        <v>0</v>
      </c>
      <c r="H235" s="3">
        <v>7.0000000000000007E-2</v>
      </c>
      <c r="I235">
        <f t="shared" si="7"/>
        <v>0</v>
      </c>
      <c r="J235" s="1">
        <v>45772</v>
      </c>
      <c r="K235" t="s">
        <v>38</v>
      </c>
      <c r="L235" t="s">
        <v>16</v>
      </c>
      <c r="M235">
        <v>2237.2399999999998</v>
      </c>
    </row>
    <row r="236" spans="1:13" x14ac:dyDescent="0.25">
      <c r="A236">
        <v>1234</v>
      </c>
      <c r="B236" t="s">
        <v>282</v>
      </c>
      <c r="C236" t="s">
        <v>13</v>
      </c>
      <c r="D236" t="s">
        <v>47</v>
      </c>
      <c r="E236">
        <v>2</v>
      </c>
      <c r="F236">
        <v>1069.8800000000001</v>
      </c>
      <c r="G236">
        <f t="shared" si="6"/>
        <v>2139.7600000000002</v>
      </c>
      <c r="H236" s="3">
        <v>0.05</v>
      </c>
      <c r="I236">
        <f t="shared" si="7"/>
        <v>2032.7720000000002</v>
      </c>
      <c r="J236" s="1">
        <v>45832</v>
      </c>
      <c r="K236" t="s">
        <v>44</v>
      </c>
      <c r="L236" t="s">
        <v>23</v>
      </c>
      <c r="M236">
        <v>110.58</v>
      </c>
    </row>
    <row r="237" spans="1:13" x14ac:dyDescent="0.25">
      <c r="A237">
        <v>1235</v>
      </c>
      <c r="B237" t="s">
        <v>283</v>
      </c>
      <c r="C237" t="s">
        <v>20</v>
      </c>
      <c r="D237" t="s">
        <v>76</v>
      </c>
      <c r="E237">
        <v>2</v>
      </c>
      <c r="G237">
        <f t="shared" si="6"/>
        <v>0</v>
      </c>
      <c r="I237">
        <f t="shared" si="7"/>
        <v>0</v>
      </c>
      <c r="K237" t="s">
        <v>2517</v>
      </c>
      <c r="L237" t="s">
        <v>23</v>
      </c>
      <c r="M237">
        <v>-403.94</v>
      </c>
    </row>
    <row r="238" spans="1:13" x14ac:dyDescent="0.25">
      <c r="A238">
        <v>1036</v>
      </c>
      <c r="B238" t="s">
        <v>284</v>
      </c>
      <c r="C238" t="s">
        <v>31</v>
      </c>
      <c r="D238" t="s">
        <v>42</v>
      </c>
      <c r="E238">
        <v>2</v>
      </c>
      <c r="F238">
        <v>4802.42</v>
      </c>
      <c r="G238">
        <f t="shared" si="6"/>
        <v>9604.84</v>
      </c>
      <c r="H238" s="3">
        <v>1.18</v>
      </c>
      <c r="I238">
        <f t="shared" si="7"/>
        <v>-1728.8711999999994</v>
      </c>
      <c r="J238" s="1">
        <v>45765</v>
      </c>
      <c r="K238" t="s">
        <v>2517</v>
      </c>
      <c r="L238" t="s">
        <v>16</v>
      </c>
      <c r="M238">
        <v>605.03</v>
      </c>
    </row>
    <row r="239" spans="1:13" x14ac:dyDescent="0.25">
      <c r="A239">
        <v>1237</v>
      </c>
      <c r="B239" t="s">
        <v>285</v>
      </c>
      <c r="C239" t="s">
        <v>31</v>
      </c>
      <c r="D239" t="s">
        <v>68</v>
      </c>
      <c r="E239">
        <v>2</v>
      </c>
      <c r="G239">
        <f t="shared" si="6"/>
        <v>0</v>
      </c>
      <c r="H239" s="3">
        <v>0.28999999999999998</v>
      </c>
      <c r="I239">
        <f t="shared" si="7"/>
        <v>0</v>
      </c>
      <c r="J239" s="1">
        <v>45817</v>
      </c>
      <c r="K239" t="s">
        <v>44</v>
      </c>
      <c r="L239" t="s">
        <v>16</v>
      </c>
      <c r="M239">
        <v>-465.98</v>
      </c>
    </row>
    <row r="240" spans="1:13" x14ac:dyDescent="0.25">
      <c r="A240">
        <v>1238</v>
      </c>
      <c r="B240" t="s">
        <v>286</v>
      </c>
      <c r="C240" t="s">
        <v>25</v>
      </c>
      <c r="D240" t="s">
        <v>62</v>
      </c>
      <c r="E240">
        <v>2</v>
      </c>
      <c r="G240">
        <f t="shared" si="6"/>
        <v>0</v>
      </c>
      <c r="I240">
        <f t="shared" si="7"/>
        <v>0</v>
      </c>
      <c r="K240" t="s">
        <v>44</v>
      </c>
      <c r="L240" t="s">
        <v>16</v>
      </c>
      <c r="M240">
        <v>2742.61</v>
      </c>
    </row>
    <row r="241" spans="1:13" x14ac:dyDescent="0.25">
      <c r="A241">
        <v>1239</v>
      </c>
      <c r="B241" t="s">
        <v>287</v>
      </c>
      <c r="C241" t="s">
        <v>31</v>
      </c>
      <c r="D241" t="s">
        <v>78</v>
      </c>
      <c r="E241">
        <v>4</v>
      </c>
      <c r="F241">
        <v>644.58000000000004</v>
      </c>
      <c r="G241">
        <f t="shared" si="6"/>
        <v>2578.3200000000002</v>
      </c>
      <c r="I241">
        <f t="shared" si="7"/>
        <v>2578.3200000000002</v>
      </c>
      <c r="J241" s="1">
        <v>45585</v>
      </c>
      <c r="K241" t="s">
        <v>15</v>
      </c>
      <c r="L241" t="s">
        <v>23</v>
      </c>
      <c r="M241">
        <v>1097.8800000000001</v>
      </c>
    </row>
    <row r="242" spans="1:13" x14ac:dyDescent="0.25">
      <c r="A242">
        <v>1240</v>
      </c>
      <c r="B242" t="s">
        <v>288</v>
      </c>
      <c r="C242" t="s">
        <v>36</v>
      </c>
      <c r="D242" t="s">
        <v>37</v>
      </c>
      <c r="E242">
        <v>2</v>
      </c>
      <c r="F242">
        <v>4634.13</v>
      </c>
      <c r="G242">
        <f t="shared" si="6"/>
        <v>9268.26</v>
      </c>
      <c r="I242">
        <f t="shared" si="7"/>
        <v>9268.26</v>
      </c>
      <c r="J242" s="1">
        <v>45136</v>
      </c>
      <c r="K242" t="s">
        <v>38</v>
      </c>
      <c r="L242" t="s">
        <v>16</v>
      </c>
      <c r="M242">
        <v>2625.44</v>
      </c>
    </row>
    <row r="243" spans="1:13" x14ac:dyDescent="0.25">
      <c r="A243">
        <v>1241</v>
      </c>
      <c r="B243" t="s">
        <v>289</v>
      </c>
      <c r="C243" t="s">
        <v>13</v>
      </c>
      <c r="D243" t="s">
        <v>14</v>
      </c>
      <c r="E243">
        <v>6</v>
      </c>
      <c r="F243">
        <v>3111.95</v>
      </c>
      <c r="G243">
        <f t="shared" si="6"/>
        <v>18671.699999999997</v>
      </c>
      <c r="I243">
        <f t="shared" si="7"/>
        <v>18671.699999999997</v>
      </c>
      <c r="J243" s="1">
        <v>45465</v>
      </c>
      <c r="K243" t="s">
        <v>38</v>
      </c>
      <c r="L243" t="s">
        <v>16</v>
      </c>
      <c r="M243">
        <v>2814.82</v>
      </c>
    </row>
    <row r="244" spans="1:13" x14ac:dyDescent="0.25">
      <c r="A244">
        <v>1242</v>
      </c>
      <c r="B244" t="s">
        <v>290</v>
      </c>
      <c r="C244" t="s">
        <v>13</v>
      </c>
      <c r="D244" t="s">
        <v>98</v>
      </c>
      <c r="E244">
        <v>-1</v>
      </c>
      <c r="G244">
        <f t="shared" si="6"/>
        <v>0</v>
      </c>
      <c r="I244">
        <f t="shared" si="7"/>
        <v>0</v>
      </c>
      <c r="J244" s="1">
        <v>45706</v>
      </c>
      <c r="K244" t="s">
        <v>44</v>
      </c>
      <c r="L244" t="s">
        <v>23</v>
      </c>
      <c r="M244">
        <v>1576.74</v>
      </c>
    </row>
    <row r="245" spans="1:13" x14ac:dyDescent="0.25">
      <c r="A245">
        <v>1243</v>
      </c>
      <c r="B245" t="s">
        <v>291</v>
      </c>
      <c r="C245" t="s">
        <v>28</v>
      </c>
      <c r="D245" t="s">
        <v>137</v>
      </c>
      <c r="E245">
        <v>3</v>
      </c>
      <c r="G245">
        <f t="shared" si="6"/>
        <v>0</v>
      </c>
      <c r="H245" s="3">
        <v>0.69</v>
      </c>
      <c r="I245">
        <f t="shared" si="7"/>
        <v>0</v>
      </c>
      <c r="J245" s="1">
        <v>45628</v>
      </c>
      <c r="K245" t="s">
        <v>18</v>
      </c>
      <c r="L245" t="s">
        <v>16</v>
      </c>
      <c r="M245">
        <v>779.51</v>
      </c>
    </row>
    <row r="246" spans="1:13" x14ac:dyDescent="0.25">
      <c r="A246">
        <v>1244</v>
      </c>
      <c r="B246" t="s">
        <v>292</v>
      </c>
      <c r="C246" t="s">
        <v>36</v>
      </c>
      <c r="D246" t="s">
        <v>55</v>
      </c>
      <c r="E246">
        <v>6</v>
      </c>
      <c r="G246">
        <f t="shared" si="6"/>
        <v>0</v>
      </c>
      <c r="I246">
        <f t="shared" si="7"/>
        <v>0</v>
      </c>
      <c r="J246" s="1">
        <v>45472</v>
      </c>
      <c r="K246" t="s">
        <v>18</v>
      </c>
      <c r="L246" t="s">
        <v>16</v>
      </c>
      <c r="M246">
        <v>2574.7600000000002</v>
      </c>
    </row>
    <row r="247" spans="1:13" x14ac:dyDescent="0.25">
      <c r="A247">
        <v>1245</v>
      </c>
      <c r="B247" t="s">
        <v>293</v>
      </c>
      <c r="C247" t="s">
        <v>31</v>
      </c>
      <c r="D247" t="s">
        <v>68</v>
      </c>
      <c r="E247">
        <v>2</v>
      </c>
      <c r="F247">
        <v>1822.9</v>
      </c>
      <c r="G247">
        <f t="shared" si="6"/>
        <v>3645.8</v>
      </c>
      <c r="I247">
        <f t="shared" si="7"/>
        <v>3645.8</v>
      </c>
      <c r="J247" s="1">
        <v>45639</v>
      </c>
      <c r="K247" t="s">
        <v>15</v>
      </c>
      <c r="L247" t="s">
        <v>16</v>
      </c>
      <c r="M247">
        <v>1076.3399999999999</v>
      </c>
    </row>
    <row r="248" spans="1:13" x14ac:dyDescent="0.25">
      <c r="A248">
        <v>1246</v>
      </c>
      <c r="B248" t="s">
        <v>294</v>
      </c>
      <c r="C248" t="s">
        <v>36</v>
      </c>
      <c r="D248" t="s">
        <v>55</v>
      </c>
      <c r="E248">
        <v>0</v>
      </c>
      <c r="G248">
        <f t="shared" si="6"/>
        <v>0</v>
      </c>
      <c r="H248" s="3">
        <v>0.03</v>
      </c>
      <c r="I248">
        <f t="shared" si="7"/>
        <v>0</v>
      </c>
      <c r="K248" t="s">
        <v>2517</v>
      </c>
      <c r="L248" t="s">
        <v>16</v>
      </c>
      <c r="M248">
        <v>733.8</v>
      </c>
    </row>
    <row r="249" spans="1:13" x14ac:dyDescent="0.25">
      <c r="A249">
        <v>1247</v>
      </c>
      <c r="B249" t="s">
        <v>295</v>
      </c>
      <c r="C249" t="s">
        <v>31</v>
      </c>
      <c r="D249" t="s">
        <v>32</v>
      </c>
      <c r="E249">
        <v>-1</v>
      </c>
      <c r="G249">
        <f t="shared" si="6"/>
        <v>0</v>
      </c>
      <c r="I249">
        <f t="shared" si="7"/>
        <v>0</v>
      </c>
      <c r="K249" t="s">
        <v>2517</v>
      </c>
      <c r="L249" t="s">
        <v>23</v>
      </c>
      <c r="M249">
        <v>1605.97</v>
      </c>
    </row>
    <row r="250" spans="1:13" x14ac:dyDescent="0.25">
      <c r="A250">
        <v>1248</v>
      </c>
      <c r="B250" t="s">
        <v>296</v>
      </c>
      <c r="C250" t="s">
        <v>28</v>
      </c>
      <c r="D250" t="s">
        <v>116</v>
      </c>
      <c r="E250">
        <v>2</v>
      </c>
      <c r="G250">
        <f t="shared" si="6"/>
        <v>0</v>
      </c>
      <c r="H250" s="3">
        <v>1.24</v>
      </c>
      <c r="I250">
        <f t="shared" si="7"/>
        <v>0</v>
      </c>
      <c r="J250" s="1">
        <v>45130</v>
      </c>
      <c r="K250" t="s">
        <v>22</v>
      </c>
      <c r="L250" t="s">
        <v>23</v>
      </c>
      <c r="M250">
        <v>397.41</v>
      </c>
    </row>
    <row r="251" spans="1:13" x14ac:dyDescent="0.25">
      <c r="A251">
        <v>1249</v>
      </c>
      <c r="B251" t="s">
        <v>297</v>
      </c>
      <c r="C251" t="s">
        <v>28</v>
      </c>
      <c r="D251" t="s">
        <v>137</v>
      </c>
      <c r="E251">
        <v>2</v>
      </c>
      <c r="G251">
        <f t="shared" si="6"/>
        <v>0</v>
      </c>
      <c r="H251" s="3">
        <v>0.23</v>
      </c>
      <c r="I251">
        <f t="shared" si="7"/>
        <v>0</v>
      </c>
      <c r="J251" s="1">
        <v>45545</v>
      </c>
      <c r="K251" t="s">
        <v>44</v>
      </c>
      <c r="L251" t="s">
        <v>16</v>
      </c>
      <c r="M251">
        <v>809.89</v>
      </c>
    </row>
    <row r="252" spans="1:13" x14ac:dyDescent="0.25">
      <c r="A252">
        <v>1250</v>
      </c>
      <c r="B252" t="s">
        <v>298</v>
      </c>
      <c r="C252" t="s">
        <v>25</v>
      </c>
      <c r="D252" t="s">
        <v>62</v>
      </c>
      <c r="E252">
        <v>2</v>
      </c>
      <c r="G252">
        <f t="shared" si="6"/>
        <v>0</v>
      </c>
      <c r="I252">
        <f t="shared" si="7"/>
        <v>0</v>
      </c>
      <c r="K252" t="s">
        <v>15</v>
      </c>
      <c r="L252" t="s">
        <v>23</v>
      </c>
      <c r="M252">
        <v>1653.07</v>
      </c>
    </row>
    <row r="253" spans="1:13" x14ac:dyDescent="0.25">
      <c r="A253">
        <v>1251</v>
      </c>
      <c r="B253" t="s">
        <v>299</v>
      </c>
      <c r="C253" t="s">
        <v>36</v>
      </c>
      <c r="D253" t="s">
        <v>37</v>
      </c>
      <c r="E253">
        <v>2</v>
      </c>
      <c r="F253">
        <v>4841.3999999999996</v>
      </c>
      <c r="G253">
        <f t="shared" si="6"/>
        <v>9682.7999999999993</v>
      </c>
      <c r="H253" s="3">
        <v>0.6</v>
      </c>
      <c r="I253">
        <f t="shared" si="7"/>
        <v>3873.12</v>
      </c>
      <c r="J253" s="1">
        <v>45692</v>
      </c>
      <c r="K253" t="s">
        <v>44</v>
      </c>
      <c r="L253" t="s">
        <v>16</v>
      </c>
      <c r="M253">
        <v>578.37</v>
      </c>
    </row>
    <row r="254" spans="1:13" x14ac:dyDescent="0.25">
      <c r="A254">
        <v>1252</v>
      </c>
      <c r="B254" t="s">
        <v>300</v>
      </c>
      <c r="C254" t="s">
        <v>31</v>
      </c>
      <c r="D254" t="s">
        <v>68</v>
      </c>
      <c r="E254">
        <v>6</v>
      </c>
      <c r="F254">
        <v>1638.51</v>
      </c>
      <c r="G254">
        <f t="shared" si="6"/>
        <v>9831.06</v>
      </c>
      <c r="H254" s="3">
        <v>0.88</v>
      </c>
      <c r="I254">
        <f t="shared" si="7"/>
        <v>1179.7271999999998</v>
      </c>
      <c r="J254" s="1">
        <v>45749</v>
      </c>
      <c r="K254" t="s">
        <v>22</v>
      </c>
      <c r="L254" t="s">
        <v>16</v>
      </c>
      <c r="M254">
        <v>1484.7</v>
      </c>
    </row>
    <row r="255" spans="1:13" x14ac:dyDescent="0.25">
      <c r="A255">
        <v>1253</v>
      </c>
      <c r="B255" t="s">
        <v>301</v>
      </c>
      <c r="C255" t="s">
        <v>36</v>
      </c>
      <c r="D255" t="s">
        <v>59</v>
      </c>
      <c r="E255">
        <v>2</v>
      </c>
      <c r="G255">
        <f t="shared" si="6"/>
        <v>0</v>
      </c>
      <c r="I255">
        <f t="shared" si="7"/>
        <v>0</v>
      </c>
      <c r="J255" s="1">
        <v>45692</v>
      </c>
      <c r="K255" t="s">
        <v>38</v>
      </c>
      <c r="L255" t="s">
        <v>23</v>
      </c>
      <c r="M255">
        <v>2512.63</v>
      </c>
    </row>
    <row r="256" spans="1:13" x14ac:dyDescent="0.25">
      <c r="A256">
        <v>1254</v>
      </c>
      <c r="B256" t="s">
        <v>302</v>
      </c>
      <c r="C256" t="s">
        <v>25</v>
      </c>
      <c r="D256" t="s">
        <v>62</v>
      </c>
      <c r="E256">
        <v>6</v>
      </c>
      <c r="G256">
        <f t="shared" si="6"/>
        <v>0</v>
      </c>
      <c r="I256">
        <f t="shared" si="7"/>
        <v>0</v>
      </c>
      <c r="J256" s="1">
        <v>45702</v>
      </c>
      <c r="K256" t="s">
        <v>22</v>
      </c>
      <c r="L256" t="s">
        <v>23</v>
      </c>
      <c r="M256">
        <v>2418.9899999999998</v>
      </c>
    </row>
    <row r="257" spans="1:13" x14ac:dyDescent="0.25">
      <c r="A257">
        <v>1255</v>
      </c>
      <c r="B257" t="s">
        <v>303</v>
      </c>
      <c r="C257" t="s">
        <v>31</v>
      </c>
      <c r="D257" t="s">
        <v>68</v>
      </c>
      <c r="E257">
        <v>4</v>
      </c>
      <c r="F257">
        <v>1849.68</v>
      </c>
      <c r="G257">
        <f t="shared" si="6"/>
        <v>7398.72</v>
      </c>
      <c r="I257">
        <f t="shared" si="7"/>
        <v>7398.72</v>
      </c>
      <c r="J257" s="1">
        <v>45632</v>
      </c>
      <c r="K257" t="s">
        <v>2517</v>
      </c>
      <c r="L257" t="s">
        <v>16</v>
      </c>
      <c r="M257">
        <v>-706.09</v>
      </c>
    </row>
    <row r="258" spans="1:13" x14ac:dyDescent="0.25">
      <c r="A258">
        <v>1256</v>
      </c>
      <c r="B258" t="s">
        <v>304</v>
      </c>
      <c r="C258" t="s">
        <v>20</v>
      </c>
      <c r="D258" t="s">
        <v>76</v>
      </c>
      <c r="E258">
        <v>2</v>
      </c>
      <c r="F258">
        <v>1801.38</v>
      </c>
      <c r="G258">
        <f t="shared" si="6"/>
        <v>3602.76</v>
      </c>
      <c r="I258">
        <f t="shared" si="7"/>
        <v>3602.76</v>
      </c>
      <c r="J258" s="1">
        <v>45614</v>
      </c>
      <c r="K258" t="s">
        <v>38</v>
      </c>
      <c r="L258" t="s">
        <v>16</v>
      </c>
      <c r="M258">
        <v>2071.1</v>
      </c>
    </row>
    <row r="259" spans="1:13" x14ac:dyDescent="0.25">
      <c r="A259">
        <v>1257</v>
      </c>
      <c r="B259" t="s">
        <v>305</v>
      </c>
      <c r="C259" t="s">
        <v>13</v>
      </c>
      <c r="D259" t="s">
        <v>47</v>
      </c>
      <c r="E259">
        <v>2</v>
      </c>
      <c r="F259">
        <v>1228.78</v>
      </c>
      <c r="G259">
        <f t="shared" ref="G259:G322" si="8">F259*E259</f>
        <v>2457.56</v>
      </c>
      <c r="I259">
        <f t="shared" ref="I259:I322" si="9">G259*(1-H259)</f>
        <v>2457.56</v>
      </c>
      <c r="K259" t="s">
        <v>18</v>
      </c>
      <c r="L259" t="s">
        <v>16</v>
      </c>
      <c r="M259">
        <v>-83.19</v>
      </c>
    </row>
    <row r="260" spans="1:13" x14ac:dyDescent="0.25">
      <c r="A260">
        <v>1258</v>
      </c>
      <c r="B260" t="s">
        <v>306</v>
      </c>
      <c r="C260" t="s">
        <v>36</v>
      </c>
      <c r="D260" t="s">
        <v>87</v>
      </c>
      <c r="E260">
        <v>-2</v>
      </c>
      <c r="F260">
        <v>4313.38</v>
      </c>
      <c r="G260">
        <f t="shared" si="8"/>
        <v>-8626.76</v>
      </c>
      <c r="I260">
        <f t="shared" si="9"/>
        <v>-8626.76</v>
      </c>
      <c r="J260" s="1">
        <v>45728</v>
      </c>
      <c r="K260" t="s">
        <v>15</v>
      </c>
      <c r="L260" t="s">
        <v>16</v>
      </c>
      <c r="M260">
        <v>2636.96</v>
      </c>
    </row>
    <row r="261" spans="1:13" x14ac:dyDescent="0.25">
      <c r="A261">
        <v>1259</v>
      </c>
      <c r="B261" t="s">
        <v>307</v>
      </c>
      <c r="C261" t="s">
        <v>25</v>
      </c>
      <c r="D261" t="s">
        <v>82</v>
      </c>
      <c r="E261">
        <v>-2</v>
      </c>
      <c r="F261">
        <v>3396.92</v>
      </c>
      <c r="G261">
        <f t="shared" si="8"/>
        <v>-6793.84</v>
      </c>
      <c r="I261">
        <f t="shared" si="9"/>
        <v>-6793.84</v>
      </c>
      <c r="J261" s="1">
        <v>45782</v>
      </c>
      <c r="K261" t="s">
        <v>18</v>
      </c>
      <c r="L261" t="s">
        <v>16</v>
      </c>
      <c r="M261">
        <v>-830.5</v>
      </c>
    </row>
    <row r="262" spans="1:13" x14ac:dyDescent="0.25">
      <c r="A262">
        <v>1260</v>
      </c>
      <c r="B262" t="s">
        <v>308</v>
      </c>
      <c r="C262" t="s">
        <v>36</v>
      </c>
      <c r="D262" t="s">
        <v>55</v>
      </c>
      <c r="E262">
        <v>2</v>
      </c>
      <c r="G262">
        <f t="shared" si="8"/>
        <v>0</v>
      </c>
      <c r="I262">
        <f t="shared" si="9"/>
        <v>0</v>
      </c>
      <c r="J262" s="1">
        <v>45741</v>
      </c>
      <c r="K262" t="s">
        <v>15</v>
      </c>
      <c r="L262" t="s">
        <v>23</v>
      </c>
      <c r="M262">
        <v>-817.8</v>
      </c>
    </row>
    <row r="263" spans="1:13" x14ac:dyDescent="0.25">
      <c r="A263">
        <v>1012</v>
      </c>
      <c r="B263" t="s">
        <v>309</v>
      </c>
      <c r="C263" t="s">
        <v>13</v>
      </c>
      <c r="D263" t="s">
        <v>34</v>
      </c>
      <c r="E263">
        <v>2</v>
      </c>
      <c r="F263">
        <v>4129.37</v>
      </c>
      <c r="G263">
        <f t="shared" si="8"/>
        <v>8258.74</v>
      </c>
      <c r="I263">
        <f t="shared" si="9"/>
        <v>8258.74</v>
      </c>
      <c r="J263" s="1">
        <v>45858</v>
      </c>
      <c r="K263" t="s">
        <v>15</v>
      </c>
      <c r="L263" t="s">
        <v>23</v>
      </c>
      <c r="M263">
        <v>2328.1</v>
      </c>
    </row>
    <row r="264" spans="1:13" x14ac:dyDescent="0.25">
      <c r="A264">
        <v>1262</v>
      </c>
      <c r="B264" t="s">
        <v>310</v>
      </c>
      <c r="C264" t="s">
        <v>28</v>
      </c>
      <c r="D264" t="s">
        <v>116</v>
      </c>
      <c r="E264">
        <v>2</v>
      </c>
      <c r="G264">
        <f t="shared" si="8"/>
        <v>0</v>
      </c>
      <c r="H264" s="3">
        <v>0.52</v>
      </c>
      <c r="I264">
        <f t="shared" si="9"/>
        <v>0</v>
      </c>
      <c r="J264" s="1">
        <v>45598</v>
      </c>
      <c r="K264" t="s">
        <v>38</v>
      </c>
      <c r="L264" t="s">
        <v>23</v>
      </c>
      <c r="M264">
        <v>786.25</v>
      </c>
    </row>
    <row r="265" spans="1:13" x14ac:dyDescent="0.25">
      <c r="A265">
        <v>1263</v>
      </c>
      <c r="B265" t="s">
        <v>311</v>
      </c>
      <c r="C265" t="s">
        <v>25</v>
      </c>
      <c r="D265" t="s">
        <v>62</v>
      </c>
      <c r="E265">
        <v>2</v>
      </c>
      <c r="F265">
        <v>2542.7199999999998</v>
      </c>
      <c r="G265">
        <f t="shared" si="8"/>
        <v>5085.4399999999996</v>
      </c>
      <c r="I265">
        <f t="shared" si="9"/>
        <v>5085.4399999999996</v>
      </c>
      <c r="K265" t="s">
        <v>15</v>
      </c>
      <c r="L265" t="s">
        <v>16</v>
      </c>
      <c r="M265">
        <v>-136.41</v>
      </c>
    </row>
    <row r="266" spans="1:13" x14ac:dyDescent="0.25">
      <c r="A266">
        <v>1264</v>
      </c>
      <c r="B266" t="s">
        <v>312</v>
      </c>
      <c r="C266" t="s">
        <v>31</v>
      </c>
      <c r="D266" t="s">
        <v>78</v>
      </c>
      <c r="E266">
        <v>2</v>
      </c>
      <c r="F266">
        <v>3382.08</v>
      </c>
      <c r="G266">
        <f t="shared" si="8"/>
        <v>6764.16</v>
      </c>
      <c r="I266">
        <f t="shared" si="9"/>
        <v>6764.16</v>
      </c>
      <c r="J266" s="1">
        <v>45592</v>
      </c>
      <c r="K266" t="s">
        <v>15</v>
      </c>
      <c r="L266" t="s">
        <v>16</v>
      </c>
      <c r="M266">
        <v>1647.48</v>
      </c>
    </row>
    <row r="267" spans="1:13" x14ac:dyDescent="0.25">
      <c r="A267">
        <v>1265</v>
      </c>
      <c r="B267" t="s">
        <v>313</v>
      </c>
      <c r="C267" t="s">
        <v>31</v>
      </c>
      <c r="D267" t="s">
        <v>78</v>
      </c>
      <c r="E267">
        <v>0</v>
      </c>
      <c r="F267">
        <v>721.41</v>
      </c>
      <c r="G267">
        <f t="shared" si="8"/>
        <v>0</v>
      </c>
      <c r="H267" s="3">
        <v>1.1599999999999999</v>
      </c>
      <c r="I267">
        <f t="shared" si="9"/>
        <v>0</v>
      </c>
      <c r="J267" s="1">
        <v>45740</v>
      </c>
      <c r="K267" t="s">
        <v>2517</v>
      </c>
      <c r="L267" t="s">
        <v>16</v>
      </c>
      <c r="M267">
        <v>1718.95</v>
      </c>
    </row>
    <row r="268" spans="1:13" x14ac:dyDescent="0.25">
      <c r="A268">
        <v>1266</v>
      </c>
      <c r="B268" t="s">
        <v>314</v>
      </c>
      <c r="C268" t="s">
        <v>25</v>
      </c>
      <c r="D268" t="s">
        <v>62</v>
      </c>
      <c r="E268">
        <v>2</v>
      </c>
      <c r="G268">
        <f t="shared" si="8"/>
        <v>0</v>
      </c>
      <c r="H268" s="3">
        <v>1.1200000000000001</v>
      </c>
      <c r="I268">
        <f t="shared" si="9"/>
        <v>0</v>
      </c>
      <c r="J268" s="1">
        <v>45224</v>
      </c>
      <c r="K268" t="s">
        <v>15</v>
      </c>
      <c r="L268" t="s">
        <v>16</v>
      </c>
      <c r="M268">
        <v>1024.8599999999999</v>
      </c>
    </row>
    <row r="269" spans="1:13" x14ac:dyDescent="0.25">
      <c r="A269">
        <v>1267</v>
      </c>
      <c r="B269" t="s">
        <v>315</v>
      </c>
      <c r="C269" t="s">
        <v>20</v>
      </c>
      <c r="D269" t="s">
        <v>76</v>
      </c>
      <c r="E269">
        <v>3</v>
      </c>
      <c r="F269">
        <v>3255.23</v>
      </c>
      <c r="G269">
        <f t="shared" si="8"/>
        <v>9765.69</v>
      </c>
      <c r="I269">
        <f t="shared" si="9"/>
        <v>9765.69</v>
      </c>
      <c r="J269" s="1">
        <v>45246</v>
      </c>
      <c r="K269" t="s">
        <v>15</v>
      </c>
      <c r="L269" t="s">
        <v>23</v>
      </c>
      <c r="M269">
        <v>650.79999999999995</v>
      </c>
    </row>
    <row r="270" spans="1:13" x14ac:dyDescent="0.25">
      <c r="A270">
        <v>1268</v>
      </c>
      <c r="B270" t="s">
        <v>316</v>
      </c>
      <c r="C270" t="s">
        <v>20</v>
      </c>
      <c r="D270" t="s">
        <v>84</v>
      </c>
      <c r="E270">
        <v>1</v>
      </c>
      <c r="G270">
        <f t="shared" si="8"/>
        <v>0</v>
      </c>
      <c r="H270" s="3">
        <v>1.03</v>
      </c>
      <c r="I270">
        <f t="shared" si="9"/>
        <v>0</v>
      </c>
      <c r="K270" t="s">
        <v>44</v>
      </c>
      <c r="L270" t="s">
        <v>16</v>
      </c>
      <c r="M270">
        <v>2668.22</v>
      </c>
    </row>
    <row r="271" spans="1:13" x14ac:dyDescent="0.25">
      <c r="A271">
        <v>1269</v>
      </c>
      <c r="B271" t="s">
        <v>317</v>
      </c>
      <c r="C271" t="s">
        <v>31</v>
      </c>
      <c r="D271" t="s">
        <v>78</v>
      </c>
      <c r="E271">
        <v>2</v>
      </c>
      <c r="G271">
        <f t="shared" si="8"/>
        <v>0</v>
      </c>
      <c r="I271">
        <f t="shared" si="9"/>
        <v>0</v>
      </c>
      <c r="K271" t="s">
        <v>22</v>
      </c>
      <c r="L271" t="s">
        <v>16</v>
      </c>
      <c r="M271">
        <v>483.01</v>
      </c>
    </row>
    <row r="272" spans="1:13" x14ac:dyDescent="0.25">
      <c r="A272">
        <v>1270</v>
      </c>
      <c r="B272" t="s">
        <v>318</v>
      </c>
      <c r="C272" t="s">
        <v>31</v>
      </c>
      <c r="D272" t="s">
        <v>78</v>
      </c>
      <c r="E272">
        <v>0</v>
      </c>
      <c r="F272">
        <v>4446.82</v>
      </c>
      <c r="G272">
        <f t="shared" si="8"/>
        <v>0</v>
      </c>
      <c r="I272">
        <f t="shared" si="9"/>
        <v>0</v>
      </c>
      <c r="J272" s="1">
        <v>45837</v>
      </c>
      <c r="K272" t="s">
        <v>2517</v>
      </c>
      <c r="L272" t="s">
        <v>23</v>
      </c>
      <c r="M272">
        <v>-293.05</v>
      </c>
    </row>
    <row r="273" spans="1:13" x14ac:dyDescent="0.25">
      <c r="A273">
        <v>1271</v>
      </c>
      <c r="B273" t="s">
        <v>319</v>
      </c>
      <c r="C273" t="s">
        <v>31</v>
      </c>
      <c r="D273" t="s">
        <v>42</v>
      </c>
      <c r="E273">
        <v>2</v>
      </c>
      <c r="G273">
        <f t="shared" si="8"/>
        <v>0</v>
      </c>
      <c r="I273">
        <f t="shared" si="9"/>
        <v>0</v>
      </c>
      <c r="J273" s="1">
        <v>45425</v>
      </c>
      <c r="K273" t="s">
        <v>38</v>
      </c>
      <c r="L273" t="s">
        <v>23</v>
      </c>
      <c r="M273">
        <v>1295.93</v>
      </c>
    </row>
    <row r="274" spans="1:13" x14ac:dyDescent="0.25">
      <c r="A274">
        <v>1272</v>
      </c>
      <c r="B274" t="s">
        <v>320</v>
      </c>
      <c r="C274" t="s">
        <v>28</v>
      </c>
      <c r="D274" t="s">
        <v>29</v>
      </c>
      <c r="E274">
        <v>2</v>
      </c>
      <c r="F274">
        <v>1429.94</v>
      </c>
      <c r="G274">
        <f t="shared" si="8"/>
        <v>2859.88</v>
      </c>
      <c r="I274">
        <f t="shared" si="9"/>
        <v>2859.88</v>
      </c>
      <c r="J274" s="1">
        <v>45272</v>
      </c>
      <c r="K274" t="s">
        <v>2517</v>
      </c>
      <c r="L274" t="s">
        <v>23</v>
      </c>
      <c r="M274">
        <v>484.51</v>
      </c>
    </row>
    <row r="275" spans="1:13" x14ac:dyDescent="0.25">
      <c r="A275">
        <v>1273</v>
      </c>
      <c r="B275" t="s">
        <v>321</v>
      </c>
      <c r="C275" t="s">
        <v>31</v>
      </c>
      <c r="D275" t="s">
        <v>42</v>
      </c>
      <c r="E275">
        <v>2</v>
      </c>
      <c r="G275">
        <f t="shared" si="8"/>
        <v>0</v>
      </c>
      <c r="I275">
        <f t="shared" si="9"/>
        <v>0</v>
      </c>
      <c r="J275" s="1">
        <v>45659</v>
      </c>
      <c r="K275" t="s">
        <v>2517</v>
      </c>
      <c r="L275" t="s">
        <v>16</v>
      </c>
      <c r="M275">
        <v>-431.92</v>
      </c>
    </row>
    <row r="276" spans="1:13" x14ac:dyDescent="0.25">
      <c r="A276">
        <v>1274</v>
      </c>
      <c r="B276" t="s">
        <v>322</v>
      </c>
      <c r="C276" t="s">
        <v>36</v>
      </c>
      <c r="D276" t="s">
        <v>59</v>
      </c>
      <c r="E276">
        <v>2</v>
      </c>
      <c r="G276">
        <f t="shared" si="8"/>
        <v>0</v>
      </c>
      <c r="H276" s="3">
        <v>0.59</v>
      </c>
      <c r="I276">
        <f t="shared" si="9"/>
        <v>0</v>
      </c>
      <c r="K276" t="s">
        <v>18</v>
      </c>
      <c r="L276" t="s">
        <v>23</v>
      </c>
      <c r="M276">
        <v>62.98</v>
      </c>
    </row>
    <row r="277" spans="1:13" x14ac:dyDescent="0.25">
      <c r="A277">
        <v>1275</v>
      </c>
      <c r="B277" t="s">
        <v>323</v>
      </c>
      <c r="C277" t="s">
        <v>36</v>
      </c>
      <c r="D277" t="s">
        <v>37</v>
      </c>
      <c r="E277">
        <v>3</v>
      </c>
      <c r="F277">
        <v>4132</v>
      </c>
      <c r="G277">
        <f t="shared" si="8"/>
        <v>12396</v>
      </c>
      <c r="I277">
        <f t="shared" si="9"/>
        <v>12396</v>
      </c>
      <c r="J277" s="1">
        <v>45348</v>
      </c>
      <c r="K277" t="s">
        <v>38</v>
      </c>
      <c r="L277" t="s">
        <v>23</v>
      </c>
      <c r="M277">
        <v>2732.47</v>
      </c>
    </row>
    <row r="278" spans="1:13" x14ac:dyDescent="0.25">
      <c r="A278">
        <v>1276</v>
      </c>
      <c r="B278" t="s">
        <v>324</v>
      </c>
      <c r="C278" t="s">
        <v>25</v>
      </c>
      <c r="D278" t="s">
        <v>82</v>
      </c>
      <c r="E278">
        <v>2</v>
      </c>
      <c r="F278">
        <v>3243.45</v>
      </c>
      <c r="G278">
        <f t="shared" si="8"/>
        <v>6486.9</v>
      </c>
      <c r="H278" s="3">
        <v>0.61</v>
      </c>
      <c r="I278">
        <f t="shared" si="9"/>
        <v>2529.8910000000001</v>
      </c>
      <c r="K278" t="s">
        <v>22</v>
      </c>
      <c r="L278" t="s">
        <v>16</v>
      </c>
      <c r="M278">
        <v>-869.12</v>
      </c>
    </row>
    <row r="279" spans="1:13" x14ac:dyDescent="0.25">
      <c r="A279">
        <v>1277</v>
      </c>
      <c r="B279" t="s">
        <v>325</v>
      </c>
      <c r="C279" t="s">
        <v>28</v>
      </c>
      <c r="D279" t="s">
        <v>40</v>
      </c>
      <c r="E279">
        <v>2</v>
      </c>
      <c r="F279">
        <v>4720.5200000000004</v>
      </c>
      <c r="G279">
        <f t="shared" si="8"/>
        <v>9441.0400000000009</v>
      </c>
      <c r="H279" s="3">
        <v>0.56999999999999995</v>
      </c>
      <c r="I279">
        <f t="shared" si="9"/>
        <v>4059.6472000000008</v>
      </c>
      <c r="J279" s="1">
        <v>45540</v>
      </c>
      <c r="K279" t="s">
        <v>15</v>
      </c>
      <c r="L279" t="s">
        <v>16</v>
      </c>
      <c r="M279">
        <v>1255.6600000000001</v>
      </c>
    </row>
    <row r="280" spans="1:13" x14ac:dyDescent="0.25">
      <c r="A280">
        <v>1278</v>
      </c>
      <c r="B280" t="s">
        <v>326</v>
      </c>
      <c r="C280" t="s">
        <v>28</v>
      </c>
      <c r="D280" t="s">
        <v>40</v>
      </c>
      <c r="E280">
        <v>2</v>
      </c>
      <c r="F280">
        <v>3550.91</v>
      </c>
      <c r="G280">
        <f t="shared" si="8"/>
        <v>7101.82</v>
      </c>
      <c r="I280">
        <f t="shared" si="9"/>
        <v>7101.82</v>
      </c>
      <c r="J280" s="1">
        <v>45558</v>
      </c>
      <c r="K280" t="s">
        <v>15</v>
      </c>
      <c r="L280" t="s">
        <v>16</v>
      </c>
      <c r="M280">
        <v>466.53</v>
      </c>
    </row>
    <row r="281" spans="1:13" x14ac:dyDescent="0.25">
      <c r="A281">
        <v>1279</v>
      </c>
      <c r="B281" t="s">
        <v>327</v>
      </c>
      <c r="C281" t="s">
        <v>25</v>
      </c>
      <c r="D281" t="s">
        <v>82</v>
      </c>
      <c r="E281">
        <v>2</v>
      </c>
      <c r="F281">
        <v>2600.33</v>
      </c>
      <c r="G281">
        <f t="shared" si="8"/>
        <v>5200.66</v>
      </c>
      <c r="I281">
        <f t="shared" si="9"/>
        <v>5200.66</v>
      </c>
      <c r="J281" s="1">
        <v>45525</v>
      </c>
      <c r="K281" t="s">
        <v>18</v>
      </c>
      <c r="L281" t="s">
        <v>16</v>
      </c>
      <c r="M281">
        <v>1430.67</v>
      </c>
    </row>
    <row r="282" spans="1:13" x14ac:dyDescent="0.25">
      <c r="A282">
        <v>1280</v>
      </c>
      <c r="B282" t="s">
        <v>328</v>
      </c>
      <c r="C282" t="s">
        <v>31</v>
      </c>
      <c r="D282" t="s">
        <v>32</v>
      </c>
      <c r="E282">
        <v>3</v>
      </c>
      <c r="G282">
        <f t="shared" si="8"/>
        <v>0</v>
      </c>
      <c r="I282">
        <f t="shared" si="9"/>
        <v>0</v>
      </c>
      <c r="J282" s="1">
        <v>45578</v>
      </c>
      <c r="K282" t="s">
        <v>18</v>
      </c>
      <c r="L282" t="s">
        <v>23</v>
      </c>
      <c r="M282">
        <v>263.41000000000003</v>
      </c>
    </row>
    <row r="283" spans="1:13" x14ac:dyDescent="0.25">
      <c r="A283">
        <v>1003</v>
      </c>
      <c r="B283" t="s">
        <v>329</v>
      </c>
      <c r="C283" t="s">
        <v>20</v>
      </c>
      <c r="D283" t="s">
        <v>21</v>
      </c>
      <c r="E283">
        <v>-2</v>
      </c>
      <c r="F283">
        <v>548.19000000000005</v>
      </c>
      <c r="G283">
        <f t="shared" si="8"/>
        <v>-1096.3800000000001</v>
      </c>
      <c r="I283">
        <f t="shared" si="9"/>
        <v>-1096.3800000000001</v>
      </c>
      <c r="J283" s="1">
        <v>45603</v>
      </c>
      <c r="K283" t="s">
        <v>22</v>
      </c>
      <c r="L283" t="s">
        <v>16</v>
      </c>
      <c r="M283">
        <v>259.02999999999997</v>
      </c>
    </row>
    <row r="284" spans="1:13" x14ac:dyDescent="0.25">
      <c r="A284">
        <v>1282</v>
      </c>
      <c r="B284" t="s">
        <v>330</v>
      </c>
      <c r="C284" t="s">
        <v>25</v>
      </c>
      <c r="D284" t="s">
        <v>26</v>
      </c>
      <c r="E284">
        <v>-1</v>
      </c>
      <c r="G284">
        <f t="shared" si="8"/>
        <v>0</v>
      </c>
      <c r="H284" s="3">
        <v>0.14000000000000001</v>
      </c>
      <c r="I284">
        <f t="shared" si="9"/>
        <v>0</v>
      </c>
      <c r="J284" s="1">
        <v>45676</v>
      </c>
      <c r="K284" t="s">
        <v>22</v>
      </c>
      <c r="L284" t="s">
        <v>23</v>
      </c>
      <c r="M284">
        <v>-909.75</v>
      </c>
    </row>
    <row r="285" spans="1:13" x14ac:dyDescent="0.25">
      <c r="A285">
        <v>1283</v>
      </c>
      <c r="B285" t="s">
        <v>331</v>
      </c>
      <c r="C285" t="s">
        <v>25</v>
      </c>
      <c r="D285" t="s">
        <v>62</v>
      </c>
      <c r="E285">
        <v>2</v>
      </c>
      <c r="G285">
        <f t="shared" si="8"/>
        <v>0</v>
      </c>
      <c r="H285" s="3">
        <v>0.08</v>
      </c>
      <c r="I285">
        <f t="shared" si="9"/>
        <v>0</v>
      </c>
      <c r="K285" t="s">
        <v>2517</v>
      </c>
      <c r="L285" t="s">
        <v>23</v>
      </c>
      <c r="M285">
        <v>379.24</v>
      </c>
    </row>
    <row r="286" spans="1:13" x14ac:dyDescent="0.25">
      <c r="A286">
        <v>1284</v>
      </c>
      <c r="B286" t="s">
        <v>332</v>
      </c>
      <c r="C286" t="s">
        <v>20</v>
      </c>
      <c r="D286" t="s">
        <v>21</v>
      </c>
      <c r="E286">
        <v>2</v>
      </c>
      <c r="F286">
        <v>1500.19</v>
      </c>
      <c r="G286">
        <f t="shared" si="8"/>
        <v>3000.38</v>
      </c>
      <c r="I286">
        <f t="shared" si="9"/>
        <v>3000.38</v>
      </c>
      <c r="J286" s="1">
        <v>45430</v>
      </c>
      <c r="K286" t="s">
        <v>2517</v>
      </c>
      <c r="L286" t="s">
        <v>16</v>
      </c>
      <c r="M286">
        <v>-348.48</v>
      </c>
    </row>
    <row r="287" spans="1:13" x14ac:dyDescent="0.25">
      <c r="A287">
        <v>1285</v>
      </c>
      <c r="B287" t="s">
        <v>333</v>
      </c>
      <c r="C287" t="s">
        <v>28</v>
      </c>
      <c r="D287" t="s">
        <v>29</v>
      </c>
      <c r="E287">
        <v>5</v>
      </c>
      <c r="G287">
        <f t="shared" si="8"/>
        <v>0</v>
      </c>
      <c r="I287">
        <f t="shared" si="9"/>
        <v>0</v>
      </c>
      <c r="K287" t="s">
        <v>15</v>
      </c>
      <c r="L287" t="s">
        <v>16</v>
      </c>
      <c r="M287">
        <v>2024.84</v>
      </c>
    </row>
    <row r="288" spans="1:13" x14ac:dyDescent="0.25">
      <c r="A288">
        <v>1286</v>
      </c>
      <c r="B288" t="s">
        <v>334</v>
      </c>
      <c r="C288" t="s">
        <v>31</v>
      </c>
      <c r="D288" t="s">
        <v>78</v>
      </c>
      <c r="E288">
        <v>2</v>
      </c>
      <c r="F288">
        <v>2972.45</v>
      </c>
      <c r="G288">
        <f t="shared" si="8"/>
        <v>5944.9</v>
      </c>
      <c r="I288">
        <f t="shared" si="9"/>
        <v>5944.9</v>
      </c>
      <c r="J288" s="1">
        <v>45651</v>
      </c>
      <c r="K288" t="s">
        <v>22</v>
      </c>
      <c r="L288" t="s">
        <v>16</v>
      </c>
      <c r="M288">
        <v>2562.54</v>
      </c>
    </row>
    <row r="289" spans="1:13" x14ac:dyDescent="0.25">
      <c r="A289">
        <v>1287</v>
      </c>
      <c r="B289" t="s">
        <v>335</v>
      </c>
      <c r="C289" t="s">
        <v>13</v>
      </c>
      <c r="D289" t="s">
        <v>14</v>
      </c>
      <c r="E289">
        <v>2</v>
      </c>
      <c r="G289">
        <f t="shared" si="8"/>
        <v>0</v>
      </c>
      <c r="I289">
        <f t="shared" si="9"/>
        <v>0</v>
      </c>
      <c r="J289" s="1">
        <v>45694</v>
      </c>
      <c r="K289" t="s">
        <v>38</v>
      </c>
      <c r="L289" t="s">
        <v>23</v>
      </c>
      <c r="M289">
        <v>802.66</v>
      </c>
    </row>
    <row r="290" spans="1:13" x14ac:dyDescent="0.25">
      <c r="A290">
        <v>1288</v>
      </c>
      <c r="B290" t="s">
        <v>336</v>
      </c>
      <c r="C290" t="s">
        <v>25</v>
      </c>
      <c r="D290" t="s">
        <v>62</v>
      </c>
      <c r="E290">
        <v>4</v>
      </c>
      <c r="G290">
        <f t="shared" si="8"/>
        <v>0</v>
      </c>
      <c r="I290">
        <f t="shared" si="9"/>
        <v>0</v>
      </c>
      <c r="K290" t="s">
        <v>15</v>
      </c>
      <c r="L290" t="s">
        <v>23</v>
      </c>
      <c r="M290">
        <v>-492.73</v>
      </c>
    </row>
    <row r="291" spans="1:13" x14ac:dyDescent="0.25">
      <c r="A291">
        <v>1289</v>
      </c>
      <c r="B291" t="s">
        <v>337</v>
      </c>
      <c r="C291" t="s">
        <v>20</v>
      </c>
      <c r="D291" t="s">
        <v>84</v>
      </c>
      <c r="E291">
        <v>2</v>
      </c>
      <c r="F291">
        <v>3590.85</v>
      </c>
      <c r="G291">
        <f t="shared" si="8"/>
        <v>7181.7</v>
      </c>
      <c r="I291">
        <f t="shared" si="9"/>
        <v>7181.7</v>
      </c>
      <c r="K291" t="s">
        <v>22</v>
      </c>
      <c r="L291" t="s">
        <v>16</v>
      </c>
      <c r="M291">
        <v>2052.5700000000002</v>
      </c>
    </row>
    <row r="292" spans="1:13" x14ac:dyDescent="0.25">
      <c r="A292">
        <v>1290</v>
      </c>
      <c r="B292" t="s">
        <v>338</v>
      </c>
      <c r="C292" t="s">
        <v>13</v>
      </c>
      <c r="D292" t="s">
        <v>14</v>
      </c>
      <c r="E292">
        <v>2</v>
      </c>
      <c r="F292">
        <v>1412.12</v>
      </c>
      <c r="G292">
        <f t="shared" si="8"/>
        <v>2824.24</v>
      </c>
      <c r="H292" s="3">
        <v>1.2</v>
      </c>
      <c r="I292">
        <f t="shared" si="9"/>
        <v>-564.84799999999984</v>
      </c>
      <c r="K292" t="s">
        <v>15</v>
      </c>
      <c r="L292" t="s">
        <v>23</v>
      </c>
      <c r="M292">
        <v>430.92</v>
      </c>
    </row>
    <row r="293" spans="1:13" x14ac:dyDescent="0.25">
      <c r="A293">
        <v>1291</v>
      </c>
      <c r="B293" t="s">
        <v>339</v>
      </c>
      <c r="C293" t="s">
        <v>20</v>
      </c>
      <c r="D293" t="s">
        <v>21</v>
      </c>
      <c r="E293">
        <v>2</v>
      </c>
      <c r="G293">
        <f t="shared" si="8"/>
        <v>0</v>
      </c>
      <c r="I293">
        <f t="shared" si="9"/>
        <v>0</v>
      </c>
      <c r="K293" t="s">
        <v>2517</v>
      </c>
      <c r="L293" t="s">
        <v>16</v>
      </c>
      <c r="M293">
        <v>1073.44</v>
      </c>
    </row>
    <row r="294" spans="1:13" x14ac:dyDescent="0.25">
      <c r="A294">
        <v>1292</v>
      </c>
      <c r="B294" t="s">
        <v>340</v>
      </c>
      <c r="C294" t="s">
        <v>36</v>
      </c>
      <c r="D294" t="s">
        <v>55</v>
      </c>
      <c r="E294">
        <v>3</v>
      </c>
      <c r="G294">
        <f t="shared" si="8"/>
        <v>0</v>
      </c>
      <c r="H294" s="3">
        <v>0.46</v>
      </c>
      <c r="I294">
        <f t="shared" si="9"/>
        <v>0</v>
      </c>
      <c r="K294" t="s">
        <v>22</v>
      </c>
      <c r="L294" t="s">
        <v>16</v>
      </c>
      <c r="M294">
        <v>1165.8599999999999</v>
      </c>
    </row>
    <row r="295" spans="1:13" x14ac:dyDescent="0.25">
      <c r="A295">
        <v>1293</v>
      </c>
      <c r="B295" t="s">
        <v>341</v>
      </c>
      <c r="C295" t="s">
        <v>20</v>
      </c>
      <c r="D295" t="s">
        <v>84</v>
      </c>
      <c r="E295">
        <v>2</v>
      </c>
      <c r="G295">
        <f t="shared" si="8"/>
        <v>0</v>
      </c>
      <c r="I295">
        <f t="shared" si="9"/>
        <v>0</v>
      </c>
      <c r="K295" t="s">
        <v>2517</v>
      </c>
      <c r="L295" t="s">
        <v>23</v>
      </c>
      <c r="M295">
        <v>2073.16</v>
      </c>
    </row>
    <row r="296" spans="1:13" x14ac:dyDescent="0.25">
      <c r="A296">
        <v>1294</v>
      </c>
      <c r="B296" t="s">
        <v>342</v>
      </c>
      <c r="C296" t="s">
        <v>28</v>
      </c>
      <c r="D296" t="s">
        <v>116</v>
      </c>
      <c r="E296">
        <v>2</v>
      </c>
      <c r="G296">
        <f t="shared" si="8"/>
        <v>0</v>
      </c>
      <c r="H296" s="3">
        <v>0.56000000000000005</v>
      </c>
      <c r="I296">
        <f t="shared" si="9"/>
        <v>0</v>
      </c>
      <c r="K296" t="s">
        <v>15</v>
      </c>
      <c r="L296" t="s">
        <v>23</v>
      </c>
      <c r="M296">
        <v>898.24</v>
      </c>
    </row>
    <row r="297" spans="1:13" x14ac:dyDescent="0.25">
      <c r="A297">
        <v>1295</v>
      </c>
      <c r="B297" t="s">
        <v>343</v>
      </c>
      <c r="C297" t="s">
        <v>20</v>
      </c>
      <c r="D297" t="s">
        <v>118</v>
      </c>
      <c r="E297">
        <v>-1</v>
      </c>
      <c r="G297">
        <f t="shared" si="8"/>
        <v>0</v>
      </c>
      <c r="I297">
        <f t="shared" si="9"/>
        <v>0</v>
      </c>
      <c r="J297" s="1">
        <v>45499</v>
      </c>
      <c r="K297" t="s">
        <v>38</v>
      </c>
      <c r="L297" t="s">
        <v>16</v>
      </c>
      <c r="M297">
        <v>2967.72</v>
      </c>
    </row>
    <row r="298" spans="1:13" x14ac:dyDescent="0.25">
      <c r="A298">
        <v>1296</v>
      </c>
      <c r="B298" t="s">
        <v>344</v>
      </c>
      <c r="C298" t="s">
        <v>13</v>
      </c>
      <c r="D298" t="s">
        <v>14</v>
      </c>
      <c r="E298">
        <v>-2</v>
      </c>
      <c r="F298">
        <v>2795.79</v>
      </c>
      <c r="G298">
        <f t="shared" si="8"/>
        <v>-5591.58</v>
      </c>
      <c r="I298">
        <f t="shared" si="9"/>
        <v>-5591.58</v>
      </c>
      <c r="J298" s="1">
        <v>45742</v>
      </c>
      <c r="K298" t="s">
        <v>38</v>
      </c>
      <c r="L298" t="s">
        <v>23</v>
      </c>
      <c r="M298">
        <v>1438.47</v>
      </c>
    </row>
    <row r="299" spans="1:13" x14ac:dyDescent="0.25">
      <c r="A299">
        <v>1297</v>
      </c>
      <c r="B299" t="s">
        <v>345</v>
      </c>
      <c r="C299" t="s">
        <v>20</v>
      </c>
      <c r="D299" t="s">
        <v>21</v>
      </c>
      <c r="E299">
        <v>2</v>
      </c>
      <c r="F299">
        <v>4524.2</v>
      </c>
      <c r="G299">
        <f t="shared" si="8"/>
        <v>9048.4</v>
      </c>
      <c r="I299">
        <f t="shared" si="9"/>
        <v>9048.4</v>
      </c>
      <c r="J299" s="1">
        <v>45506</v>
      </c>
      <c r="K299" t="s">
        <v>15</v>
      </c>
      <c r="L299" t="s">
        <v>16</v>
      </c>
      <c r="M299">
        <v>1637.33</v>
      </c>
    </row>
    <row r="300" spans="1:13" x14ac:dyDescent="0.25">
      <c r="A300">
        <v>1298</v>
      </c>
      <c r="B300" t="s">
        <v>346</v>
      </c>
      <c r="C300" t="s">
        <v>31</v>
      </c>
      <c r="D300" t="s">
        <v>78</v>
      </c>
      <c r="E300">
        <v>2</v>
      </c>
      <c r="G300">
        <f t="shared" si="8"/>
        <v>0</v>
      </c>
      <c r="I300">
        <f t="shared" si="9"/>
        <v>0</v>
      </c>
      <c r="J300" s="1">
        <v>45657</v>
      </c>
      <c r="K300" t="s">
        <v>18</v>
      </c>
      <c r="L300" t="s">
        <v>16</v>
      </c>
      <c r="M300">
        <v>2490.23</v>
      </c>
    </row>
    <row r="301" spans="1:13" x14ac:dyDescent="0.25">
      <c r="A301">
        <v>1299</v>
      </c>
      <c r="B301" t="s">
        <v>347</v>
      </c>
      <c r="C301" t="s">
        <v>20</v>
      </c>
      <c r="D301" t="s">
        <v>84</v>
      </c>
      <c r="E301">
        <v>1</v>
      </c>
      <c r="F301">
        <v>1026.58</v>
      </c>
      <c r="G301">
        <f t="shared" si="8"/>
        <v>1026.58</v>
      </c>
      <c r="I301">
        <f t="shared" si="9"/>
        <v>1026.58</v>
      </c>
      <c r="J301" s="1">
        <v>45591</v>
      </c>
      <c r="K301" t="s">
        <v>2517</v>
      </c>
      <c r="L301" t="s">
        <v>16</v>
      </c>
      <c r="M301">
        <v>1178.3699999999999</v>
      </c>
    </row>
    <row r="302" spans="1:13" x14ac:dyDescent="0.25">
      <c r="A302">
        <v>1300</v>
      </c>
      <c r="B302" t="s">
        <v>348</v>
      </c>
      <c r="C302" t="s">
        <v>13</v>
      </c>
      <c r="D302" t="s">
        <v>14</v>
      </c>
      <c r="E302">
        <v>2</v>
      </c>
      <c r="F302">
        <v>4611.8999999999996</v>
      </c>
      <c r="G302">
        <f t="shared" si="8"/>
        <v>9223.7999999999993</v>
      </c>
      <c r="I302">
        <f t="shared" si="9"/>
        <v>9223.7999999999993</v>
      </c>
      <c r="J302" s="1">
        <v>45772</v>
      </c>
      <c r="K302" t="s">
        <v>15</v>
      </c>
      <c r="L302" t="s">
        <v>23</v>
      </c>
      <c r="M302">
        <v>703.48</v>
      </c>
    </row>
    <row r="303" spans="1:13" x14ac:dyDescent="0.25">
      <c r="A303">
        <v>1047</v>
      </c>
      <c r="B303" t="s">
        <v>349</v>
      </c>
      <c r="C303" t="s">
        <v>13</v>
      </c>
      <c r="D303" t="s">
        <v>47</v>
      </c>
      <c r="E303">
        <v>5</v>
      </c>
      <c r="G303">
        <f t="shared" si="8"/>
        <v>0</v>
      </c>
      <c r="H303" s="3">
        <v>1.1499999999999999</v>
      </c>
      <c r="I303">
        <f t="shared" si="9"/>
        <v>0</v>
      </c>
      <c r="J303" s="1">
        <v>45843</v>
      </c>
      <c r="K303" t="s">
        <v>2517</v>
      </c>
      <c r="L303" t="s">
        <v>16</v>
      </c>
      <c r="M303">
        <v>1368.68</v>
      </c>
    </row>
    <row r="304" spans="1:13" x14ac:dyDescent="0.25">
      <c r="A304">
        <v>1302</v>
      </c>
      <c r="B304" t="s">
        <v>350</v>
      </c>
      <c r="C304" t="s">
        <v>13</v>
      </c>
      <c r="D304" t="s">
        <v>98</v>
      </c>
      <c r="E304">
        <v>5</v>
      </c>
      <c r="G304">
        <f t="shared" si="8"/>
        <v>0</v>
      </c>
      <c r="H304" s="3">
        <v>0.09</v>
      </c>
      <c r="I304">
        <f t="shared" si="9"/>
        <v>0</v>
      </c>
      <c r="J304" s="1">
        <v>45702</v>
      </c>
      <c r="K304" t="s">
        <v>18</v>
      </c>
      <c r="L304" t="s">
        <v>16</v>
      </c>
      <c r="M304">
        <v>339.17</v>
      </c>
    </row>
    <row r="305" spans="1:13" x14ac:dyDescent="0.25">
      <c r="A305">
        <v>1303</v>
      </c>
      <c r="B305" t="s">
        <v>351</v>
      </c>
      <c r="C305" t="s">
        <v>13</v>
      </c>
      <c r="D305" t="s">
        <v>47</v>
      </c>
      <c r="E305">
        <v>3</v>
      </c>
      <c r="F305">
        <v>1192.1600000000001</v>
      </c>
      <c r="G305">
        <f t="shared" si="8"/>
        <v>3576.4800000000005</v>
      </c>
      <c r="I305">
        <f t="shared" si="9"/>
        <v>3576.4800000000005</v>
      </c>
      <c r="K305" t="s">
        <v>44</v>
      </c>
      <c r="L305" t="s">
        <v>23</v>
      </c>
      <c r="M305">
        <v>505.33</v>
      </c>
    </row>
    <row r="306" spans="1:13" x14ac:dyDescent="0.25">
      <c r="A306">
        <v>1047</v>
      </c>
      <c r="B306" t="s">
        <v>352</v>
      </c>
      <c r="C306" t="s">
        <v>36</v>
      </c>
      <c r="D306" t="s">
        <v>55</v>
      </c>
      <c r="E306">
        <v>2</v>
      </c>
      <c r="F306">
        <v>3218.39</v>
      </c>
      <c r="G306">
        <f t="shared" si="8"/>
        <v>6436.78</v>
      </c>
      <c r="I306">
        <f t="shared" si="9"/>
        <v>6436.78</v>
      </c>
      <c r="J306" s="1">
        <v>45810</v>
      </c>
      <c r="K306" t="s">
        <v>22</v>
      </c>
      <c r="L306" t="s">
        <v>23</v>
      </c>
      <c r="M306">
        <v>-442.98</v>
      </c>
    </row>
    <row r="307" spans="1:13" x14ac:dyDescent="0.25">
      <c r="A307">
        <v>1305</v>
      </c>
      <c r="B307" t="s">
        <v>353</v>
      </c>
      <c r="C307" t="s">
        <v>20</v>
      </c>
      <c r="D307" t="s">
        <v>76</v>
      </c>
      <c r="E307">
        <v>3</v>
      </c>
      <c r="G307">
        <f t="shared" si="8"/>
        <v>0</v>
      </c>
      <c r="I307">
        <f t="shared" si="9"/>
        <v>0</v>
      </c>
      <c r="J307" s="1">
        <v>45157</v>
      </c>
      <c r="K307" t="s">
        <v>15</v>
      </c>
      <c r="L307" t="s">
        <v>16</v>
      </c>
      <c r="M307">
        <v>2861.3</v>
      </c>
    </row>
    <row r="308" spans="1:13" x14ac:dyDescent="0.25">
      <c r="A308">
        <v>1306</v>
      </c>
      <c r="B308" t="s">
        <v>354</v>
      </c>
      <c r="C308" t="s">
        <v>28</v>
      </c>
      <c r="D308" t="s">
        <v>29</v>
      </c>
      <c r="E308">
        <v>4</v>
      </c>
      <c r="G308">
        <f t="shared" si="8"/>
        <v>0</v>
      </c>
      <c r="I308">
        <f t="shared" si="9"/>
        <v>0</v>
      </c>
      <c r="K308" t="s">
        <v>18</v>
      </c>
      <c r="L308" t="s">
        <v>16</v>
      </c>
      <c r="M308">
        <v>99.1</v>
      </c>
    </row>
    <row r="309" spans="1:13" x14ac:dyDescent="0.25">
      <c r="A309">
        <v>1307</v>
      </c>
      <c r="B309" t="s">
        <v>355</v>
      </c>
      <c r="C309" t="s">
        <v>36</v>
      </c>
      <c r="D309" t="s">
        <v>55</v>
      </c>
      <c r="E309">
        <v>2</v>
      </c>
      <c r="F309">
        <v>2648.43</v>
      </c>
      <c r="G309">
        <f t="shared" si="8"/>
        <v>5296.86</v>
      </c>
      <c r="I309">
        <f t="shared" si="9"/>
        <v>5296.86</v>
      </c>
      <c r="J309" s="1">
        <v>45512</v>
      </c>
      <c r="K309" t="s">
        <v>18</v>
      </c>
      <c r="L309" t="s">
        <v>23</v>
      </c>
      <c r="M309">
        <v>642</v>
      </c>
    </row>
    <row r="310" spans="1:13" x14ac:dyDescent="0.25">
      <c r="A310">
        <v>1308</v>
      </c>
      <c r="B310" t="s">
        <v>356</v>
      </c>
      <c r="C310" t="s">
        <v>36</v>
      </c>
      <c r="D310" t="s">
        <v>87</v>
      </c>
      <c r="E310">
        <v>2</v>
      </c>
      <c r="F310">
        <v>4203.62</v>
      </c>
      <c r="G310">
        <f t="shared" si="8"/>
        <v>8407.24</v>
      </c>
      <c r="I310">
        <f t="shared" si="9"/>
        <v>8407.24</v>
      </c>
      <c r="J310" s="1">
        <v>45755</v>
      </c>
      <c r="K310" t="s">
        <v>22</v>
      </c>
      <c r="L310" t="s">
        <v>23</v>
      </c>
      <c r="M310">
        <v>464.65</v>
      </c>
    </row>
    <row r="311" spans="1:13" x14ac:dyDescent="0.25">
      <c r="A311">
        <v>1309</v>
      </c>
      <c r="B311" t="s">
        <v>357</v>
      </c>
      <c r="C311" t="s">
        <v>28</v>
      </c>
      <c r="D311" t="s">
        <v>137</v>
      </c>
      <c r="E311">
        <v>2</v>
      </c>
      <c r="G311">
        <f t="shared" si="8"/>
        <v>0</v>
      </c>
      <c r="I311">
        <f t="shared" si="9"/>
        <v>0</v>
      </c>
      <c r="J311" s="1">
        <v>45719</v>
      </c>
      <c r="K311" t="s">
        <v>44</v>
      </c>
      <c r="L311" t="s">
        <v>23</v>
      </c>
      <c r="M311">
        <v>481.45</v>
      </c>
    </row>
    <row r="312" spans="1:13" x14ac:dyDescent="0.25">
      <c r="A312">
        <v>1310</v>
      </c>
      <c r="B312" t="s">
        <v>358</v>
      </c>
      <c r="C312" t="s">
        <v>36</v>
      </c>
      <c r="D312" t="s">
        <v>55</v>
      </c>
      <c r="E312">
        <v>2</v>
      </c>
      <c r="G312">
        <f t="shared" si="8"/>
        <v>0</v>
      </c>
      <c r="I312">
        <f t="shared" si="9"/>
        <v>0</v>
      </c>
      <c r="J312" s="1">
        <v>45720</v>
      </c>
      <c r="K312" t="s">
        <v>44</v>
      </c>
      <c r="L312" t="s">
        <v>23</v>
      </c>
      <c r="M312">
        <v>1516.35</v>
      </c>
    </row>
    <row r="313" spans="1:13" x14ac:dyDescent="0.25">
      <c r="A313">
        <v>1311</v>
      </c>
      <c r="B313" t="s">
        <v>359</v>
      </c>
      <c r="C313" t="s">
        <v>20</v>
      </c>
      <c r="D313" t="s">
        <v>76</v>
      </c>
      <c r="E313">
        <v>3</v>
      </c>
      <c r="G313">
        <f t="shared" si="8"/>
        <v>0</v>
      </c>
      <c r="H313" s="3">
        <v>0.13</v>
      </c>
      <c r="I313">
        <f t="shared" si="9"/>
        <v>0</v>
      </c>
      <c r="J313" s="1">
        <v>45272</v>
      </c>
      <c r="K313" t="s">
        <v>22</v>
      </c>
      <c r="L313" t="s">
        <v>23</v>
      </c>
      <c r="M313">
        <v>-109.19</v>
      </c>
    </row>
    <row r="314" spans="1:13" x14ac:dyDescent="0.25">
      <c r="A314">
        <v>1312</v>
      </c>
      <c r="B314" t="s">
        <v>360</v>
      </c>
      <c r="C314" t="s">
        <v>28</v>
      </c>
      <c r="D314" t="s">
        <v>40</v>
      </c>
      <c r="E314">
        <v>2</v>
      </c>
      <c r="G314">
        <f t="shared" si="8"/>
        <v>0</v>
      </c>
      <c r="I314">
        <f t="shared" si="9"/>
        <v>0</v>
      </c>
      <c r="J314" s="1">
        <v>45806</v>
      </c>
      <c r="K314" t="s">
        <v>44</v>
      </c>
      <c r="L314" t="s">
        <v>23</v>
      </c>
      <c r="M314">
        <v>-646.16</v>
      </c>
    </row>
    <row r="315" spans="1:13" x14ac:dyDescent="0.25">
      <c r="A315">
        <v>1313</v>
      </c>
      <c r="B315" t="s">
        <v>361</v>
      </c>
      <c r="C315" t="s">
        <v>28</v>
      </c>
      <c r="D315" t="s">
        <v>116</v>
      </c>
      <c r="E315">
        <v>2</v>
      </c>
      <c r="F315">
        <v>4763.45</v>
      </c>
      <c r="G315">
        <f t="shared" si="8"/>
        <v>9526.9</v>
      </c>
      <c r="H315" s="3">
        <v>0.96</v>
      </c>
      <c r="I315">
        <f t="shared" si="9"/>
        <v>381.07600000000031</v>
      </c>
      <c r="J315" s="1">
        <v>45284</v>
      </c>
      <c r="K315" t="s">
        <v>44</v>
      </c>
      <c r="L315" t="s">
        <v>16</v>
      </c>
      <c r="M315">
        <v>-581.35</v>
      </c>
    </row>
    <row r="316" spans="1:13" x14ac:dyDescent="0.25">
      <c r="A316">
        <v>1314</v>
      </c>
      <c r="B316" t="s">
        <v>362</v>
      </c>
      <c r="C316" t="s">
        <v>25</v>
      </c>
      <c r="D316" t="s">
        <v>62</v>
      </c>
      <c r="E316">
        <v>-1</v>
      </c>
      <c r="G316">
        <f t="shared" si="8"/>
        <v>0</v>
      </c>
      <c r="I316">
        <f t="shared" si="9"/>
        <v>0</v>
      </c>
      <c r="J316" s="1">
        <v>45626</v>
      </c>
      <c r="K316" t="s">
        <v>2517</v>
      </c>
      <c r="L316" t="s">
        <v>16</v>
      </c>
      <c r="M316">
        <v>1148.06</v>
      </c>
    </row>
    <row r="317" spans="1:13" x14ac:dyDescent="0.25">
      <c r="A317">
        <v>1315</v>
      </c>
      <c r="B317" t="s">
        <v>363</v>
      </c>
      <c r="C317" t="s">
        <v>13</v>
      </c>
      <c r="D317" t="s">
        <v>34</v>
      </c>
      <c r="E317">
        <v>-2</v>
      </c>
      <c r="F317">
        <v>515.04</v>
      </c>
      <c r="G317">
        <f t="shared" si="8"/>
        <v>-1030.08</v>
      </c>
      <c r="I317">
        <f t="shared" si="9"/>
        <v>-1030.08</v>
      </c>
      <c r="J317" s="1">
        <v>45473</v>
      </c>
      <c r="K317" t="s">
        <v>38</v>
      </c>
      <c r="L317" t="s">
        <v>16</v>
      </c>
      <c r="M317">
        <v>-279.01</v>
      </c>
    </row>
    <row r="318" spans="1:13" x14ac:dyDescent="0.25">
      <c r="A318">
        <v>1316</v>
      </c>
      <c r="B318" t="s">
        <v>364</v>
      </c>
      <c r="C318" t="s">
        <v>31</v>
      </c>
      <c r="D318" t="s">
        <v>32</v>
      </c>
      <c r="E318">
        <v>2</v>
      </c>
      <c r="F318">
        <v>1345.98</v>
      </c>
      <c r="G318">
        <f t="shared" si="8"/>
        <v>2691.96</v>
      </c>
      <c r="I318">
        <f t="shared" si="9"/>
        <v>2691.96</v>
      </c>
      <c r="J318" s="1">
        <v>45769</v>
      </c>
      <c r="K318" t="s">
        <v>44</v>
      </c>
      <c r="L318" t="s">
        <v>16</v>
      </c>
      <c r="M318">
        <v>-177.6</v>
      </c>
    </row>
    <row r="319" spans="1:13" x14ac:dyDescent="0.25">
      <c r="A319">
        <v>1317</v>
      </c>
      <c r="B319" t="s">
        <v>365</v>
      </c>
      <c r="C319" t="s">
        <v>28</v>
      </c>
      <c r="D319" t="s">
        <v>116</v>
      </c>
      <c r="E319">
        <v>0</v>
      </c>
      <c r="G319">
        <f t="shared" si="8"/>
        <v>0</v>
      </c>
      <c r="I319">
        <f t="shared" si="9"/>
        <v>0</v>
      </c>
      <c r="J319" s="1">
        <v>45508</v>
      </c>
      <c r="K319" t="s">
        <v>22</v>
      </c>
      <c r="L319" t="s">
        <v>23</v>
      </c>
      <c r="M319">
        <v>-476.45</v>
      </c>
    </row>
    <row r="320" spans="1:13" x14ac:dyDescent="0.25">
      <c r="A320">
        <v>1318</v>
      </c>
      <c r="B320" t="s">
        <v>366</v>
      </c>
      <c r="C320" t="s">
        <v>28</v>
      </c>
      <c r="D320" t="s">
        <v>29</v>
      </c>
      <c r="E320">
        <v>3</v>
      </c>
      <c r="G320">
        <f t="shared" si="8"/>
        <v>0</v>
      </c>
      <c r="I320">
        <f t="shared" si="9"/>
        <v>0</v>
      </c>
      <c r="K320" t="s">
        <v>44</v>
      </c>
      <c r="L320" t="s">
        <v>16</v>
      </c>
      <c r="M320">
        <v>1830.14</v>
      </c>
    </row>
    <row r="321" spans="1:13" x14ac:dyDescent="0.25">
      <c r="A321">
        <v>1319</v>
      </c>
      <c r="B321" t="s">
        <v>367</v>
      </c>
      <c r="C321" t="s">
        <v>36</v>
      </c>
      <c r="D321" t="s">
        <v>87</v>
      </c>
      <c r="E321">
        <v>0</v>
      </c>
      <c r="G321">
        <f t="shared" si="8"/>
        <v>0</v>
      </c>
      <c r="I321">
        <f t="shared" si="9"/>
        <v>0</v>
      </c>
      <c r="J321" s="1">
        <v>45358</v>
      </c>
      <c r="K321" t="s">
        <v>18</v>
      </c>
      <c r="L321" t="s">
        <v>16</v>
      </c>
      <c r="M321">
        <v>-66.17</v>
      </c>
    </row>
    <row r="322" spans="1:13" x14ac:dyDescent="0.25">
      <c r="A322">
        <v>1320</v>
      </c>
      <c r="B322" t="s">
        <v>368</v>
      </c>
      <c r="C322" t="s">
        <v>28</v>
      </c>
      <c r="D322" t="s">
        <v>29</v>
      </c>
      <c r="E322">
        <v>4</v>
      </c>
      <c r="G322">
        <f t="shared" si="8"/>
        <v>0</v>
      </c>
      <c r="I322">
        <f t="shared" si="9"/>
        <v>0</v>
      </c>
      <c r="K322" t="s">
        <v>15</v>
      </c>
      <c r="L322" t="s">
        <v>23</v>
      </c>
      <c r="M322">
        <v>2011.4</v>
      </c>
    </row>
    <row r="323" spans="1:13" x14ac:dyDescent="0.25">
      <c r="A323">
        <v>1321</v>
      </c>
      <c r="B323" t="s">
        <v>369</v>
      </c>
      <c r="C323" t="s">
        <v>20</v>
      </c>
      <c r="D323" t="s">
        <v>118</v>
      </c>
      <c r="E323">
        <v>3</v>
      </c>
      <c r="G323">
        <f t="shared" ref="G323:G386" si="10">F323*E323</f>
        <v>0</v>
      </c>
      <c r="H323" s="3">
        <v>1.02</v>
      </c>
      <c r="I323">
        <f t="shared" ref="I323:I386" si="11">G323*(1-H323)</f>
        <v>0</v>
      </c>
      <c r="J323" s="1">
        <v>45561</v>
      </c>
      <c r="K323" t="s">
        <v>15</v>
      </c>
      <c r="L323" t="s">
        <v>16</v>
      </c>
      <c r="M323">
        <v>632.23</v>
      </c>
    </row>
    <row r="324" spans="1:13" x14ac:dyDescent="0.25">
      <c r="A324">
        <v>1322</v>
      </c>
      <c r="B324" t="s">
        <v>370</v>
      </c>
      <c r="C324" t="s">
        <v>31</v>
      </c>
      <c r="D324" t="s">
        <v>68</v>
      </c>
      <c r="E324">
        <v>2</v>
      </c>
      <c r="F324">
        <v>2387.61</v>
      </c>
      <c r="G324">
        <f t="shared" si="10"/>
        <v>4775.22</v>
      </c>
      <c r="I324">
        <f t="shared" si="11"/>
        <v>4775.22</v>
      </c>
      <c r="J324" s="1">
        <v>45628</v>
      </c>
      <c r="K324" t="s">
        <v>15</v>
      </c>
      <c r="L324" t="s">
        <v>16</v>
      </c>
      <c r="M324">
        <v>822.46</v>
      </c>
    </row>
    <row r="325" spans="1:13" x14ac:dyDescent="0.25">
      <c r="A325">
        <v>1323</v>
      </c>
      <c r="B325" t="s">
        <v>371</v>
      </c>
      <c r="C325" t="s">
        <v>20</v>
      </c>
      <c r="D325" t="s">
        <v>21</v>
      </c>
      <c r="E325">
        <v>2</v>
      </c>
      <c r="G325">
        <f t="shared" si="10"/>
        <v>0</v>
      </c>
      <c r="H325" s="3">
        <v>1.1200000000000001</v>
      </c>
      <c r="I325">
        <f t="shared" si="11"/>
        <v>0</v>
      </c>
      <c r="J325" s="1">
        <v>45412</v>
      </c>
      <c r="K325" t="s">
        <v>44</v>
      </c>
      <c r="L325" t="s">
        <v>16</v>
      </c>
      <c r="M325">
        <v>-96.6</v>
      </c>
    </row>
    <row r="326" spans="1:13" x14ac:dyDescent="0.25">
      <c r="A326">
        <v>1324</v>
      </c>
      <c r="B326" t="s">
        <v>372</v>
      </c>
      <c r="C326" t="s">
        <v>20</v>
      </c>
      <c r="D326" t="s">
        <v>76</v>
      </c>
      <c r="E326">
        <v>2</v>
      </c>
      <c r="G326">
        <f t="shared" si="10"/>
        <v>0</v>
      </c>
      <c r="I326">
        <f t="shared" si="11"/>
        <v>0</v>
      </c>
      <c r="J326" s="1">
        <v>45638</v>
      </c>
      <c r="K326" t="s">
        <v>22</v>
      </c>
      <c r="L326" t="s">
        <v>16</v>
      </c>
      <c r="M326">
        <v>-610.52</v>
      </c>
    </row>
    <row r="327" spans="1:13" x14ac:dyDescent="0.25">
      <c r="A327">
        <v>1325</v>
      </c>
      <c r="B327" t="s">
        <v>373</v>
      </c>
      <c r="C327" t="s">
        <v>13</v>
      </c>
      <c r="D327" t="s">
        <v>98</v>
      </c>
      <c r="E327">
        <v>2</v>
      </c>
      <c r="F327">
        <v>1315.93</v>
      </c>
      <c r="G327">
        <f t="shared" si="10"/>
        <v>2631.86</v>
      </c>
      <c r="I327">
        <f t="shared" si="11"/>
        <v>2631.86</v>
      </c>
      <c r="J327" s="1">
        <v>45844</v>
      </c>
      <c r="K327" t="s">
        <v>38</v>
      </c>
      <c r="L327" t="s">
        <v>16</v>
      </c>
      <c r="M327">
        <v>1435.03</v>
      </c>
    </row>
    <row r="328" spans="1:13" x14ac:dyDescent="0.25">
      <c r="A328">
        <v>1326</v>
      </c>
      <c r="B328" t="s">
        <v>374</v>
      </c>
      <c r="C328" t="s">
        <v>36</v>
      </c>
      <c r="D328" t="s">
        <v>37</v>
      </c>
      <c r="E328">
        <v>2</v>
      </c>
      <c r="F328">
        <v>4104.3599999999997</v>
      </c>
      <c r="G328">
        <f t="shared" si="10"/>
        <v>8208.7199999999993</v>
      </c>
      <c r="H328" s="3">
        <v>1.1100000000000001</v>
      </c>
      <c r="I328">
        <f t="shared" si="11"/>
        <v>-902.95920000000069</v>
      </c>
      <c r="J328" s="1">
        <v>45648</v>
      </c>
      <c r="K328" t="s">
        <v>22</v>
      </c>
      <c r="L328" t="s">
        <v>16</v>
      </c>
      <c r="M328">
        <v>1404.45</v>
      </c>
    </row>
    <row r="329" spans="1:13" x14ac:dyDescent="0.25">
      <c r="A329">
        <v>1327</v>
      </c>
      <c r="B329" t="s">
        <v>375</v>
      </c>
      <c r="C329" t="s">
        <v>25</v>
      </c>
      <c r="D329" t="s">
        <v>62</v>
      </c>
      <c r="E329">
        <v>2</v>
      </c>
      <c r="F329">
        <v>2964.44</v>
      </c>
      <c r="G329">
        <f t="shared" si="10"/>
        <v>5928.88</v>
      </c>
      <c r="I329">
        <f t="shared" si="11"/>
        <v>5928.88</v>
      </c>
      <c r="J329" s="1">
        <v>45144</v>
      </c>
      <c r="K329" t="s">
        <v>22</v>
      </c>
      <c r="L329" t="s">
        <v>16</v>
      </c>
      <c r="M329">
        <v>2021.54</v>
      </c>
    </row>
    <row r="330" spans="1:13" x14ac:dyDescent="0.25">
      <c r="A330">
        <v>1328</v>
      </c>
      <c r="B330" t="s">
        <v>376</v>
      </c>
      <c r="C330" t="s">
        <v>25</v>
      </c>
      <c r="D330" t="s">
        <v>82</v>
      </c>
      <c r="E330">
        <v>4</v>
      </c>
      <c r="F330">
        <v>3250.24</v>
      </c>
      <c r="G330">
        <f t="shared" si="10"/>
        <v>13000.96</v>
      </c>
      <c r="H330" s="3">
        <v>0.56000000000000005</v>
      </c>
      <c r="I330">
        <f t="shared" si="11"/>
        <v>5720.4223999999986</v>
      </c>
      <c r="J330" s="1">
        <v>45804</v>
      </c>
      <c r="K330" t="s">
        <v>44</v>
      </c>
      <c r="L330" t="s">
        <v>23</v>
      </c>
      <c r="M330">
        <v>2269.54</v>
      </c>
    </row>
    <row r="331" spans="1:13" x14ac:dyDescent="0.25">
      <c r="A331">
        <v>1329</v>
      </c>
      <c r="B331" t="s">
        <v>377</v>
      </c>
      <c r="C331" t="s">
        <v>31</v>
      </c>
      <c r="D331" t="s">
        <v>78</v>
      </c>
      <c r="E331">
        <v>1</v>
      </c>
      <c r="F331">
        <v>2587.7800000000002</v>
      </c>
      <c r="G331">
        <f t="shared" si="10"/>
        <v>2587.7800000000002</v>
      </c>
      <c r="I331">
        <f t="shared" si="11"/>
        <v>2587.7800000000002</v>
      </c>
      <c r="J331" s="1">
        <v>45285</v>
      </c>
      <c r="K331" t="s">
        <v>2517</v>
      </c>
      <c r="L331" t="s">
        <v>16</v>
      </c>
      <c r="M331">
        <v>1667.02</v>
      </c>
    </row>
    <row r="332" spans="1:13" x14ac:dyDescent="0.25">
      <c r="A332">
        <v>1330</v>
      </c>
      <c r="B332" t="s">
        <v>378</v>
      </c>
      <c r="C332" t="s">
        <v>36</v>
      </c>
      <c r="D332" t="s">
        <v>55</v>
      </c>
      <c r="E332">
        <v>-2</v>
      </c>
      <c r="G332">
        <f t="shared" si="10"/>
        <v>0</v>
      </c>
      <c r="I332">
        <f t="shared" si="11"/>
        <v>0</v>
      </c>
      <c r="J332" s="1">
        <v>45656</v>
      </c>
      <c r="K332" t="s">
        <v>18</v>
      </c>
      <c r="L332" t="s">
        <v>16</v>
      </c>
      <c r="M332">
        <v>-587.38</v>
      </c>
    </row>
    <row r="333" spans="1:13" x14ac:dyDescent="0.25">
      <c r="A333">
        <v>1331</v>
      </c>
      <c r="B333" t="s">
        <v>379</v>
      </c>
      <c r="C333" t="s">
        <v>28</v>
      </c>
      <c r="D333" t="s">
        <v>29</v>
      </c>
      <c r="E333">
        <v>6</v>
      </c>
      <c r="G333">
        <f t="shared" si="10"/>
        <v>0</v>
      </c>
      <c r="I333">
        <f t="shared" si="11"/>
        <v>0</v>
      </c>
      <c r="J333" s="1">
        <v>45682</v>
      </c>
      <c r="K333" t="s">
        <v>38</v>
      </c>
      <c r="L333" t="s">
        <v>16</v>
      </c>
      <c r="M333">
        <v>1301.18</v>
      </c>
    </row>
    <row r="334" spans="1:13" x14ac:dyDescent="0.25">
      <c r="A334">
        <v>1332</v>
      </c>
      <c r="B334" t="s">
        <v>380</v>
      </c>
      <c r="C334" t="s">
        <v>31</v>
      </c>
      <c r="D334" t="s">
        <v>78</v>
      </c>
      <c r="E334">
        <v>2</v>
      </c>
      <c r="G334">
        <f t="shared" si="10"/>
        <v>0</v>
      </c>
      <c r="H334" s="3">
        <v>0</v>
      </c>
      <c r="I334">
        <f t="shared" si="11"/>
        <v>0</v>
      </c>
      <c r="J334" s="1">
        <v>45788</v>
      </c>
      <c r="K334" t="s">
        <v>22</v>
      </c>
      <c r="L334" t="s">
        <v>16</v>
      </c>
      <c r="M334">
        <v>2301.09</v>
      </c>
    </row>
    <row r="335" spans="1:13" x14ac:dyDescent="0.25">
      <c r="A335">
        <v>1028</v>
      </c>
      <c r="B335" t="s">
        <v>381</v>
      </c>
      <c r="C335" t="s">
        <v>28</v>
      </c>
      <c r="D335" t="s">
        <v>116</v>
      </c>
      <c r="E335">
        <v>2</v>
      </c>
      <c r="G335">
        <f t="shared" si="10"/>
        <v>0</v>
      </c>
      <c r="I335">
        <f t="shared" si="11"/>
        <v>0</v>
      </c>
      <c r="J335" s="1">
        <v>45240</v>
      </c>
      <c r="K335" t="s">
        <v>18</v>
      </c>
      <c r="L335" t="s">
        <v>23</v>
      </c>
      <c r="M335">
        <v>2502.73</v>
      </c>
    </row>
    <row r="336" spans="1:13" x14ac:dyDescent="0.25">
      <c r="A336">
        <v>1334</v>
      </c>
      <c r="B336" t="s">
        <v>382</v>
      </c>
      <c r="C336" t="s">
        <v>36</v>
      </c>
      <c r="D336" t="s">
        <v>55</v>
      </c>
      <c r="E336">
        <v>6</v>
      </c>
      <c r="F336">
        <v>1454.69</v>
      </c>
      <c r="G336">
        <f t="shared" si="10"/>
        <v>8728.14</v>
      </c>
      <c r="I336">
        <f t="shared" si="11"/>
        <v>8728.14</v>
      </c>
      <c r="J336" s="1">
        <v>45814</v>
      </c>
      <c r="K336" t="s">
        <v>15</v>
      </c>
      <c r="L336" t="s">
        <v>16</v>
      </c>
      <c r="M336">
        <v>652.87</v>
      </c>
    </row>
    <row r="337" spans="1:13" x14ac:dyDescent="0.25">
      <c r="A337">
        <v>1335</v>
      </c>
      <c r="B337" t="s">
        <v>383</v>
      </c>
      <c r="C337" t="s">
        <v>25</v>
      </c>
      <c r="D337" t="s">
        <v>62</v>
      </c>
      <c r="E337">
        <v>5</v>
      </c>
      <c r="G337">
        <f t="shared" si="10"/>
        <v>0</v>
      </c>
      <c r="I337">
        <f t="shared" si="11"/>
        <v>0</v>
      </c>
      <c r="J337" s="1">
        <v>45772</v>
      </c>
      <c r="K337" t="s">
        <v>2517</v>
      </c>
      <c r="L337" t="s">
        <v>16</v>
      </c>
      <c r="M337">
        <v>-815.88</v>
      </c>
    </row>
    <row r="338" spans="1:13" x14ac:dyDescent="0.25">
      <c r="A338">
        <v>1336</v>
      </c>
      <c r="B338" t="s">
        <v>384</v>
      </c>
      <c r="C338" t="s">
        <v>20</v>
      </c>
      <c r="D338" t="s">
        <v>84</v>
      </c>
      <c r="E338">
        <v>2</v>
      </c>
      <c r="G338">
        <f t="shared" si="10"/>
        <v>0</v>
      </c>
      <c r="I338">
        <f t="shared" si="11"/>
        <v>0</v>
      </c>
      <c r="K338" t="s">
        <v>15</v>
      </c>
      <c r="L338" t="s">
        <v>23</v>
      </c>
      <c r="M338">
        <v>2000.91</v>
      </c>
    </row>
    <row r="339" spans="1:13" x14ac:dyDescent="0.25">
      <c r="A339">
        <v>1337</v>
      </c>
      <c r="B339" t="s">
        <v>385</v>
      </c>
      <c r="C339" t="s">
        <v>20</v>
      </c>
      <c r="D339" t="s">
        <v>84</v>
      </c>
      <c r="E339">
        <v>6</v>
      </c>
      <c r="F339">
        <v>2286.6799999999998</v>
      </c>
      <c r="G339">
        <f t="shared" si="10"/>
        <v>13720.079999999998</v>
      </c>
      <c r="H339" s="3">
        <v>1.27</v>
      </c>
      <c r="I339">
        <f t="shared" si="11"/>
        <v>-3704.4215999999997</v>
      </c>
      <c r="J339" s="1">
        <v>45595</v>
      </c>
      <c r="K339" t="s">
        <v>2517</v>
      </c>
      <c r="L339" t="s">
        <v>16</v>
      </c>
      <c r="M339">
        <v>716.16</v>
      </c>
    </row>
    <row r="340" spans="1:13" x14ac:dyDescent="0.25">
      <c r="A340">
        <v>1338</v>
      </c>
      <c r="B340" t="s">
        <v>386</v>
      </c>
      <c r="C340" t="s">
        <v>31</v>
      </c>
      <c r="D340" t="s">
        <v>78</v>
      </c>
      <c r="E340">
        <v>0</v>
      </c>
      <c r="G340">
        <f t="shared" si="10"/>
        <v>0</v>
      </c>
      <c r="I340">
        <f t="shared" si="11"/>
        <v>0</v>
      </c>
      <c r="J340" s="1">
        <v>45617</v>
      </c>
      <c r="K340" t="s">
        <v>18</v>
      </c>
      <c r="L340" t="s">
        <v>23</v>
      </c>
      <c r="M340">
        <v>415.06</v>
      </c>
    </row>
    <row r="341" spans="1:13" x14ac:dyDescent="0.25">
      <c r="A341">
        <v>1339</v>
      </c>
      <c r="B341" t="s">
        <v>387</v>
      </c>
      <c r="C341" t="s">
        <v>36</v>
      </c>
      <c r="D341" t="s">
        <v>55</v>
      </c>
      <c r="E341">
        <v>2</v>
      </c>
      <c r="F341">
        <v>4507.5</v>
      </c>
      <c r="G341">
        <f t="shared" si="10"/>
        <v>9015</v>
      </c>
      <c r="I341">
        <f t="shared" si="11"/>
        <v>9015</v>
      </c>
      <c r="J341" s="1">
        <v>45839</v>
      </c>
      <c r="K341" t="s">
        <v>38</v>
      </c>
      <c r="L341" t="s">
        <v>16</v>
      </c>
      <c r="M341">
        <v>2552.65</v>
      </c>
    </row>
    <row r="342" spans="1:13" x14ac:dyDescent="0.25">
      <c r="A342">
        <v>1340</v>
      </c>
      <c r="B342" t="s">
        <v>388</v>
      </c>
      <c r="C342" t="s">
        <v>13</v>
      </c>
      <c r="D342" t="s">
        <v>47</v>
      </c>
      <c r="E342">
        <v>2</v>
      </c>
      <c r="G342">
        <f t="shared" si="10"/>
        <v>0</v>
      </c>
      <c r="H342" s="3">
        <v>0.06</v>
      </c>
      <c r="I342">
        <f t="shared" si="11"/>
        <v>0</v>
      </c>
      <c r="J342" s="1">
        <v>45826</v>
      </c>
      <c r="K342" t="s">
        <v>22</v>
      </c>
      <c r="L342" t="s">
        <v>16</v>
      </c>
      <c r="M342">
        <v>1282.27</v>
      </c>
    </row>
    <row r="343" spans="1:13" x14ac:dyDescent="0.25">
      <c r="A343">
        <v>1341</v>
      </c>
      <c r="B343" t="s">
        <v>389</v>
      </c>
      <c r="C343" t="s">
        <v>25</v>
      </c>
      <c r="D343" t="s">
        <v>62</v>
      </c>
      <c r="E343">
        <v>-1</v>
      </c>
      <c r="F343">
        <v>3074.06</v>
      </c>
      <c r="G343">
        <f t="shared" si="10"/>
        <v>-3074.06</v>
      </c>
      <c r="H343" s="3">
        <v>1.24</v>
      </c>
      <c r="I343">
        <f t="shared" si="11"/>
        <v>737.77440000000001</v>
      </c>
      <c r="J343" s="1">
        <v>45771</v>
      </c>
      <c r="K343" t="s">
        <v>18</v>
      </c>
      <c r="L343" t="s">
        <v>16</v>
      </c>
      <c r="M343">
        <v>2634.42</v>
      </c>
    </row>
    <row r="344" spans="1:13" x14ac:dyDescent="0.25">
      <c r="A344">
        <v>1342</v>
      </c>
      <c r="B344" t="s">
        <v>390</v>
      </c>
      <c r="C344" t="s">
        <v>36</v>
      </c>
      <c r="D344" t="s">
        <v>59</v>
      </c>
      <c r="E344">
        <v>-1</v>
      </c>
      <c r="F344">
        <v>4707.2</v>
      </c>
      <c r="G344">
        <f t="shared" si="10"/>
        <v>-4707.2</v>
      </c>
      <c r="I344">
        <f t="shared" si="11"/>
        <v>-4707.2</v>
      </c>
      <c r="K344" t="s">
        <v>44</v>
      </c>
      <c r="L344" t="s">
        <v>23</v>
      </c>
      <c r="M344">
        <v>1395.82</v>
      </c>
    </row>
    <row r="345" spans="1:13" x14ac:dyDescent="0.25">
      <c r="A345">
        <v>1343</v>
      </c>
      <c r="B345" t="s">
        <v>391</v>
      </c>
      <c r="C345" t="s">
        <v>13</v>
      </c>
      <c r="D345" t="s">
        <v>98</v>
      </c>
      <c r="E345">
        <v>2</v>
      </c>
      <c r="F345">
        <v>4012.48</v>
      </c>
      <c r="G345">
        <f t="shared" si="10"/>
        <v>8024.96</v>
      </c>
      <c r="I345">
        <f t="shared" si="11"/>
        <v>8024.96</v>
      </c>
      <c r="J345" s="1">
        <v>45859</v>
      </c>
      <c r="K345" t="s">
        <v>22</v>
      </c>
      <c r="L345" t="s">
        <v>16</v>
      </c>
      <c r="M345">
        <v>730.98</v>
      </c>
    </row>
    <row r="346" spans="1:13" x14ac:dyDescent="0.25">
      <c r="A346">
        <v>1344</v>
      </c>
      <c r="B346" t="s">
        <v>392</v>
      </c>
      <c r="C346" t="s">
        <v>13</v>
      </c>
      <c r="D346" t="s">
        <v>47</v>
      </c>
      <c r="E346">
        <v>4</v>
      </c>
      <c r="F346">
        <v>3386.91</v>
      </c>
      <c r="G346">
        <f t="shared" si="10"/>
        <v>13547.64</v>
      </c>
      <c r="I346">
        <f t="shared" si="11"/>
        <v>13547.64</v>
      </c>
      <c r="K346" t="s">
        <v>22</v>
      </c>
      <c r="L346" t="s">
        <v>16</v>
      </c>
      <c r="M346">
        <v>2006.17</v>
      </c>
    </row>
    <row r="347" spans="1:13" x14ac:dyDescent="0.25">
      <c r="A347">
        <v>1040</v>
      </c>
      <c r="B347" t="s">
        <v>393</v>
      </c>
      <c r="C347" t="s">
        <v>31</v>
      </c>
      <c r="D347" t="s">
        <v>68</v>
      </c>
      <c r="E347">
        <v>2</v>
      </c>
      <c r="G347">
        <f t="shared" si="10"/>
        <v>0</v>
      </c>
      <c r="H347" s="3">
        <v>0.18</v>
      </c>
      <c r="I347">
        <f t="shared" si="11"/>
        <v>0</v>
      </c>
      <c r="K347" t="s">
        <v>38</v>
      </c>
      <c r="L347" t="s">
        <v>23</v>
      </c>
      <c r="M347">
        <v>2721.4</v>
      </c>
    </row>
    <row r="348" spans="1:13" x14ac:dyDescent="0.25">
      <c r="A348">
        <v>1346</v>
      </c>
      <c r="B348" t="s">
        <v>394</v>
      </c>
      <c r="C348" t="s">
        <v>25</v>
      </c>
      <c r="D348" t="s">
        <v>62</v>
      </c>
      <c r="E348">
        <v>-2</v>
      </c>
      <c r="F348">
        <v>1622.65</v>
      </c>
      <c r="G348">
        <f t="shared" si="10"/>
        <v>-3245.3</v>
      </c>
      <c r="I348">
        <f t="shared" si="11"/>
        <v>-3245.3</v>
      </c>
      <c r="K348" t="s">
        <v>22</v>
      </c>
      <c r="L348" t="s">
        <v>16</v>
      </c>
      <c r="M348">
        <v>-891.76</v>
      </c>
    </row>
    <row r="349" spans="1:13" x14ac:dyDescent="0.25">
      <c r="A349">
        <v>1005</v>
      </c>
      <c r="B349" t="s">
        <v>395</v>
      </c>
      <c r="C349" t="s">
        <v>13</v>
      </c>
      <c r="D349" t="s">
        <v>47</v>
      </c>
      <c r="E349">
        <v>6</v>
      </c>
      <c r="F349">
        <v>2228.4499999999998</v>
      </c>
      <c r="G349">
        <f t="shared" si="10"/>
        <v>13370.699999999999</v>
      </c>
      <c r="H349" s="3">
        <v>1.2</v>
      </c>
      <c r="I349">
        <f t="shared" si="11"/>
        <v>-2674.139999999999</v>
      </c>
      <c r="J349" s="1">
        <v>45694</v>
      </c>
      <c r="K349" t="s">
        <v>38</v>
      </c>
      <c r="L349" t="s">
        <v>16</v>
      </c>
      <c r="M349">
        <v>2728.03</v>
      </c>
    </row>
    <row r="350" spans="1:13" x14ac:dyDescent="0.25">
      <c r="A350">
        <v>1348</v>
      </c>
      <c r="B350" t="s">
        <v>396</v>
      </c>
      <c r="C350" t="s">
        <v>31</v>
      </c>
      <c r="D350" t="s">
        <v>68</v>
      </c>
      <c r="E350">
        <v>2</v>
      </c>
      <c r="F350">
        <v>1219.2</v>
      </c>
      <c r="G350">
        <f t="shared" si="10"/>
        <v>2438.4</v>
      </c>
      <c r="H350" s="3">
        <v>1.17</v>
      </c>
      <c r="I350">
        <f t="shared" si="11"/>
        <v>-414.52799999999985</v>
      </c>
      <c r="J350" s="1">
        <v>45604</v>
      </c>
      <c r="K350" t="s">
        <v>2517</v>
      </c>
      <c r="L350" t="s">
        <v>23</v>
      </c>
      <c r="M350">
        <v>2694.39</v>
      </c>
    </row>
    <row r="351" spans="1:13" x14ac:dyDescent="0.25">
      <c r="A351">
        <v>1349</v>
      </c>
      <c r="B351" t="s">
        <v>397</v>
      </c>
      <c r="C351" t="s">
        <v>20</v>
      </c>
      <c r="D351" t="s">
        <v>118</v>
      </c>
      <c r="E351">
        <v>-2</v>
      </c>
      <c r="G351">
        <f t="shared" si="10"/>
        <v>0</v>
      </c>
      <c r="H351" s="3">
        <v>0.82</v>
      </c>
      <c r="I351">
        <f t="shared" si="11"/>
        <v>0</v>
      </c>
      <c r="J351" s="1">
        <v>45705</v>
      </c>
      <c r="K351" t="s">
        <v>44</v>
      </c>
      <c r="L351" t="s">
        <v>23</v>
      </c>
      <c r="M351">
        <v>2085.75</v>
      </c>
    </row>
    <row r="352" spans="1:13" x14ac:dyDescent="0.25">
      <c r="A352">
        <v>1008</v>
      </c>
      <c r="B352" t="s">
        <v>398</v>
      </c>
      <c r="C352" t="s">
        <v>31</v>
      </c>
      <c r="D352" t="s">
        <v>68</v>
      </c>
      <c r="E352">
        <v>2</v>
      </c>
      <c r="F352">
        <v>2319.84</v>
      </c>
      <c r="G352">
        <f t="shared" si="10"/>
        <v>4639.68</v>
      </c>
      <c r="I352">
        <f t="shared" si="11"/>
        <v>4639.68</v>
      </c>
      <c r="K352" t="s">
        <v>38</v>
      </c>
      <c r="L352" t="s">
        <v>23</v>
      </c>
      <c r="M352">
        <v>1669.55</v>
      </c>
    </row>
    <row r="353" spans="1:13" x14ac:dyDescent="0.25">
      <c r="A353">
        <v>1351</v>
      </c>
      <c r="B353" t="s">
        <v>399</v>
      </c>
      <c r="C353" t="s">
        <v>25</v>
      </c>
      <c r="D353" t="s">
        <v>62</v>
      </c>
      <c r="E353">
        <v>2</v>
      </c>
      <c r="G353">
        <f t="shared" si="10"/>
        <v>0</v>
      </c>
      <c r="I353">
        <f t="shared" si="11"/>
        <v>0</v>
      </c>
      <c r="J353" s="1">
        <v>45546</v>
      </c>
      <c r="K353" t="s">
        <v>2517</v>
      </c>
      <c r="L353" t="s">
        <v>16</v>
      </c>
      <c r="M353">
        <v>2621.66</v>
      </c>
    </row>
    <row r="354" spans="1:13" x14ac:dyDescent="0.25">
      <c r="A354">
        <v>1034</v>
      </c>
      <c r="B354" t="s">
        <v>400</v>
      </c>
      <c r="C354" t="s">
        <v>31</v>
      </c>
      <c r="D354" t="s">
        <v>78</v>
      </c>
      <c r="E354">
        <v>2</v>
      </c>
      <c r="F354">
        <v>3991.4</v>
      </c>
      <c r="G354">
        <f t="shared" si="10"/>
        <v>7982.8</v>
      </c>
      <c r="I354">
        <f t="shared" si="11"/>
        <v>7982.8</v>
      </c>
      <c r="J354" s="1">
        <v>45693</v>
      </c>
      <c r="K354" t="s">
        <v>44</v>
      </c>
      <c r="L354" t="s">
        <v>16</v>
      </c>
      <c r="M354">
        <v>-555.4</v>
      </c>
    </row>
    <row r="355" spans="1:13" x14ac:dyDescent="0.25">
      <c r="A355">
        <v>1042</v>
      </c>
      <c r="B355" t="s">
        <v>401</v>
      </c>
      <c r="C355" t="s">
        <v>13</v>
      </c>
      <c r="D355" t="s">
        <v>47</v>
      </c>
      <c r="E355">
        <v>2</v>
      </c>
      <c r="G355">
        <f t="shared" si="10"/>
        <v>0</v>
      </c>
      <c r="H355" s="3">
        <v>0.84</v>
      </c>
      <c r="I355">
        <f t="shared" si="11"/>
        <v>0</v>
      </c>
      <c r="J355" s="1">
        <v>45816</v>
      </c>
      <c r="K355" t="s">
        <v>38</v>
      </c>
      <c r="L355" t="s">
        <v>16</v>
      </c>
      <c r="M355">
        <v>1558.99</v>
      </c>
    </row>
    <row r="356" spans="1:13" x14ac:dyDescent="0.25">
      <c r="A356">
        <v>1354</v>
      </c>
      <c r="B356" t="s">
        <v>402</v>
      </c>
      <c r="C356" t="s">
        <v>13</v>
      </c>
      <c r="D356" t="s">
        <v>47</v>
      </c>
      <c r="E356">
        <v>1</v>
      </c>
      <c r="G356">
        <f t="shared" si="10"/>
        <v>0</v>
      </c>
      <c r="I356">
        <f t="shared" si="11"/>
        <v>0</v>
      </c>
      <c r="J356" s="1">
        <v>45789</v>
      </c>
      <c r="K356" t="s">
        <v>18</v>
      </c>
      <c r="L356" t="s">
        <v>16</v>
      </c>
      <c r="M356">
        <v>-678.38</v>
      </c>
    </row>
    <row r="357" spans="1:13" x14ac:dyDescent="0.25">
      <c r="A357">
        <v>1355</v>
      </c>
      <c r="B357" t="s">
        <v>403</v>
      </c>
      <c r="C357" t="s">
        <v>36</v>
      </c>
      <c r="D357" t="s">
        <v>87</v>
      </c>
      <c r="E357">
        <v>1</v>
      </c>
      <c r="F357">
        <v>1054.69</v>
      </c>
      <c r="G357">
        <f t="shared" si="10"/>
        <v>1054.69</v>
      </c>
      <c r="H357" s="3">
        <v>0.18</v>
      </c>
      <c r="I357">
        <f t="shared" si="11"/>
        <v>864.84580000000005</v>
      </c>
      <c r="J357" s="1">
        <v>45585</v>
      </c>
      <c r="K357" t="s">
        <v>22</v>
      </c>
      <c r="L357" t="s">
        <v>23</v>
      </c>
      <c r="M357">
        <v>698.05</v>
      </c>
    </row>
    <row r="358" spans="1:13" x14ac:dyDescent="0.25">
      <c r="A358">
        <v>1356</v>
      </c>
      <c r="B358" t="s">
        <v>404</v>
      </c>
      <c r="C358" t="s">
        <v>20</v>
      </c>
      <c r="D358" t="s">
        <v>84</v>
      </c>
      <c r="E358">
        <v>2</v>
      </c>
      <c r="F358">
        <v>2418.5500000000002</v>
      </c>
      <c r="G358">
        <f t="shared" si="10"/>
        <v>4837.1000000000004</v>
      </c>
      <c r="H358" s="3">
        <v>0.88</v>
      </c>
      <c r="I358">
        <f t="shared" si="11"/>
        <v>580.452</v>
      </c>
      <c r="J358" s="1">
        <v>45758</v>
      </c>
      <c r="K358" t="s">
        <v>18</v>
      </c>
      <c r="L358" t="s">
        <v>16</v>
      </c>
      <c r="M358">
        <v>428.96</v>
      </c>
    </row>
    <row r="359" spans="1:13" x14ac:dyDescent="0.25">
      <c r="A359">
        <v>1357</v>
      </c>
      <c r="B359" t="s">
        <v>405</v>
      </c>
      <c r="C359" t="s">
        <v>20</v>
      </c>
      <c r="D359" t="s">
        <v>21</v>
      </c>
      <c r="E359">
        <v>2</v>
      </c>
      <c r="F359">
        <v>1128.57</v>
      </c>
      <c r="G359">
        <f t="shared" si="10"/>
        <v>2257.14</v>
      </c>
      <c r="H359" s="3">
        <v>0.39</v>
      </c>
      <c r="I359">
        <f t="shared" si="11"/>
        <v>1376.8553999999999</v>
      </c>
      <c r="J359" s="1">
        <v>45678</v>
      </c>
      <c r="K359" t="s">
        <v>2517</v>
      </c>
      <c r="L359" t="s">
        <v>16</v>
      </c>
      <c r="M359">
        <v>684.88</v>
      </c>
    </row>
    <row r="360" spans="1:13" x14ac:dyDescent="0.25">
      <c r="A360">
        <v>1358</v>
      </c>
      <c r="B360" t="s">
        <v>406</v>
      </c>
      <c r="C360" t="s">
        <v>28</v>
      </c>
      <c r="D360" t="s">
        <v>40</v>
      </c>
      <c r="E360">
        <v>2</v>
      </c>
      <c r="G360">
        <f t="shared" si="10"/>
        <v>0</v>
      </c>
      <c r="H360" s="3">
        <v>1.23</v>
      </c>
      <c r="I360">
        <f t="shared" si="11"/>
        <v>0</v>
      </c>
      <c r="J360" s="1">
        <v>45704</v>
      </c>
      <c r="K360" t="s">
        <v>38</v>
      </c>
      <c r="L360" t="s">
        <v>16</v>
      </c>
      <c r="M360">
        <v>1347.26</v>
      </c>
    </row>
    <row r="361" spans="1:13" x14ac:dyDescent="0.25">
      <c r="A361">
        <v>1359</v>
      </c>
      <c r="B361" t="s">
        <v>407</v>
      </c>
      <c r="C361" t="s">
        <v>31</v>
      </c>
      <c r="D361" t="s">
        <v>32</v>
      </c>
      <c r="E361">
        <v>2</v>
      </c>
      <c r="F361">
        <v>4625.84</v>
      </c>
      <c r="G361">
        <f t="shared" si="10"/>
        <v>9251.68</v>
      </c>
      <c r="I361">
        <f t="shared" si="11"/>
        <v>9251.68</v>
      </c>
      <c r="K361" t="s">
        <v>22</v>
      </c>
      <c r="L361" t="s">
        <v>16</v>
      </c>
      <c r="M361">
        <v>1663.88</v>
      </c>
    </row>
    <row r="362" spans="1:13" x14ac:dyDescent="0.25">
      <c r="A362">
        <v>1360</v>
      </c>
      <c r="B362" t="s">
        <v>408</v>
      </c>
      <c r="C362" t="s">
        <v>13</v>
      </c>
      <c r="D362" t="s">
        <v>34</v>
      </c>
      <c r="E362">
        <v>2</v>
      </c>
      <c r="G362">
        <f t="shared" si="10"/>
        <v>0</v>
      </c>
      <c r="H362" s="3">
        <v>1.1299999999999999</v>
      </c>
      <c r="I362">
        <f t="shared" si="11"/>
        <v>0</v>
      </c>
      <c r="J362" s="1">
        <v>45692</v>
      </c>
      <c r="K362" t="s">
        <v>15</v>
      </c>
      <c r="L362" t="s">
        <v>16</v>
      </c>
      <c r="M362">
        <v>1316.73</v>
      </c>
    </row>
    <row r="363" spans="1:13" x14ac:dyDescent="0.25">
      <c r="A363">
        <v>1361</v>
      </c>
      <c r="B363" t="s">
        <v>409</v>
      </c>
      <c r="C363" t="s">
        <v>31</v>
      </c>
      <c r="D363" t="s">
        <v>68</v>
      </c>
      <c r="E363">
        <v>2</v>
      </c>
      <c r="G363">
        <f t="shared" si="10"/>
        <v>0</v>
      </c>
      <c r="I363">
        <f t="shared" si="11"/>
        <v>0</v>
      </c>
      <c r="J363" s="1">
        <v>45660</v>
      </c>
      <c r="K363" t="s">
        <v>22</v>
      </c>
      <c r="L363" t="s">
        <v>16</v>
      </c>
      <c r="M363">
        <v>528.79999999999995</v>
      </c>
    </row>
    <row r="364" spans="1:13" x14ac:dyDescent="0.25">
      <c r="A364">
        <v>1362</v>
      </c>
      <c r="B364" t="s">
        <v>410</v>
      </c>
      <c r="C364" t="s">
        <v>31</v>
      </c>
      <c r="D364" t="s">
        <v>68</v>
      </c>
      <c r="E364">
        <v>-1</v>
      </c>
      <c r="F364">
        <v>4953.0200000000004</v>
      </c>
      <c r="G364">
        <f t="shared" si="10"/>
        <v>-4953.0200000000004</v>
      </c>
      <c r="I364">
        <f t="shared" si="11"/>
        <v>-4953.0200000000004</v>
      </c>
      <c r="J364" s="1">
        <v>45633</v>
      </c>
      <c r="K364" t="s">
        <v>18</v>
      </c>
      <c r="L364" t="s">
        <v>16</v>
      </c>
      <c r="M364">
        <v>-499.33</v>
      </c>
    </row>
    <row r="365" spans="1:13" x14ac:dyDescent="0.25">
      <c r="A365">
        <v>1363</v>
      </c>
      <c r="B365" t="s">
        <v>411</v>
      </c>
      <c r="C365" t="s">
        <v>36</v>
      </c>
      <c r="D365" t="s">
        <v>87</v>
      </c>
      <c r="E365">
        <v>6</v>
      </c>
      <c r="G365">
        <f t="shared" si="10"/>
        <v>0</v>
      </c>
      <c r="I365">
        <f t="shared" si="11"/>
        <v>0</v>
      </c>
      <c r="K365" t="s">
        <v>22</v>
      </c>
      <c r="L365" t="s">
        <v>23</v>
      </c>
      <c r="M365">
        <v>2143.4</v>
      </c>
    </row>
    <row r="366" spans="1:13" x14ac:dyDescent="0.25">
      <c r="A366">
        <v>1364</v>
      </c>
      <c r="B366" t="s">
        <v>412</v>
      </c>
      <c r="C366" t="s">
        <v>31</v>
      </c>
      <c r="D366" t="s">
        <v>68</v>
      </c>
      <c r="E366">
        <v>2</v>
      </c>
      <c r="G366">
        <f t="shared" si="10"/>
        <v>0</v>
      </c>
      <c r="H366" s="3">
        <v>0.01</v>
      </c>
      <c r="I366">
        <f t="shared" si="11"/>
        <v>0</v>
      </c>
      <c r="K366" t="s">
        <v>18</v>
      </c>
      <c r="L366" t="s">
        <v>16</v>
      </c>
      <c r="M366">
        <v>1839.35</v>
      </c>
    </row>
    <row r="367" spans="1:13" x14ac:dyDescent="0.25">
      <c r="A367">
        <v>1365</v>
      </c>
      <c r="B367" t="s">
        <v>413</v>
      </c>
      <c r="C367" t="s">
        <v>36</v>
      </c>
      <c r="D367" t="s">
        <v>55</v>
      </c>
      <c r="E367">
        <v>1</v>
      </c>
      <c r="F367">
        <v>776.52</v>
      </c>
      <c r="G367">
        <f t="shared" si="10"/>
        <v>776.52</v>
      </c>
      <c r="I367">
        <f t="shared" si="11"/>
        <v>776.52</v>
      </c>
      <c r="K367" t="s">
        <v>15</v>
      </c>
      <c r="L367" t="s">
        <v>16</v>
      </c>
      <c r="M367">
        <v>2757.77</v>
      </c>
    </row>
    <row r="368" spans="1:13" x14ac:dyDescent="0.25">
      <c r="A368">
        <v>1366</v>
      </c>
      <c r="B368" t="s">
        <v>414</v>
      </c>
      <c r="C368" t="s">
        <v>36</v>
      </c>
      <c r="D368" t="s">
        <v>87</v>
      </c>
      <c r="E368">
        <v>2</v>
      </c>
      <c r="F368">
        <v>1927.12</v>
      </c>
      <c r="G368">
        <f t="shared" si="10"/>
        <v>3854.24</v>
      </c>
      <c r="H368" s="3">
        <v>0.44</v>
      </c>
      <c r="I368">
        <f t="shared" si="11"/>
        <v>2158.3744000000002</v>
      </c>
      <c r="J368" s="1">
        <v>45517</v>
      </c>
      <c r="K368" t="s">
        <v>38</v>
      </c>
      <c r="L368" t="s">
        <v>16</v>
      </c>
      <c r="M368">
        <v>928.57</v>
      </c>
    </row>
    <row r="369" spans="1:13" x14ac:dyDescent="0.25">
      <c r="A369">
        <v>1367</v>
      </c>
      <c r="B369" t="s">
        <v>415</v>
      </c>
      <c r="C369" t="s">
        <v>28</v>
      </c>
      <c r="D369" t="s">
        <v>137</v>
      </c>
      <c r="E369">
        <v>2</v>
      </c>
      <c r="F369">
        <v>573.79999999999995</v>
      </c>
      <c r="G369">
        <f t="shared" si="10"/>
        <v>1147.5999999999999</v>
      </c>
      <c r="I369">
        <f t="shared" si="11"/>
        <v>1147.5999999999999</v>
      </c>
      <c r="J369" s="1">
        <v>45680</v>
      </c>
      <c r="K369" t="s">
        <v>18</v>
      </c>
      <c r="L369" t="s">
        <v>23</v>
      </c>
      <c r="M369">
        <v>2546.35</v>
      </c>
    </row>
    <row r="370" spans="1:13" x14ac:dyDescent="0.25">
      <c r="A370">
        <v>1368</v>
      </c>
      <c r="B370" t="s">
        <v>416</v>
      </c>
      <c r="C370" t="s">
        <v>31</v>
      </c>
      <c r="D370" t="s">
        <v>68</v>
      </c>
      <c r="E370">
        <v>4</v>
      </c>
      <c r="F370">
        <v>4032.95</v>
      </c>
      <c r="G370">
        <f t="shared" si="10"/>
        <v>16131.8</v>
      </c>
      <c r="I370">
        <f t="shared" si="11"/>
        <v>16131.8</v>
      </c>
      <c r="K370" t="s">
        <v>18</v>
      </c>
      <c r="L370" t="s">
        <v>16</v>
      </c>
      <c r="M370">
        <v>-20.09</v>
      </c>
    </row>
    <row r="371" spans="1:13" x14ac:dyDescent="0.25">
      <c r="A371">
        <v>1369</v>
      </c>
      <c r="B371" t="s">
        <v>417</v>
      </c>
      <c r="C371" t="s">
        <v>28</v>
      </c>
      <c r="D371" t="s">
        <v>137</v>
      </c>
      <c r="E371">
        <v>2</v>
      </c>
      <c r="G371">
        <f t="shared" si="10"/>
        <v>0</v>
      </c>
      <c r="H371" s="3">
        <v>1.1000000000000001</v>
      </c>
      <c r="I371">
        <f t="shared" si="11"/>
        <v>0</v>
      </c>
      <c r="J371" s="1">
        <v>45818</v>
      </c>
      <c r="K371" t="s">
        <v>2517</v>
      </c>
      <c r="L371" t="s">
        <v>16</v>
      </c>
      <c r="M371">
        <v>-844.78</v>
      </c>
    </row>
    <row r="372" spans="1:13" x14ac:dyDescent="0.25">
      <c r="A372">
        <v>1370</v>
      </c>
      <c r="B372" t="s">
        <v>418</v>
      </c>
      <c r="C372" t="s">
        <v>36</v>
      </c>
      <c r="D372" t="s">
        <v>87</v>
      </c>
      <c r="E372">
        <v>-2</v>
      </c>
      <c r="F372">
        <v>2345.4899999999998</v>
      </c>
      <c r="G372">
        <f t="shared" si="10"/>
        <v>-4690.9799999999996</v>
      </c>
      <c r="H372" s="3">
        <v>1.18</v>
      </c>
      <c r="I372">
        <f t="shared" si="11"/>
        <v>844.37639999999965</v>
      </c>
      <c r="J372" s="1">
        <v>45620</v>
      </c>
      <c r="K372" t="s">
        <v>2517</v>
      </c>
      <c r="L372" t="s">
        <v>23</v>
      </c>
      <c r="M372">
        <v>212.66</v>
      </c>
    </row>
    <row r="373" spans="1:13" x14ac:dyDescent="0.25">
      <c r="A373">
        <v>1371</v>
      </c>
      <c r="B373" t="s">
        <v>419</v>
      </c>
      <c r="C373" t="s">
        <v>13</v>
      </c>
      <c r="D373" t="s">
        <v>98</v>
      </c>
      <c r="E373">
        <v>2</v>
      </c>
      <c r="G373">
        <f t="shared" si="10"/>
        <v>0</v>
      </c>
      <c r="I373">
        <f t="shared" si="11"/>
        <v>0</v>
      </c>
      <c r="K373" t="s">
        <v>22</v>
      </c>
      <c r="L373" t="s">
        <v>23</v>
      </c>
      <c r="M373">
        <v>72.959999999999994</v>
      </c>
    </row>
    <row r="374" spans="1:13" x14ac:dyDescent="0.25">
      <c r="A374">
        <v>1372</v>
      </c>
      <c r="B374" t="s">
        <v>420</v>
      </c>
      <c r="C374" t="s">
        <v>28</v>
      </c>
      <c r="D374" t="s">
        <v>40</v>
      </c>
      <c r="E374">
        <v>1</v>
      </c>
      <c r="G374">
        <f t="shared" si="10"/>
        <v>0</v>
      </c>
      <c r="H374" s="3">
        <v>0.19</v>
      </c>
      <c r="I374">
        <f t="shared" si="11"/>
        <v>0</v>
      </c>
      <c r="J374" s="1">
        <v>45652</v>
      </c>
      <c r="K374" t="s">
        <v>15</v>
      </c>
      <c r="L374" t="s">
        <v>16</v>
      </c>
      <c r="M374">
        <v>418.89</v>
      </c>
    </row>
    <row r="375" spans="1:13" x14ac:dyDescent="0.25">
      <c r="A375">
        <v>1373</v>
      </c>
      <c r="B375" t="s">
        <v>421</v>
      </c>
      <c r="C375" t="s">
        <v>20</v>
      </c>
      <c r="D375" t="s">
        <v>118</v>
      </c>
      <c r="E375">
        <v>-2</v>
      </c>
      <c r="F375">
        <v>3523.43</v>
      </c>
      <c r="G375">
        <f t="shared" si="10"/>
        <v>-7046.86</v>
      </c>
      <c r="H375" s="3">
        <v>0.19</v>
      </c>
      <c r="I375">
        <f t="shared" si="11"/>
        <v>-5707.9566000000004</v>
      </c>
      <c r="K375" t="s">
        <v>15</v>
      </c>
      <c r="L375" t="s">
        <v>16</v>
      </c>
      <c r="M375">
        <v>-892.76</v>
      </c>
    </row>
    <row r="376" spans="1:13" x14ac:dyDescent="0.25">
      <c r="A376">
        <v>1374</v>
      </c>
      <c r="B376" t="s">
        <v>422</v>
      </c>
      <c r="C376" t="s">
        <v>31</v>
      </c>
      <c r="D376" t="s">
        <v>68</v>
      </c>
      <c r="E376">
        <v>1</v>
      </c>
      <c r="G376">
        <f t="shared" si="10"/>
        <v>0</v>
      </c>
      <c r="I376">
        <f t="shared" si="11"/>
        <v>0</v>
      </c>
      <c r="J376" s="1">
        <v>45335</v>
      </c>
      <c r="K376" t="s">
        <v>38</v>
      </c>
      <c r="L376" t="s">
        <v>16</v>
      </c>
      <c r="M376">
        <v>2519.16</v>
      </c>
    </row>
    <row r="377" spans="1:13" x14ac:dyDescent="0.25">
      <c r="A377">
        <v>1375</v>
      </c>
      <c r="B377" t="s">
        <v>423</v>
      </c>
      <c r="C377" t="s">
        <v>13</v>
      </c>
      <c r="D377" t="s">
        <v>47</v>
      </c>
      <c r="E377">
        <v>3</v>
      </c>
      <c r="F377">
        <v>420.42</v>
      </c>
      <c r="G377">
        <f t="shared" si="10"/>
        <v>1261.26</v>
      </c>
      <c r="I377">
        <f t="shared" si="11"/>
        <v>1261.26</v>
      </c>
      <c r="K377" t="s">
        <v>2517</v>
      </c>
      <c r="L377" t="s">
        <v>16</v>
      </c>
      <c r="M377">
        <v>1318.19</v>
      </c>
    </row>
    <row r="378" spans="1:13" x14ac:dyDescent="0.25">
      <c r="A378">
        <v>1376</v>
      </c>
      <c r="B378" t="s">
        <v>424</v>
      </c>
      <c r="C378" t="s">
        <v>28</v>
      </c>
      <c r="D378" t="s">
        <v>137</v>
      </c>
      <c r="E378">
        <v>4</v>
      </c>
      <c r="F378">
        <v>1447.28</v>
      </c>
      <c r="G378">
        <f t="shared" si="10"/>
        <v>5789.12</v>
      </c>
      <c r="I378">
        <f t="shared" si="11"/>
        <v>5789.12</v>
      </c>
      <c r="J378" s="1">
        <v>45500</v>
      </c>
      <c r="K378" t="s">
        <v>2517</v>
      </c>
      <c r="L378" t="s">
        <v>23</v>
      </c>
      <c r="M378">
        <v>175.33</v>
      </c>
    </row>
    <row r="379" spans="1:13" x14ac:dyDescent="0.25">
      <c r="A379">
        <v>1377</v>
      </c>
      <c r="B379" t="s">
        <v>425</v>
      </c>
      <c r="C379" t="s">
        <v>20</v>
      </c>
      <c r="D379" t="s">
        <v>84</v>
      </c>
      <c r="E379">
        <v>0</v>
      </c>
      <c r="G379">
        <f t="shared" si="10"/>
        <v>0</v>
      </c>
      <c r="H379" s="3">
        <v>0.65</v>
      </c>
      <c r="I379">
        <f t="shared" si="11"/>
        <v>0</v>
      </c>
      <c r="K379" t="s">
        <v>38</v>
      </c>
      <c r="L379" t="s">
        <v>23</v>
      </c>
      <c r="M379">
        <v>2229.9499999999998</v>
      </c>
    </row>
    <row r="380" spans="1:13" x14ac:dyDescent="0.25">
      <c r="A380">
        <v>1378</v>
      </c>
      <c r="B380" t="s">
        <v>426</v>
      </c>
      <c r="C380" t="s">
        <v>20</v>
      </c>
      <c r="D380" t="s">
        <v>21</v>
      </c>
      <c r="E380">
        <v>5</v>
      </c>
      <c r="F380">
        <v>4581.26</v>
      </c>
      <c r="G380">
        <f t="shared" si="10"/>
        <v>22906.300000000003</v>
      </c>
      <c r="H380" s="3">
        <v>1.18</v>
      </c>
      <c r="I380">
        <f t="shared" si="11"/>
        <v>-4123.1339999999991</v>
      </c>
      <c r="J380" s="1">
        <v>45679</v>
      </c>
      <c r="K380" t="s">
        <v>38</v>
      </c>
      <c r="L380" t="s">
        <v>16</v>
      </c>
      <c r="M380">
        <v>-345.1</v>
      </c>
    </row>
    <row r="381" spans="1:13" x14ac:dyDescent="0.25">
      <c r="A381">
        <v>1013</v>
      </c>
      <c r="B381" t="s">
        <v>427</v>
      </c>
      <c r="C381" t="s">
        <v>20</v>
      </c>
      <c r="D381" t="s">
        <v>21</v>
      </c>
      <c r="E381">
        <v>2</v>
      </c>
      <c r="G381">
        <f t="shared" si="10"/>
        <v>0</v>
      </c>
      <c r="I381">
        <f t="shared" si="11"/>
        <v>0</v>
      </c>
      <c r="J381" s="1">
        <v>45574</v>
      </c>
      <c r="K381" t="s">
        <v>15</v>
      </c>
      <c r="L381" t="s">
        <v>16</v>
      </c>
      <c r="M381">
        <v>1647.38</v>
      </c>
    </row>
    <row r="382" spans="1:13" x14ac:dyDescent="0.25">
      <c r="A382">
        <v>1380</v>
      </c>
      <c r="B382" t="s">
        <v>428</v>
      </c>
      <c r="C382" t="s">
        <v>36</v>
      </c>
      <c r="D382" t="s">
        <v>87</v>
      </c>
      <c r="E382">
        <v>2</v>
      </c>
      <c r="G382">
        <f t="shared" si="10"/>
        <v>0</v>
      </c>
      <c r="I382">
        <f t="shared" si="11"/>
        <v>0</v>
      </c>
      <c r="K382" t="s">
        <v>15</v>
      </c>
      <c r="L382" t="s">
        <v>23</v>
      </c>
      <c r="M382">
        <v>-475.94</v>
      </c>
    </row>
    <row r="383" spans="1:13" x14ac:dyDescent="0.25">
      <c r="A383">
        <v>1381</v>
      </c>
      <c r="B383" t="s">
        <v>429</v>
      </c>
      <c r="C383" t="s">
        <v>13</v>
      </c>
      <c r="D383" t="s">
        <v>98</v>
      </c>
      <c r="E383">
        <v>1</v>
      </c>
      <c r="G383">
        <f t="shared" si="10"/>
        <v>0</v>
      </c>
      <c r="H383" s="3">
        <v>1.07</v>
      </c>
      <c r="I383">
        <f t="shared" si="11"/>
        <v>0</v>
      </c>
      <c r="J383" s="1">
        <v>45486</v>
      </c>
      <c r="K383" t="s">
        <v>38</v>
      </c>
      <c r="L383" t="s">
        <v>16</v>
      </c>
      <c r="M383">
        <v>-136.30000000000001</v>
      </c>
    </row>
    <row r="384" spans="1:13" x14ac:dyDescent="0.25">
      <c r="A384">
        <v>1382</v>
      </c>
      <c r="B384" t="s">
        <v>430</v>
      </c>
      <c r="C384" t="s">
        <v>13</v>
      </c>
      <c r="D384" t="s">
        <v>34</v>
      </c>
      <c r="E384">
        <v>-2</v>
      </c>
      <c r="G384">
        <f t="shared" si="10"/>
        <v>0</v>
      </c>
      <c r="I384">
        <f t="shared" si="11"/>
        <v>0</v>
      </c>
      <c r="J384" s="1">
        <v>45549</v>
      </c>
      <c r="K384" t="s">
        <v>38</v>
      </c>
      <c r="L384" t="s">
        <v>23</v>
      </c>
      <c r="M384">
        <v>-165.59</v>
      </c>
    </row>
    <row r="385" spans="1:13" x14ac:dyDescent="0.25">
      <c r="A385">
        <v>1383</v>
      </c>
      <c r="B385" t="s">
        <v>431</v>
      </c>
      <c r="C385" t="s">
        <v>36</v>
      </c>
      <c r="D385" t="s">
        <v>55</v>
      </c>
      <c r="E385">
        <v>5</v>
      </c>
      <c r="F385">
        <v>2409.13</v>
      </c>
      <c r="G385">
        <f t="shared" si="10"/>
        <v>12045.650000000001</v>
      </c>
      <c r="I385">
        <f t="shared" si="11"/>
        <v>12045.650000000001</v>
      </c>
      <c r="J385" s="1">
        <v>45841</v>
      </c>
      <c r="K385" t="s">
        <v>44</v>
      </c>
      <c r="L385" t="s">
        <v>16</v>
      </c>
      <c r="M385">
        <v>127.63</v>
      </c>
    </row>
    <row r="386" spans="1:13" x14ac:dyDescent="0.25">
      <c r="A386">
        <v>1048</v>
      </c>
      <c r="B386" t="s">
        <v>432</v>
      </c>
      <c r="C386" t="s">
        <v>25</v>
      </c>
      <c r="D386" t="s">
        <v>62</v>
      </c>
      <c r="E386">
        <v>2</v>
      </c>
      <c r="G386">
        <f t="shared" si="10"/>
        <v>0</v>
      </c>
      <c r="I386">
        <f t="shared" si="11"/>
        <v>0</v>
      </c>
      <c r="J386" s="1">
        <v>45657</v>
      </c>
      <c r="K386" t="s">
        <v>18</v>
      </c>
      <c r="L386" t="s">
        <v>16</v>
      </c>
      <c r="M386">
        <v>2393.9899999999998</v>
      </c>
    </row>
    <row r="387" spans="1:13" x14ac:dyDescent="0.25">
      <c r="A387">
        <v>1385</v>
      </c>
      <c r="B387" t="s">
        <v>433</v>
      </c>
      <c r="C387" t="s">
        <v>36</v>
      </c>
      <c r="D387" t="s">
        <v>59</v>
      </c>
      <c r="E387">
        <v>1</v>
      </c>
      <c r="G387">
        <f t="shared" ref="G387:G450" si="12">F387*E387</f>
        <v>0</v>
      </c>
      <c r="I387">
        <f t="shared" ref="I387:I450" si="13">G387*(1-H387)</f>
        <v>0</v>
      </c>
      <c r="K387" t="s">
        <v>38</v>
      </c>
      <c r="L387" t="s">
        <v>16</v>
      </c>
      <c r="M387">
        <v>2744.77</v>
      </c>
    </row>
    <row r="388" spans="1:13" x14ac:dyDescent="0.25">
      <c r="A388">
        <v>1386</v>
      </c>
      <c r="B388" t="s">
        <v>434</v>
      </c>
      <c r="C388" t="s">
        <v>25</v>
      </c>
      <c r="D388" t="s">
        <v>82</v>
      </c>
      <c r="E388">
        <v>5</v>
      </c>
      <c r="F388">
        <v>4439.8100000000004</v>
      </c>
      <c r="G388">
        <f t="shared" si="12"/>
        <v>22199.050000000003</v>
      </c>
      <c r="H388" s="3">
        <v>1.1000000000000001</v>
      </c>
      <c r="I388">
        <f t="shared" si="13"/>
        <v>-2219.9050000000025</v>
      </c>
      <c r="J388" s="1">
        <v>45608</v>
      </c>
      <c r="K388" t="s">
        <v>15</v>
      </c>
      <c r="L388" t="s">
        <v>23</v>
      </c>
      <c r="M388">
        <v>1669.09</v>
      </c>
    </row>
    <row r="389" spans="1:13" x14ac:dyDescent="0.25">
      <c r="A389">
        <v>1387</v>
      </c>
      <c r="B389" t="s">
        <v>435</v>
      </c>
      <c r="C389" t="s">
        <v>20</v>
      </c>
      <c r="D389" t="s">
        <v>21</v>
      </c>
      <c r="E389">
        <v>3</v>
      </c>
      <c r="G389">
        <f t="shared" si="12"/>
        <v>0</v>
      </c>
      <c r="I389">
        <f t="shared" si="13"/>
        <v>0</v>
      </c>
      <c r="J389" s="1">
        <v>45507</v>
      </c>
      <c r="K389" t="s">
        <v>44</v>
      </c>
      <c r="L389" t="s">
        <v>16</v>
      </c>
      <c r="M389">
        <v>-505.47</v>
      </c>
    </row>
    <row r="390" spans="1:13" x14ac:dyDescent="0.25">
      <c r="A390">
        <v>1388</v>
      </c>
      <c r="B390" t="s">
        <v>436</v>
      </c>
      <c r="C390" t="s">
        <v>36</v>
      </c>
      <c r="D390" t="s">
        <v>37</v>
      </c>
      <c r="E390">
        <v>4</v>
      </c>
      <c r="G390">
        <f t="shared" si="12"/>
        <v>0</v>
      </c>
      <c r="I390">
        <f t="shared" si="13"/>
        <v>0</v>
      </c>
      <c r="J390" s="1">
        <v>45433</v>
      </c>
      <c r="K390" t="s">
        <v>15</v>
      </c>
      <c r="L390" t="s">
        <v>16</v>
      </c>
      <c r="M390">
        <v>475.79</v>
      </c>
    </row>
    <row r="391" spans="1:13" x14ac:dyDescent="0.25">
      <c r="A391">
        <v>1389</v>
      </c>
      <c r="B391" t="s">
        <v>437</v>
      </c>
      <c r="C391" t="s">
        <v>36</v>
      </c>
      <c r="D391" t="s">
        <v>59</v>
      </c>
      <c r="E391">
        <v>2</v>
      </c>
      <c r="F391">
        <v>2742.38</v>
      </c>
      <c r="G391">
        <f t="shared" si="12"/>
        <v>5484.76</v>
      </c>
      <c r="I391">
        <f t="shared" si="13"/>
        <v>5484.76</v>
      </c>
      <c r="J391" s="1">
        <v>45132</v>
      </c>
      <c r="K391" t="s">
        <v>18</v>
      </c>
      <c r="L391" t="s">
        <v>16</v>
      </c>
      <c r="M391">
        <v>1987.46</v>
      </c>
    </row>
    <row r="392" spans="1:13" x14ac:dyDescent="0.25">
      <c r="A392">
        <v>1390</v>
      </c>
      <c r="B392" t="s">
        <v>438</v>
      </c>
      <c r="C392" t="s">
        <v>13</v>
      </c>
      <c r="D392" t="s">
        <v>14</v>
      </c>
      <c r="E392">
        <v>4</v>
      </c>
      <c r="G392">
        <f t="shared" si="12"/>
        <v>0</v>
      </c>
      <c r="I392">
        <f t="shared" si="13"/>
        <v>0</v>
      </c>
      <c r="K392" t="s">
        <v>44</v>
      </c>
      <c r="L392" t="s">
        <v>16</v>
      </c>
      <c r="M392">
        <v>1789.75</v>
      </c>
    </row>
    <row r="393" spans="1:13" x14ac:dyDescent="0.25">
      <c r="A393">
        <v>1391</v>
      </c>
      <c r="B393" t="s">
        <v>439</v>
      </c>
      <c r="C393" t="s">
        <v>25</v>
      </c>
      <c r="D393" t="s">
        <v>62</v>
      </c>
      <c r="E393">
        <v>0</v>
      </c>
      <c r="F393">
        <v>2213.79</v>
      </c>
      <c r="G393">
        <f t="shared" si="12"/>
        <v>0</v>
      </c>
      <c r="H393" s="3">
        <v>0.01</v>
      </c>
      <c r="I393">
        <f t="shared" si="13"/>
        <v>0</v>
      </c>
      <c r="J393" s="1">
        <v>45738</v>
      </c>
      <c r="K393" t="s">
        <v>2517</v>
      </c>
      <c r="L393" t="s">
        <v>16</v>
      </c>
      <c r="M393">
        <v>418.24</v>
      </c>
    </row>
    <row r="394" spans="1:13" x14ac:dyDescent="0.25">
      <c r="A394">
        <v>1014</v>
      </c>
      <c r="B394" t="s">
        <v>440</v>
      </c>
      <c r="C394" t="s">
        <v>13</v>
      </c>
      <c r="D394" t="s">
        <v>98</v>
      </c>
      <c r="E394">
        <v>2</v>
      </c>
      <c r="F394">
        <v>784.1</v>
      </c>
      <c r="G394">
        <f t="shared" si="12"/>
        <v>1568.2</v>
      </c>
      <c r="I394">
        <f t="shared" si="13"/>
        <v>1568.2</v>
      </c>
      <c r="J394" s="1">
        <v>45693</v>
      </c>
      <c r="K394" t="s">
        <v>15</v>
      </c>
      <c r="L394" t="s">
        <v>16</v>
      </c>
      <c r="M394">
        <v>401.24</v>
      </c>
    </row>
    <row r="395" spans="1:13" x14ac:dyDescent="0.25">
      <c r="A395">
        <v>1393</v>
      </c>
      <c r="B395" t="s">
        <v>441</v>
      </c>
      <c r="C395" t="s">
        <v>20</v>
      </c>
      <c r="D395" t="s">
        <v>76</v>
      </c>
      <c r="E395">
        <v>6</v>
      </c>
      <c r="G395">
        <f t="shared" si="12"/>
        <v>0</v>
      </c>
      <c r="I395">
        <f t="shared" si="13"/>
        <v>0</v>
      </c>
      <c r="K395" t="s">
        <v>2517</v>
      </c>
      <c r="L395" t="s">
        <v>16</v>
      </c>
      <c r="M395">
        <v>2001.24</v>
      </c>
    </row>
    <row r="396" spans="1:13" x14ac:dyDescent="0.25">
      <c r="A396">
        <v>1394</v>
      </c>
      <c r="B396" t="s">
        <v>442</v>
      </c>
      <c r="C396" t="s">
        <v>20</v>
      </c>
      <c r="D396" t="s">
        <v>76</v>
      </c>
      <c r="E396">
        <v>2</v>
      </c>
      <c r="F396">
        <v>1218.6500000000001</v>
      </c>
      <c r="G396">
        <f t="shared" si="12"/>
        <v>2437.3000000000002</v>
      </c>
      <c r="I396">
        <f t="shared" si="13"/>
        <v>2437.3000000000002</v>
      </c>
      <c r="J396" s="1">
        <v>45806</v>
      </c>
      <c r="K396" t="s">
        <v>2517</v>
      </c>
      <c r="L396" t="s">
        <v>16</v>
      </c>
      <c r="M396">
        <v>2538.59</v>
      </c>
    </row>
    <row r="397" spans="1:13" x14ac:dyDescent="0.25">
      <c r="A397">
        <v>1395</v>
      </c>
      <c r="B397" t="s">
        <v>443</v>
      </c>
      <c r="C397" t="s">
        <v>36</v>
      </c>
      <c r="D397" t="s">
        <v>59</v>
      </c>
      <c r="E397">
        <v>2</v>
      </c>
      <c r="G397">
        <f t="shared" si="12"/>
        <v>0</v>
      </c>
      <c r="I397">
        <f t="shared" si="13"/>
        <v>0</v>
      </c>
      <c r="J397" s="1">
        <v>45393</v>
      </c>
      <c r="K397" t="s">
        <v>22</v>
      </c>
      <c r="L397" t="s">
        <v>23</v>
      </c>
      <c r="M397">
        <v>-357.08</v>
      </c>
    </row>
    <row r="398" spans="1:13" x14ac:dyDescent="0.25">
      <c r="A398">
        <v>1396</v>
      </c>
      <c r="B398" t="s">
        <v>444</v>
      </c>
      <c r="C398" t="s">
        <v>13</v>
      </c>
      <c r="D398" t="s">
        <v>47</v>
      </c>
      <c r="E398">
        <v>2</v>
      </c>
      <c r="F398">
        <v>3663.65</v>
      </c>
      <c r="G398">
        <f t="shared" si="12"/>
        <v>7327.3</v>
      </c>
      <c r="H398" s="3">
        <v>0.26</v>
      </c>
      <c r="I398">
        <f t="shared" si="13"/>
        <v>5422.2020000000002</v>
      </c>
      <c r="K398" t="s">
        <v>18</v>
      </c>
      <c r="L398" t="s">
        <v>23</v>
      </c>
      <c r="M398">
        <v>1553.44</v>
      </c>
    </row>
    <row r="399" spans="1:13" x14ac:dyDescent="0.25">
      <c r="A399">
        <v>1397</v>
      </c>
      <c r="B399" t="s">
        <v>445</v>
      </c>
      <c r="C399" t="s">
        <v>20</v>
      </c>
      <c r="D399" t="s">
        <v>118</v>
      </c>
      <c r="E399">
        <v>2</v>
      </c>
      <c r="G399">
        <f t="shared" si="12"/>
        <v>0</v>
      </c>
      <c r="I399">
        <f t="shared" si="13"/>
        <v>0</v>
      </c>
      <c r="J399" s="1">
        <v>45723</v>
      </c>
      <c r="K399" t="s">
        <v>38</v>
      </c>
      <c r="L399" t="s">
        <v>16</v>
      </c>
      <c r="M399">
        <v>1239.6199999999999</v>
      </c>
    </row>
    <row r="400" spans="1:13" x14ac:dyDescent="0.25">
      <c r="A400">
        <v>1398</v>
      </c>
      <c r="B400" t="s">
        <v>446</v>
      </c>
      <c r="C400" t="s">
        <v>36</v>
      </c>
      <c r="D400" t="s">
        <v>37</v>
      </c>
      <c r="E400">
        <v>2</v>
      </c>
      <c r="G400">
        <f t="shared" si="12"/>
        <v>0</v>
      </c>
      <c r="I400">
        <f t="shared" si="13"/>
        <v>0</v>
      </c>
      <c r="J400" s="1">
        <v>45744</v>
      </c>
      <c r="K400" t="s">
        <v>2517</v>
      </c>
      <c r="L400" t="s">
        <v>16</v>
      </c>
      <c r="M400">
        <v>-43.7</v>
      </c>
    </row>
    <row r="401" spans="1:13" x14ac:dyDescent="0.25">
      <c r="A401">
        <v>1399</v>
      </c>
      <c r="B401" t="s">
        <v>447</v>
      </c>
      <c r="C401" t="s">
        <v>20</v>
      </c>
      <c r="D401" t="s">
        <v>84</v>
      </c>
      <c r="E401">
        <v>4</v>
      </c>
      <c r="G401">
        <f t="shared" si="12"/>
        <v>0</v>
      </c>
      <c r="H401" s="3">
        <v>0.35</v>
      </c>
      <c r="I401">
        <f t="shared" si="13"/>
        <v>0</v>
      </c>
      <c r="J401" s="1">
        <v>45596</v>
      </c>
      <c r="K401" t="s">
        <v>15</v>
      </c>
      <c r="L401" t="s">
        <v>16</v>
      </c>
      <c r="M401">
        <v>-444.08</v>
      </c>
    </row>
    <row r="402" spans="1:13" x14ac:dyDescent="0.25">
      <c r="A402">
        <v>1400</v>
      </c>
      <c r="B402" t="s">
        <v>448</v>
      </c>
      <c r="C402" t="s">
        <v>31</v>
      </c>
      <c r="D402" t="s">
        <v>68</v>
      </c>
      <c r="E402">
        <v>2</v>
      </c>
      <c r="G402">
        <f t="shared" si="12"/>
        <v>0</v>
      </c>
      <c r="I402">
        <f t="shared" si="13"/>
        <v>0</v>
      </c>
      <c r="J402" s="1">
        <v>45715</v>
      </c>
      <c r="K402" t="s">
        <v>15</v>
      </c>
      <c r="L402" t="s">
        <v>16</v>
      </c>
      <c r="M402">
        <v>1385.55</v>
      </c>
    </row>
    <row r="403" spans="1:13" x14ac:dyDescent="0.25">
      <c r="A403">
        <v>1401</v>
      </c>
      <c r="B403" t="s">
        <v>449</v>
      </c>
      <c r="C403" t="s">
        <v>31</v>
      </c>
      <c r="D403" t="s">
        <v>68</v>
      </c>
      <c r="E403">
        <v>-2</v>
      </c>
      <c r="G403">
        <f t="shared" si="12"/>
        <v>0</v>
      </c>
      <c r="I403">
        <f t="shared" si="13"/>
        <v>0</v>
      </c>
      <c r="J403" s="1">
        <v>45570</v>
      </c>
      <c r="K403" t="s">
        <v>2517</v>
      </c>
      <c r="L403" t="s">
        <v>16</v>
      </c>
      <c r="M403">
        <v>-751.05</v>
      </c>
    </row>
    <row r="404" spans="1:13" x14ac:dyDescent="0.25">
      <c r="A404">
        <v>1402</v>
      </c>
      <c r="B404" t="s">
        <v>450</v>
      </c>
      <c r="C404" t="s">
        <v>28</v>
      </c>
      <c r="D404" t="s">
        <v>116</v>
      </c>
      <c r="E404">
        <v>2</v>
      </c>
      <c r="F404">
        <v>603.51</v>
      </c>
      <c r="G404">
        <f t="shared" si="12"/>
        <v>1207.02</v>
      </c>
      <c r="H404" s="3">
        <v>1.23</v>
      </c>
      <c r="I404">
        <f t="shared" si="13"/>
        <v>-277.6146</v>
      </c>
      <c r="J404" s="1">
        <v>45673</v>
      </c>
      <c r="K404" t="s">
        <v>2517</v>
      </c>
      <c r="L404" t="s">
        <v>16</v>
      </c>
      <c r="M404">
        <v>982.01</v>
      </c>
    </row>
    <row r="405" spans="1:13" x14ac:dyDescent="0.25">
      <c r="A405">
        <v>1403</v>
      </c>
      <c r="B405" t="s">
        <v>451</v>
      </c>
      <c r="C405" t="s">
        <v>31</v>
      </c>
      <c r="D405" t="s">
        <v>32</v>
      </c>
      <c r="E405">
        <v>2</v>
      </c>
      <c r="G405">
        <f t="shared" si="12"/>
        <v>0</v>
      </c>
      <c r="I405">
        <f t="shared" si="13"/>
        <v>0</v>
      </c>
      <c r="J405" s="1">
        <v>45828</v>
      </c>
      <c r="K405" t="s">
        <v>2517</v>
      </c>
      <c r="L405" t="s">
        <v>16</v>
      </c>
      <c r="M405">
        <v>2210.0700000000002</v>
      </c>
    </row>
    <row r="406" spans="1:13" x14ac:dyDescent="0.25">
      <c r="A406">
        <v>1404</v>
      </c>
      <c r="B406" t="s">
        <v>452</v>
      </c>
      <c r="C406" t="s">
        <v>28</v>
      </c>
      <c r="D406" t="s">
        <v>116</v>
      </c>
      <c r="E406">
        <v>2</v>
      </c>
      <c r="F406">
        <v>3074.59</v>
      </c>
      <c r="G406">
        <f t="shared" si="12"/>
        <v>6149.18</v>
      </c>
      <c r="I406">
        <f t="shared" si="13"/>
        <v>6149.18</v>
      </c>
      <c r="K406" t="s">
        <v>38</v>
      </c>
      <c r="L406" t="s">
        <v>16</v>
      </c>
      <c r="M406">
        <v>1979.07</v>
      </c>
    </row>
    <row r="407" spans="1:13" x14ac:dyDescent="0.25">
      <c r="A407">
        <v>1405</v>
      </c>
      <c r="B407" t="s">
        <v>453</v>
      </c>
      <c r="C407" t="s">
        <v>36</v>
      </c>
      <c r="D407" t="s">
        <v>55</v>
      </c>
      <c r="E407">
        <v>2</v>
      </c>
      <c r="G407">
        <f t="shared" si="12"/>
        <v>0</v>
      </c>
      <c r="H407" s="3">
        <v>0.56000000000000005</v>
      </c>
      <c r="I407">
        <f t="shared" si="13"/>
        <v>0</v>
      </c>
      <c r="J407" s="1">
        <v>45417</v>
      </c>
      <c r="K407" t="s">
        <v>22</v>
      </c>
      <c r="L407" t="s">
        <v>16</v>
      </c>
      <c r="M407">
        <v>2345.6799999999998</v>
      </c>
    </row>
    <row r="408" spans="1:13" x14ac:dyDescent="0.25">
      <c r="A408">
        <v>1406</v>
      </c>
      <c r="B408" t="s">
        <v>454</v>
      </c>
      <c r="C408" t="s">
        <v>36</v>
      </c>
      <c r="D408" t="s">
        <v>55</v>
      </c>
      <c r="E408">
        <v>2</v>
      </c>
      <c r="G408">
        <f t="shared" si="12"/>
        <v>0</v>
      </c>
      <c r="I408">
        <f t="shared" si="13"/>
        <v>0</v>
      </c>
      <c r="J408" s="1">
        <v>45675</v>
      </c>
      <c r="K408" t="s">
        <v>38</v>
      </c>
      <c r="L408" t="s">
        <v>16</v>
      </c>
      <c r="M408">
        <v>-863.17</v>
      </c>
    </row>
    <row r="409" spans="1:13" x14ac:dyDescent="0.25">
      <c r="A409">
        <v>1407</v>
      </c>
      <c r="B409" t="s">
        <v>455</v>
      </c>
      <c r="C409" t="s">
        <v>31</v>
      </c>
      <c r="D409" t="s">
        <v>78</v>
      </c>
      <c r="E409">
        <v>2</v>
      </c>
      <c r="F409">
        <v>4977.8100000000004</v>
      </c>
      <c r="G409">
        <f t="shared" si="12"/>
        <v>9955.6200000000008</v>
      </c>
      <c r="I409">
        <f t="shared" si="13"/>
        <v>9955.6200000000008</v>
      </c>
      <c r="J409" s="1">
        <v>45823</v>
      </c>
      <c r="K409" t="s">
        <v>18</v>
      </c>
      <c r="L409" t="s">
        <v>23</v>
      </c>
      <c r="M409">
        <v>2041.12</v>
      </c>
    </row>
    <row r="410" spans="1:13" x14ac:dyDescent="0.25">
      <c r="A410">
        <v>1408</v>
      </c>
      <c r="B410" t="s">
        <v>456</v>
      </c>
      <c r="C410" t="s">
        <v>25</v>
      </c>
      <c r="D410" t="s">
        <v>82</v>
      </c>
      <c r="E410">
        <v>2</v>
      </c>
      <c r="G410">
        <f t="shared" si="12"/>
        <v>0</v>
      </c>
      <c r="I410">
        <f t="shared" si="13"/>
        <v>0</v>
      </c>
      <c r="J410" s="1">
        <v>45539</v>
      </c>
      <c r="K410" t="s">
        <v>22</v>
      </c>
      <c r="L410" t="s">
        <v>23</v>
      </c>
      <c r="M410">
        <v>2305.3200000000002</v>
      </c>
    </row>
    <row r="411" spans="1:13" x14ac:dyDescent="0.25">
      <c r="A411">
        <v>1409</v>
      </c>
      <c r="B411" t="s">
        <v>457</v>
      </c>
      <c r="C411" t="s">
        <v>28</v>
      </c>
      <c r="D411" t="s">
        <v>137</v>
      </c>
      <c r="E411">
        <v>6</v>
      </c>
      <c r="G411">
        <f t="shared" si="12"/>
        <v>0</v>
      </c>
      <c r="I411">
        <f t="shared" si="13"/>
        <v>0</v>
      </c>
      <c r="K411" t="s">
        <v>44</v>
      </c>
      <c r="L411" t="s">
        <v>16</v>
      </c>
      <c r="M411">
        <v>-941.44</v>
      </c>
    </row>
    <row r="412" spans="1:13" x14ac:dyDescent="0.25">
      <c r="A412">
        <v>1410</v>
      </c>
      <c r="B412" t="s">
        <v>458</v>
      </c>
      <c r="C412" t="s">
        <v>13</v>
      </c>
      <c r="D412" t="s">
        <v>98</v>
      </c>
      <c r="E412">
        <v>6</v>
      </c>
      <c r="F412">
        <v>4445.8100000000004</v>
      </c>
      <c r="G412">
        <f t="shared" si="12"/>
        <v>26674.86</v>
      </c>
      <c r="I412">
        <f t="shared" si="13"/>
        <v>26674.86</v>
      </c>
      <c r="K412" t="s">
        <v>15</v>
      </c>
      <c r="L412" t="s">
        <v>16</v>
      </c>
      <c r="M412">
        <v>-654.59</v>
      </c>
    </row>
    <row r="413" spans="1:13" x14ac:dyDescent="0.25">
      <c r="A413">
        <v>1411</v>
      </c>
      <c r="B413" t="s">
        <v>459</v>
      </c>
      <c r="C413" t="s">
        <v>36</v>
      </c>
      <c r="D413" t="s">
        <v>59</v>
      </c>
      <c r="E413">
        <v>2</v>
      </c>
      <c r="F413">
        <v>4946.7700000000004</v>
      </c>
      <c r="G413">
        <f t="shared" si="12"/>
        <v>9893.5400000000009</v>
      </c>
      <c r="I413">
        <f t="shared" si="13"/>
        <v>9893.5400000000009</v>
      </c>
      <c r="K413" t="s">
        <v>22</v>
      </c>
      <c r="L413" t="s">
        <v>16</v>
      </c>
      <c r="M413">
        <v>1520.19</v>
      </c>
    </row>
    <row r="414" spans="1:13" x14ac:dyDescent="0.25">
      <c r="A414">
        <v>1412</v>
      </c>
      <c r="B414" t="s">
        <v>460</v>
      </c>
      <c r="C414" t="s">
        <v>25</v>
      </c>
      <c r="D414" t="s">
        <v>62</v>
      </c>
      <c r="E414">
        <v>2</v>
      </c>
      <c r="G414">
        <f t="shared" si="12"/>
        <v>0</v>
      </c>
      <c r="I414">
        <f t="shared" si="13"/>
        <v>0</v>
      </c>
      <c r="J414" s="1">
        <v>45533</v>
      </c>
      <c r="K414" t="s">
        <v>2517</v>
      </c>
      <c r="L414" t="s">
        <v>16</v>
      </c>
      <c r="M414">
        <v>2314.9299999999998</v>
      </c>
    </row>
    <row r="415" spans="1:13" x14ac:dyDescent="0.25">
      <c r="A415">
        <v>1413</v>
      </c>
      <c r="B415" t="s">
        <v>461</v>
      </c>
      <c r="C415" t="s">
        <v>36</v>
      </c>
      <c r="D415" t="s">
        <v>55</v>
      </c>
      <c r="E415">
        <v>1</v>
      </c>
      <c r="G415">
        <f t="shared" si="12"/>
        <v>0</v>
      </c>
      <c r="H415" s="3">
        <v>0.17</v>
      </c>
      <c r="I415">
        <f t="shared" si="13"/>
        <v>0</v>
      </c>
      <c r="J415" s="1">
        <v>45812</v>
      </c>
      <c r="K415" t="s">
        <v>18</v>
      </c>
      <c r="L415" t="s">
        <v>16</v>
      </c>
      <c r="M415">
        <v>1539.28</v>
      </c>
    </row>
    <row r="416" spans="1:13" x14ac:dyDescent="0.25">
      <c r="A416">
        <v>1414</v>
      </c>
      <c r="B416" t="s">
        <v>462</v>
      </c>
      <c r="C416" t="s">
        <v>31</v>
      </c>
      <c r="D416" t="s">
        <v>42</v>
      </c>
      <c r="E416">
        <v>2</v>
      </c>
      <c r="G416">
        <f t="shared" si="12"/>
        <v>0</v>
      </c>
      <c r="I416">
        <f t="shared" si="13"/>
        <v>0</v>
      </c>
      <c r="J416" s="1">
        <v>45846</v>
      </c>
      <c r="K416" t="s">
        <v>18</v>
      </c>
      <c r="L416" t="s">
        <v>16</v>
      </c>
      <c r="M416">
        <v>2843.55</v>
      </c>
    </row>
    <row r="417" spans="1:13" x14ac:dyDescent="0.25">
      <c r="A417">
        <v>1415</v>
      </c>
      <c r="B417" t="s">
        <v>463</v>
      </c>
      <c r="C417" t="s">
        <v>20</v>
      </c>
      <c r="D417" t="s">
        <v>21</v>
      </c>
      <c r="E417">
        <v>2</v>
      </c>
      <c r="F417">
        <v>3149</v>
      </c>
      <c r="G417">
        <f t="shared" si="12"/>
        <v>6298</v>
      </c>
      <c r="I417">
        <f t="shared" si="13"/>
        <v>6298</v>
      </c>
      <c r="K417" t="s">
        <v>38</v>
      </c>
      <c r="L417" t="s">
        <v>16</v>
      </c>
      <c r="M417">
        <v>2661.23</v>
      </c>
    </row>
    <row r="418" spans="1:13" x14ac:dyDescent="0.25">
      <c r="A418">
        <v>1416</v>
      </c>
      <c r="B418" t="s">
        <v>464</v>
      </c>
      <c r="C418" t="s">
        <v>28</v>
      </c>
      <c r="D418" t="s">
        <v>116</v>
      </c>
      <c r="E418">
        <v>2</v>
      </c>
      <c r="F418">
        <v>3527.15</v>
      </c>
      <c r="G418">
        <f t="shared" si="12"/>
        <v>7054.3</v>
      </c>
      <c r="I418">
        <f t="shared" si="13"/>
        <v>7054.3</v>
      </c>
      <c r="J418" s="1">
        <v>45253</v>
      </c>
      <c r="K418" t="s">
        <v>2517</v>
      </c>
      <c r="L418" t="s">
        <v>16</v>
      </c>
      <c r="M418">
        <v>2286.48</v>
      </c>
    </row>
    <row r="419" spans="1:13" x14ac:dyDescent="0.25">
      <c r="A419">
        <v>1417</v>
      </c>
      <c r="B419" t="s">
        <v>465</v>
      </c>
      <c r="C419" t="s">
        <v>36</v>
      </c>
      <c r="D419" t="s">
        <v>59</v>
      </c>
      <c r="E419">
        <v>2</v>
      </c>
      <c r="G419">
        <f t="shared" si="12"/>
        <v>0</v>
      </c>
      <c r="I419">
        <f t="shared" si="13"/>
        <v>0</v>
      </c>
      <c r="J419" s="1">
        <v>45515</v>
      </c>
      <c r="K419" t="s">
        <v>38</v>
      </c>
      <c r="L419" t="s">
        <v>23</v>
      </c>
      <c r="M419">
        <v>888.59</v>
      </c>
    </row>
    <row r="420" spans="1:13" x14ac:dyDescent="0.25">
      <c r="A420">
        <v>1418</v>
      </c>
      <c r="B420" t="s">
        <v>466</v>
      </c>
      <c r="C420" t="s">
        <v>36</v>
      </c>
      <c r="D420" t="s">
        <v>87</v>
      </c>
      <c r="E420">
        <v>2</v>
      </c>
      <c r="G420">
        <f t="shared" si="12"/>
        <v>0</v>
      </c>
      <c r="H420" s="3">
        <v>0.13</v>
      </c>
      <c r="I420">
        <f t="shared" si="13"/>
        <v>0</v>
      </c>
      <c r="J420" s="1">
        <v>45507</v>
      </c>
      <c r="K420" t="s">
        <v>38</v>
      </c>
      <c r="L420" t="s">
        <v>23</v>
      </c>
      <c r="M420">
        <v>1403.76</v>
      </c>
    </row>
    <row r="421" spans="1:13" x14ac:dyDescent="0.25">
      <c r="A421">
        <v>1419</v>
      </c>
      <c r="B421" t="s">
        <v>467</v>
      </c>
      <c r="C421" t="s">
        <v>20</v>
      </c>
      <c r="D421" t="s">
        <v>76</v>
      </c>
      <c r="E421">
        <v>2</v>
      </c>
      <c r="G421">
        <f t="shared" si="12"/>
        <v>0</v>
      </c>
      <c r="I421">
        <f t="shared" si="13"/>
        <v>0</v>
      </c>
      <c r="J421" s="1">
        <v>45580</v>
      </c>
      <c r="K421" t="s">
        <v>2517</v>
      </c>
      <c r="L421" t="s">
        <v>23</v>
      </c>
      <c r="M421">
        <v>-565.16999999999996</v>
      </c>
    </row>
    <row r="422" spans="1:13" x14ac:dyDescent="0.25">
      <c r="A422">
        <v>1420</v>
      </c>
      <c r="B422" t="s">
        <v>468</v>
      </c>
      <c r="C422" t="s">
        <v>25</v>
      </c>
      <c r="D422" t="s">
        <v>26</v>
      </c>
      <c r="E422">
        <v>2</v>
      </c>
      <c r="G422">
        <f t="shared" si="12"/>
        <v>0</v>
      </c>
      <c r="H422" s="3">
        <v>0.96</v>
      </c>
      <c r="I422">
        <f t="shared" si="13"/>
        <v>0</v>
      </c>
      <c r="J422" s="1">
        <v>45814</v>
      </c>
      <c r="K422" t="s">
        <v>18</v>
      </c>
      <c r="L422" t="s">
        <v>23</v>
      </c>
      <c r="M422">
        <v>2790.42</v>
      </c>
    </row>
    <row r="423" spans="1:13" x14ac:dyDescent="0.25">
      <c r="A423">
        <v>1421</v>
      </c>
      <c r="B423" t="s">
        <v>469</v>
      </c>
      <c r="C423" t="s">
        <v>31</v>
      </c>
      <c r="D423" t="s">
        <v>68</v>
      </c>
      <c r="E423">
        <v>0</v>
      </c>
      <c r="G423">
        <f t="shared" si="12"/>
        <v>0</v>
      </c>
      <c r="I423">
        <f t="shared" si="13"/>
        <v>0</v>
      </c>
      <c r="J423" s="1">
        <v>45853</v>
      </c>
      <c r="K423" t="s">
        <v>18</v>
      </c>
      <c r="L423" t="s">
        <v>16</v>
      </c>
      <c r="M423">
        <v>575.19000000000005</v>
      </c>
    </row>
    <row r="424" spans="1:13" x14ac:dyDescent="0.25">
      <c r="A424">
        <v>1422</v>
      </c>
      <c r="B424" t="s">
        <v>470</v>
      </c>
      <c r="C424" t="s">
        <v>13</v>
      </c>
      <c r="D424" t="s">
        <v>34</v>
      </c>
      <c r="E424">
        <v>2</v>
      </c>
      <c r="F424">
        <v>4466.49</v>
      </c>
      <c r="G424">
        <f t="shared" si="12"/>
        <v>8932.98</v>
      </c>
      <c r="I424">
        <f t="shared" si="13"/>
        <v>8932.98</v>
      </c>
      <c r="J424" s="1">
        <v>45726</v>
      </c>
      <c r="K424" t="s">
        <v>18</v>
      </c>
      <c r="L424" t="s">
        <v>23</v>
      </c>
      <c r="M424">
        <v>2168.7800000000002</v>
      </c>
    </row>
    <row r="425" spans="1:13" x14ac:dyDescent="0.25">
      <c r="A425">
        <v>1423</v>
      </c>
      <c r="B425" t="s">
        <v>471</v>
      </c>
      <c r="C425" t="s">
        <v>20</v>
      </c>
      <c r="D425" t="s">
        <v>118</v>
      </c>
      <c r="E425">
        <v>2</v>
      </c>
      <c r="G425">
        <f t="shared" si="12"/>
        <v>0</v>
      </c>
      <c r="I425">
        <f t="shared" si="13"/>
        <v>0</v>
      </c>
      <c r="J425" s="1">
        <v>45710</v>
      </c>
      <c r="K425" t="s">
        <v>2517</v>
      </c>
      <c r="L425" t="s">
        <v>16</v>
      </c>
      <c r="M425">
        <v>1302.05</v>
      </c>
    </row>
    <row r="426" spans="1:13" x14ac:dyDescent="0.25">
      <c r="A426">
        <v>1424</v>
      </c>
      <c r="B426" t="s">
        <v>472</v>
      </c>
      <c r="C426" t="s">
        <v>31</v>
      </c>
      <c r="D426" t="s">
        <v>68</v>
      </c>
      <c r="E426">
        <v>-1</v>
      </c>
      <c r="F426">
        <v>538.6</v>
      </c>
      <c r="G426">
        <f t="shared" si="12"/>
        <v>-538.6</v>
      </c>
      <c r="H426" s="3">
        <v>1.18</v>
      </c>
      <c r="I426">
        <f t="shared" si="13"/>
        <v>96.947999999999965</v>
      </c>
      <c r="J426" s="1">
        <v>45661</v>
      </c>
      <c r="K426" t="s">
        <v>2517</v>
      </c>
      <c r="L426" t="s">
        <v>16</v>
      </c>
      <c r="M426">
        <v>752.81</v>
      </c>
    </row>
    <row r="427" spans="1:13" x14ac:dyDescent="0.25">
      <c r="A427">
        <v>1425</v>
      </c>
      <c r="B427" t="s">
        <v>473</v>
      </c>
      <c r="C427" t="s">
        <v>28</v>
      </c>
      <c r="D427" t="s">
        <v>137</v>
      </c>
      <c r="E427">
        <v>2</v>
      </c>
      <c r="F427">
        <v>1133.73</v>
      </c>
      <c r="G427">
        <f t="shared" si="12"/>
        <v>2267.46</v>
      </c>
      <c r="I427">
        <f t="shared" si="13"/>
        <v>2267.46</v>
      </c>
      <c r="J427" s="1">
        <v>45656</v>
      </c>
      <c r="K427" t="s">
        <v>44</v>
      </c>
      <c r="L427" t="s">
        <v>23</v>
      </c>
      <c r="M427">
        <v>2604.14</v>
      </c>
    </row>
    <row r="428" spans="1:13" x14ac:dyDescent="0.25">
      <c r="A428">
        <v>1426</v>
      </c>
      <c r="B428" t="s">
        <v>474</v>
      </c>
      <c r="C428" t="s">
        <v>13</v>
      </c>
      <c r="D428" t="s">
        <v>98</v>
      </c>
      <c r="E428">
        <v>-2</v>
      </c>
      <c r="F428">
        <v>3175.17</v>
      </c>
      <c r="G428">
        <f t="shared" si="12"/>
        <v>-6350.34</v>
      </c>
      <c r="H428" s="3">
        <v>0.86</v>
      </c>
      <c r="I428">
        <f t="shared" si="13"/>
        <v>-889.0476000000001</v>
      </c>
      <c r="K428" t="s">
        <v>2517</v>
      </c>
      <c r="L428" t="s">
        <v>23</v>
      </c>
      <c r="M428">
        <v>2860.99</v>
      </c>
    </row>
    <row r="429" spans="1:13" x14ac:dyDescent="0.25">
      <c r="A429">
        <v>1427</v>
      </c>
      <c r="B429" t="s">
        <v>475</v>
      </c>
      <c r="C429" t="s">
        <v>25</v>
      </c>
      <c r="D429" t="s">
        <v>82</v>
      </c>
      <c r="E429">
        <v>2</v>
      </c>
      <c r="G429">
        <f t="shared" si="12"/>
        <v>0</v>
      </c>
      <c r="I429">
        <f t="shared" si="13"/>
        <v>0</v>
      </c>
      <c r="J429" s="1">
        <v>45826</v>
      </c>
      <c r="K429" t="s">
        <v>22</v>
      </c>
      <c r="L429" t="s">
        <v>16</v>
      </c>
      <c r="M429">
        <v>2795.17</v>
      </c>
    </row>
    <row r="430" spans="1:13" x14ac:dyDescent="0.25">
      <c r="A430">
        <v>1015</v>
      </c>
      <c r="B430" t="s">
        <v>476</v>
      </c>
      <c r="C430" t="s">
        <v>13</v>
      </c>
      <c r="D430" t="s">
        <v>34</v>
      </c>
      <c r="E430">
        <v>2</v>
      </c>
      <c r="G430">
        <f t="shared" si="12"/>
        <v>0</v>
      </c>
      <c r="I430">
        <f t="shared" si="13"/>
        <v>0</v>
      </c>
      <c r="J430" s="1">
        <v>45682</v>
      </c>
      <c r="K430" t="s">
        <v>15</v>
      </c>
      <c r="L430" t="s">
        <v>16</v>
      </c>
      <c r="M430">
        <v>1869.46</v>
      </c>
    </row>
    <row r="431" spans="1:13" x14ac:dyDescent="0.25">
      <c r="A431">
        <v>1429</v>
      </c>
      <c r="B431" t="s">
        <v>477</v>
      </c>
      <c r="C431" t="s">
        <v>36</v>
      </c>
      <c r="D431" t="s">
        <v>87</v>
      </c>
      <c r="E431">
        <v>2</v>
      </c>
      <c r="F431">
        <v>3292.01</v>
      </c>
      <c r="G431">
        <f t="shared" si="12"/>
        <v>6584.02</v>
      </c>
      <c r="I431">
        <f t="shared" si="13"/>
        <v>6584.02</v>
      </c>
      <c r="J431" s="1">
        <v>45568</v>
      </c>
      <c r="K431" t="s">
        <v>15</v>
      </c>
      <c r="L431" t="s">
        <v>23</v>
      </c>
      <c r="M431">
        <v>-358.22</v>
      </c>
    </row>
    <row r="432" spans="1:13" x14ac:dyDescent="0.25">
      <c r="A432">
        <v>1430</v>
      </c>
      <c r="B432" t="s">
        <v>478</v>
      </c>
      <c r="C432" t="s">
        <v>13</v>
      </c>
      <c r="D432" t="s">
        <v>47</v>
      </c>
      <c r="E432">
        <v>-2</v>
      </c>
      <c r="G432">
        <f t="shared" si="12"/>
        <v>0</v>
      </c>
      <c r="H432" s="3">
        <v>0.67</v>
      </c>
      <c r="I432">
        <f t="shared" si="13"/>
        <v>0</v>
      </c>
      <c r="J432" s="1">
        <v>45789</v>
      </c>
      <c r="K432" t="s">
        <v>44</v>
      </c>
      <c r="L432" t="s">
        <v>16</v>
      </c>
      <c r="M432">
        <v>2045.56</v>
      </c>
    </row>
    <row r="433" spans="1:13" x14ac:dyDescent="0.25">
      <c r="A433">
        <v>1431</v>
      </c>
      <c r="B433" t="s">
        <v>479</v>
      </c>
      <c r="C433" t="s">
        <v>28</v>
      </c>
      <c r="D433" t="s">
        <v>116</v>
      </c>
      <c r="E433">
        <v>2</v>
      </c>
      <c r="G433">
        <f t="shared" si="12"/>
        <v>0</v>
      </c>
      <c r="I433">
        <f t="shared" si="13"/>
        <v>0</v>
      </c>
      <c r="J433" s="1">
        <v>45776</v>
      </c>
      <c r="K433" t="s">
        <v>15</v>
      </c>
      <c r="L433" t="s">
        <v>23</v>
      </c>
      <c r="M433">
        <v>2191.02</v>
      </c>
    </row>
    <row r="434" spans="1:13" x14ac:dyDescent="0.25">
      <c r="A434">
        <v>1432</v>
      </c>
      <c r="B434" t="s">
        <v>480</v>
      </c>
      <c r="C434" t="s">
        <v>25</v>
      </c>
      <c r="D434" t="s">
        <v>51</v>
      </c>
      <c r="E434">
        <v>2</v>
      </c>
      <c r="G434">
        <f t="shared" si="12"/>
        <v>0</v>
      </c>
      <c r="I434">
        <f t="shared" si="13"/>
        <v>0</v>
      </c>
      <c r="J434" s="1">
        <v>45445</v>
      </c>
      <c r="K434" t="s">
        <v>18</v>
      </c>
      <c r="L434" t="s">
        <v>23</v>
      </c>
      <c r="M434">
        <v>-849.15</v>
      </c>
    </row>
    <row r="435" spans="1:13" x14ac:dyDescent="0.25">
      <c r="A435">
        <v>1433</v>
      </c>
      <c r="B435" t="s">
        <v>481</v>
      </c>
      <c r="C435" t="s">
        <v>31</v>
      </c>
      <c r="D435" t="s">
        <v>42</v>
      </c>
      <c r="E435">
        <v>2</v>
      </c>
      <c r="G435">
        <f t="shared" si="12"/>
        <v>0</v>
      </c>
      <c r="H435" s="3">
        <v>0.7</v>
      </c>
      <c r="I435">
        <f t="shared" si="13"/>
        <v>0</v>
      </c>
      <c r="J435" s="1">
        <v>45661</v>
      </c>
      <c r="K435" t="s">
        <v>22</v>
      </c>
      <c r="L435" t="s">
        <v>23</v>
      </c>
      <c r="M435">
        <v>-878.85</v>
      </c>
    </row>
    <row r="436" spans="1:13" x14ac:dyDescent="0.25">
      <c r="A436">
        <v>1434</v>
      </c>
      <c r="B436" t="s">
        <v>482</v>
      </c>
      <c r="C436" t="s">
        <v>13</v>
      </c>
      <c r="D436" t="s">
        <v>34</v>
      </c>
      <c r="E436">
        <v>0</v>
      </c>
      <c r="F436">
        <v>476.2</v>
      </c>
      <c r="G436">
        <f t="shared" si="12"/>
        <v>0</v>
      </c>
      <c r="H436" s="3">
        <v>1.03</v>
      </c>
      <c r="I436">
        <f t="shared" si="13"/>
        <v>0</v>
      </c>
      <c r="J436" s="1">
        <v>45512</v>
      </c>
      <c r="K436" t="s">
        <v>2517</v>
      </c>
      <c r="L436" t="s">
        <v>16</v>
      </c>
      <c r="M436">
        <v>-310.8</v>
      </c>
    </row>
    <row r="437" spans="1:13" x14ac:dyDescent="0.25">
      <c r="A437">
        <v>1435</v>
      </c>
      <c r="B437" t="s">
        <v>483</v>
      </c>
      <c r="C437" t="s">
        <v>31</v>
      </c>
      <c r="D437" t="s">
        <v>68</v>
      </c>
      <c r="E437">
        <v>3</v>
      </c>
      <c r="G437">
        <f t="shared" si="12"/>
        <v>0</v>
      </c>
      <c r="I437">
        <f t="shared" si="13"/>
        <v>0</v>
      </c>
      <c r="J437" s="1">
        <v>45763</v>
      </c>
      <c r="K437" t="s">
        <v>2517</v>
      </c>
      <c r="L437" t="s">
        <v>23</v>
      </c>
      <c r="M437">
        <v>904.65</v>
      </c>
    </row>
    <row r="438" spans="1:13" x14ac:dyDescent="0.25">
      <c r="A438">
        <v>1436</v>
      </c>
      <c r="B438" t="s">
        <v>484</v>
      </c>
      <c r="C438" t="s">
        <v>31</v>
      </c>
      <c r="D438" t="s">
        <v>68</v>
      </c>
      <c r="E438">
        <v>2</v>
      </c>
      <c r="G438">
        <f t="shared" si="12"/>
        <v>0</v>
      </c>
      <c r="H438" s="3">
        <v>1.26</v>
      </c>
      <c r="I438">
        <f t="shared" si="13"/>
        <v>0</v>
      </c>
      <c r="J438" s="1">
        <v>45517</v>
      </c>
      <c r="K438" t="s">
        <v>18</v>
      </c>
      <c r="L438" t="s">
        <v>16</v>
      </c>
      <c r="M438">
        <v>1445.93</v>
      </c>
    </row>
    <row r="439" spans="1:13" x14ac:dyDescent="0.25">
      <c r="A439">
        <v>1437</v>
      </c>
      <c r="B439" t="s">
        <v>485</v>
      </c>
      <c r="C439" t="s">
        <v>13</v>
      </c>
      <c r="D439" t="s">
        <v>34</v>
      </c>
      <c r="E439">
        <v>0</v>
      </c>
      <c r="F439">
        <v>3886.3</v>
      </c>
      <c r="G439">
        <f t="shared" si="12"/>
        <v>0</v>
      </c>
      <c r="H439" s="3">
        <v>0.34</v>
      </c>
      <c r="I439">
        <f t="shared" si="13"/>
        <v>0</v>
      </c>
      <c r="J439" s="1">
        <v>45703</v>
      </c>
      <c r="K439" t="s">
        <v>15</v>
      </c>
      <c r="L439" t="s">
        <v>16</v>
      </c>
      <c r="M439">
        <v>131.47999999999999</v>
      </c>
    </row>
    <row r="440" spans="1:13" x14ac:dyDescent="0.25">
      <c r="A440">
        <v>1438</v>
      </c>
      <c r="B440" t="s">
        <v>486</v>
      </c>
      <c r="C440" t="s">
        <v>36</v>
      </c>
      <c r="D440" t="s">
        <v>59</v>
      </c>
      <c r="E440">
        <v>2</v>
      </c>
      <c r="F440">
        <v>2663.97</v>
      </c>
      <c r="G440">
        <f t="shared" si="12"/>
        <v>5327.94</v>
      </c>
      <c r="H440" s="3">
        <v>0.84</v>
      </c>
      <c r="I440">
        <f t="shared" si="13"/>
        <v>852.47040000000015</v>
      </c>
      <c r="J440" s="1">
        <v>45186</v>
      </c>
      <c r="K440" t="s">
        <v>44</v>
      </c>
      <c r="L440" t="s">
        <v>16</v>
      </c>
      <c r="M440">
        <v>1014.29</v>
      </c>
    </row>
    <row r="441" spans="1:13" x14ac:dyDescent="0.25">
      <c r="A441">
        <v>1439</v>
      </c>
      <c r="B441" t="s">
        <v>487</v>
      </c>
      <c r="C441" t="s">
        <v>31</v>
      </c>
      <c r="D441" t="s">
        <v>78</v>
      </c>
      <c r="E441">
        <v>2</v>
      </c>
      <c r="G441">
        <f t="shared" si="12"/>
        <v>0</v>
      </c>
      <c r="I441">
        <f t="shared" si="13"/>
        <v>0</v>
      </c>
      <c r="K441" t="s">
        <v>18</v>
      </c>
      <c r="L441" t="s">
        <v>23</v>
      </c>
      <c r="M441">
        <v>726.42</v>
      </c>
    </row>
    <row r="442" spans="1:13" x14ac:dyDescent="0.25">
      <c r="A442">
        <v>1440</v>
      </c>
      <c r="B442" t="s">
        <v>488</v>
      </c>
      <c r="C442" t="s">
        <v>36</v>
      </c>
      <c r="D442" t="s">
        <v>87</v>
      </c>
      <c r="E442">
        <v>0</v>
      </c>
      <c r="F442">
        <v>635.12</v>
      </c>
      <c r="G442">
        <f t="shared" si="12"/>
        <v>0</v>
      </c>
      <c r="H442" s="3">
        <v>0.32</v>
      </c>
      <c r="I442">
        <f t="shared" si="13"/>
        <v>0</v>
      </c>
      <c r="J442" s="1">
        <v>45860</v>
      </c>
      <c r="K442" t="s">
        <v>2517</v>
      </c>
      <c r="L442" t="s">
        <v>16</v>
      </c>
      <c r="M442">
        <v>-476.72</v>
      </c>
    </row>
    <row r="443" spans="1:13" x14ac:dyDescent="0.25">
      <c r="A443">
        <v>1441</v>
      </c>
      <c r="B443" t="s">
        <v>489</v>
      </c>
      <c r="C443" t="s">
        <v>13</v>
      </c>
      <c r="D443" t="s">
        <v>14</v>
      </c>
      <c r="E443">
        <v>2</v>
      </c>
      <c r="G443">
        <f t="shared" si="12"/>
        <v>0</v>
      </c>
      <c r="I443">
        <f t="shared" si="13"/>
        <v>0</v>
      </c>
      <c r="K443" t="s">
        <v>38</v>
      </c>
      <c r="L443" t="s">
        <v>16</v>
      </c>
      <c r="M443">
        <v>-316.51</v>
      </c>
    </row>
    <row r="444" spans="1:13" x14ac:dyDescent="0.25">
      <c r="A444">
        <v>1442</v>
      </c>
      <c r="B444" t="s">
        <v>490</v>
      </c>
      <c r="C444" t="s">
        <v>25</v>
      </c>
      <c r="D444" t="s">
        <v>62</v>
      </c>
      <c r="E444">
        <v>0</v>
      </c>
      <c r="F444">
        <v>3001.28</v>
      </c>
      <c r="G444">
        <f t="shared" si="12"/>
        <v>0</v>
      </c>
      <c r="I444">
        <f t="shared" si="13"/>
        <v>0</v>
      </c>
      <c r="J444" s="1">
        <v>45479</v>
      </c>
      <c r="K444" t="s">
        <v>15</v>
      </c>
      <c r="L444" t="s">
        <v>16</v>
      </c>
      <c r="M444">
        <v>1218.28</v>
      </c>
    </row>
    <row r="445" spans="1:13" x14ac:dyDescent="0.25">
      <c r="A445">
        <v>1443</v>
      </c>
      <c r="B445" t="s">
        <v>491</v>
      </c>
      <c r="C445" t="s">
        <v>31</v>
      </c>
      <c r="D445" t="s">
        <v>32</v>
      </c>
      <c r="E445">
        <v>2</v>
      </c>
      <c r="G445">
        <f t="shared" si="12"/>
        <v>0</v>
      </c>
      <c r="I445">
        <f t="shared" si="13"/>
        <v>0</v>
      </c>
      <c r="J445" s="1">
        <v>45484</v>
      </c>
      <c r="K445" t="s">
        <v>38</v>
      </c>
      <c r="L445" t="s">
        <v>16</v>
      </c>
      <c r="M445">
        <v>2962.6</v>
      </c>
    </row>
    <row r="446" spans="1:13" x14ac:dyDescent="0.25">
      <c r="A446">
        <v>1444</v>
      </c>
      <c r="B446" t="s">
        <v>492</v>
      </c>
      <c r="C446" t="s">
        <v>28</v>
      </c>
      <c r="D446" t="s">
        <v>116</v>
      </c>
      <c r="E446">
        <v>3</v>
      </c>
      <c r="F446">
        <v>3452.16</v>
      </c>
      <c r="G446">
        <f t="shared" si="12"/>
        <v>10356.48</v>
      </c>
      <c r="I446">
        <f t="shared" si="13"/>
        <v>10356.48</v>
      </c>
      <c r="K446" t="s">
        <v>22</v>
      </c>
      <c r="L446" t="s">
        <v>16</v>
      </c>
      <c r="M446">
        <v>810.8</v>
      </c>
    </row>
    <row r="447" spans="1:13" x14ac:dyDescent="0.25">
      <c r="A447">
        <v>1445</v>
      </c>
      <c r="B447" t="s">
        <v>493</v>
      </c>
      <c r="C447" t="s">
        <v>20</v>
      </c>
      <c r="D447" t="s">
        <v>76</v>
      </c>
      <c r="E447">
        <v>2</v>
      </c>
      <c r="F447">
        <v>1370.36</v>
      </c>
      <c r="G447">
        <f t="shared" si="12"/>
        <v>2740.72</v>
      </c>
      <c r="H447" s="3">
        <v>0.54</v>
      </c>
      <c r="I447">
        <f t="shared" si="13"/>
        <v>1260.7311999999997</v>
      </c>
      <c r="J447" s="1">
        <v>45827</v>
      </c>
      <c r="K447" t="s">
        <v>22</v>
      </c>
      <c r="L447" t="s">
        <v>16</v>
      </c>
      <c r="M447">
        <v>2846.13</v>
      </c>
    </row>
    <row r="448" spans="1:13" x14ac:dyDescent="0.25">
      <c r="A448">
        <v>1446</v>
      </c>
      <c r="B448" t="s">
        <v>494</v>
      </c>
      <c r="C448" t="s">
        <v>25</v>
      </c>
      <c r="D448" t="s">
        <v>26</v>
      </c>
      <c r="E448">
        <v>2</v>
      </c>
      <c r="F448">
        <v>2827.68</v>
      </c>
      <c r="G448">
        <f t="shared" si="12"/>
        <v>5655.36</v>
      </c>
      <c r="H448" s="3">
        <v>0.86</v>
      </c>
      <c r="I448">
        <f t="shared" si="13"/>
        <v>791.75040000000001</v>
      </c>
      <c r="J448" s="1">
        <v>45519</v>
      </c>
      <c r="K448" t="s">
        <v>15</v>
      </c>
      <c r="L448" t="s">
        <v>16</v>
      </c>
      <c r="M448">
        <v>-602.57000000000005</v>
      </c>
    </row>
    <row r="449" spans="1:13" x14ac:dyDescent="0.25">
      <c r="A449">
        <v>1031</v>
      </c>
      <c r="B449" t="s">
        <v>495</v>
      </c>
      <c r="C449" t="s">
        <v>31</v>
      </c>
      <c r="D449" t="s">
        <v>68</v>
      </c>
      <c r="E449">
        <v>6</v>
      </c>
      <c r="F449">
        <v>3792.09</v>
      </c>
      <c r="G449">
        <f t="shared" si="12"/>
        <v>22752.54</v>
      </c>
      <c r="I449">
        <f t="shared" si="13"/>
        <v>22752.54</v>
      </c>
      <c r="J449" s="1">
        <v>45263</v>
      </c>
      <c r="K449" t="s">
        <v>38</v>
      </c>
      <c r="L449" t="s">
        <v>16</v>
      </c>
      <c r="M449">
        <v>194.31</v>
      </c>
    </row>
    <row r="450" spans="1:13" x14ac:dyDescent="0.25">
      <c r="A450">
        <v>1448</v>
      </c>
      <c r="B450" t="s">
        <v>496</v>
      </c>
      <c r="C450" t="s">
        <v>13</v>
      </c>
      <c r="D450" t="s">
        <v>14</v>
      </c>
      <c r="E450">
        <v>2</v>
      </c>
      <c r="F450">
        <v>1657.95</v>
      </c>
      <c r="G450">
        <f t="shared" si="12"/>
        <v>3315.9</v>
      </c>
      <c r="I450">
        <f t="shared" si="13"/>
        <v>3315.9</v>
      </c>
      <c r="J450" s="1">
        <v>45269</v>
      </c>
      <c r="K450" t="s">
        <v>44</v>
      </c>
      <c r="L450" t="s">
        <v>23</v>
      </c>
      <c r="M450">
        <v>1948.49</v>
      </c>
    </row>
    <row r="451" spans="1:13" x14ac:dyDescent="0.25">
      <c r="A451">
        <v>1449</v>
      </c>
      <c r="B451" t="s">
        <v>497</v>
      </c>
      <c r="C451" t="s">
        <v>13</v>
      </c>
      <c r="D451" t="s">
        <v>47</v>
      </c>
      <c r="E451">
        <v>2</v>
      </c>
      <c r="F451">
        <v>2855.53</v>
      </c>
      <c r="G451">
        <f t="shared" ref="G451:G514" si="14">F451*E451</f>
        <v>5711.06</v>
      </c>
      <c r="H451" s="3">
        <v>0.55000000000000004</v>
      </c>
      <c r="I451">
        <f t="shared" ref="I451:I514" si="15">G451*(1-H451)</f>
        <v>2569.9769999999999</v>
      </c>
      <c r="J451" s="1">
        <v>45707</v>
      </c>
      <c r="K451" t="s">
        <v>18</v>
      </c>
      <c r="L451" t="s">
        <v>16</v>
      </c>
      <c r="M451">
        <v>2598.7399999999998</v>
      </c>
    </row>
    <row r="452" spans="1:13" x14ac:dyDescent="0.25">
      <c r="A452">
        <v>1043</v>
      </c>
      <c r="B452" t="s">
        <v>498</v>
      </c>
      <c r="C452" t="s">
        <v>31</v>
      </c>
      <c r="D452" t="s">
        <v>78</v>
      </c>
      <c r="E452">
        <v>4</v>
      </c>
      <c r="G452">
        <f t="shared" si="14"/>
        <v>0</v>
      </c>
      <c r="I452">
        <f t="shared" si="15"/>
        <v>0</v>
      </c>
      <c r="J452" s="1">
        <v>45456</v>
      </c>
      <c r="K452" t="s">
        <v>15</v>
      </c>
      <c r="L452" t="s">
        <v>16</v>
      </c>
      <c r="M452">
        <v>-401.44</v>
      </c>
    </row>
    <row r="453" spans="1:13" x14ac:dyDescent="0.25">
      <c r="A453">
        <v>1451</v>
      </c>
      <c r="B453" t="s">
        <v>499</v>
      </c>
      <c r="C453" t="s">
        <v>25</v>
      </c>
      <c r="D453" t="s">
        <v>62</v>
      </c>
      <c r="E453">
        <v>2</v>
      </c>
      <c r="F453">
        <v>620.64</v>
      </c>
      <c r="G453">
        <f t="shared" si="14"/>
        <v>1241.28</v>
      </c>
      <c r="I453">
        <f t="shared" si="15"/>
        <v>1241.28</v>
      </c>
      <c r="J453" s="1">
        <v>45801</v>
      </c>
      <c r="K453" t="s">
        <v>2517</v>
      </c>
      <c r="L453" t="s">
        <v>16</v>
      </c>
      <c r="M453">
        <v>1553.39</v>
      </c>
    </row>
    <row r="454" spans="1:13" x14ac:dyDescent="0.25">
      <c r="A454">
        <v>1452</v>
      </c>
      <c r="B454" t="s">
        <v>500</v>
      </c>
      <c r="C454" t="s">
        <v>28</v>
      </c>
      <c r="D454" t="s">
        <v>40</v>
      </c>
      <c r="E454">
        <v>-2</v>
      </c>
      <c r="F454">
        <v>2660.28</v>
      </c>
      <c r="G454">
        <f t="shared" si="14"/>
        <v>-5320.56</v>
      </c>
      <c r="H454" s="3">
        <v>0.34</v>
      </c>
      <c r="I454">
        <f t="shared" si="15"/>
        <v>-3511.5695999999998</v>
      </c>
      <c r="K454" t="s">
        <v>15</v>
      </c>
      <c r="L454" t="s">
        <v>16</v>
      </c>
      <c r="M454">
        <v>918.54</v>
      </c>
    </row>
    <row r="455" spans="1:13" x14ac:dyDescent="0.25">
      <c r="A455">
        <v>1453</v>
      </c>
      <c r="B455" t="s">
        <v>501</v>
      </c>
      <c r="C455" t="s">
        <v>13</v>
      </c>
      <c r="D455" t="s">
        <v>47</v>
      </c>
      <c r="E455">
        <v>0</v>
      </c>
      <c r="G455">
        <f t="shared" si="14"/>
        <v>0</v>
      </c>
      <c r="H455" s="3">
        <v>0.18</v>
      </c>
      <c r="I455">
        <f t="shared" si="15"/>
        <v>0</v>
      </c>
      <c r="J455" s="1">
        <v>45633</v>
      </c>
      <c r="K455" t="s">
        <v>38</v>
      </c>
      <c r="L455" t="s">
        <v>23</v>
      </c>
      <c r="M455">
        <v>1465.97</v>
      </c>
    </row>
    <row r="456" spans="1:13" x14ac:dyDescent="0.25">
      <c r="A456">
        <v>1454</v>
      </c>
      <c r="B456" t="s">
        <v>502</v>
      </c>
      <c r="C456" t="s">
        <v>28</v>
      </c>
      <c r="D456" t="s">
        <v>40</v>
      </c>
      <c r="E456">
        <v>2</v>
      </c>
      <c r="F456">
        <v>4523.58</v>
      </c>
      <c r="G456">
        <f t="shared" si="14"/>
        <v>9047.16</v>
      </c>
      <c r="I456">
        <f t="shared" si="15"/>
        <v>9047.16</v>
      </c>
      <c r="J456" s="1">
        <v>45495</v>
      </c>
      <c r="K456" t="s">
        <v>44</v>
      </c>
      <c r="L456" t="s">
        <v>16</v>
      </c>
      <c r="M456">
        <v>2424.44</v>
      </c>
    </row>
    <row r="457" spans="1:13" x14ac:dyDescent="0.25">
      <c r="A457">
        <v>1455</v>
      </c>
      <c r="B457" t="s">
        <v>503</v>
      </c>
      <c r="C457" t="s">
        <v>31</v>
      </c>
      <c r="D457" t="s">
        <v>68</v>
      </c>
      <c r="E457">
        <v>2</v>
      </c>
      <c r="G457">
        <f t="shared" si="14"/>
        <v>0</v>
      </c>
      <c r="I457">
        <f t="shared" si="15"/>
        <v>0</v>
      </c>
      <c r="J457" s="1">
        <v>45629</v>
      </c>
      <c r="K457" t="s">
        <v>15</v>
      </c>
      <c r="L457" t="s">
        <v>16</v>
      </c>
      <c r="M457">
        <v>743.47</v>
      </c>
    </row>
    <row r="458" spans="1:13" x14ac:dyDescent="0.25">
      <c r="A458">
        <v>1456</v>
      </c>
      <c r="B458" t="s">
        <v>504</v>
      </c>
      <c r="C458" t="s">
        <v>31</v>
      </c>
      <c r="D458" t="s">
        <v>78</v>
      </c>
      <c r="E458">
        <v>2</v>
      </c>
      <c r="G458">
        <f t="shared" si="14"/>
        <v>0</v>
      </c>
      <c r="I458">
        <f t="shared" si="15"/>
        <v>0</v>
      </c>
      <c r="J458" s="1">
        <v>45702</v>
      </c>
      <c r="K458" t="s">
        <v>38</v>
      </c>
      <c r="L458" t="s">
        <v>16</v>
      </c>
      <c r="M458">
        <v>1350.12</v>
      </c>
    </row>
    <row r="459" spans="1:13" x14ac:dyDescent="0.25">
      <c r="A459">
        <v>1457</v>
      </c>
      <c r="B459" t="s">
        <v>505</v>
      </c>
      <c r="C459" t="s">
        <v>28</v>
      </c>
      <c r="D459" t="s">
        <v>116</v>
      </c>
      <c r="E459">
        <v>0</v>
      </c>
      <c r="F459">
        <v>2342.25</v>
      </c>
      <c r="G459">
        <f t="shared" si="14"/>
        <v>0</v>
      </c>
      <c r="I459">
        <f t="shared" si="15"/>
        <v>0</v>
      </c>
      <c r="K459" t="s">
        <v>38</v>
      </c>
      <c r="L459" t="s">
        <v>23</v>
      </c>
      <c r="M459">
        <v>750.64</v>
      </c>
    </row>
    <row r="460" spans="1:13" x14ac:dyDescent="0.25">
      <c r="A460">
        <v>1458</v>
      </c>
      <c r="B460" t="s">
        <v>506</v>
      </c>
      <c r="C460" t="s">
        <v>20</v>
      </c>
      <c r="D460" t="s">
        <v>21</v>
      </c>
      <c r="E460">
        <v>6</v>
      </c>
      <c r="G460">
        <f t="shared" si="14"/>
        <v>0</v>
      </c>
      <c r="H460" s="3">
        <v>0.27</v>
      </c>
      <c r="I460">
        <f t="shared" si="15"/>
        <v>0</v>
      </c>
      <c r="K460" t="s">
        <v>22</v>
      </c>
      <c r="L460" t="s">
        <v>16</v>
      </c>
      <c r="M460">
        <v>1877.22</v>
      </c>
    </row>
    <row r="461" spans="1:13" x14ac:dyDescent="0.25">
      <c r="A461">
        <v>1459</v>
      </c>
      <c r="B461" t="s">
        <v>507</v>
      </c>
      <c r="C461" t="s">
        <v>28</v>
      </c>
      <c r="D461" t="s">
        <v>40</v>
      </c>
      <c r="E461">
        <v>2</v>
      </c>
      <c r="F461">
        <v>2494.9899999999998</v>
      </c>
      <c r="G461">
        <f t="shared" si="14"/>
        <v>4989.9799999999996</v>
      </c>
      <c r="H461" s="3">
        <v>0.98</v>
      </c>
      <c r="I461">
        <f t="shared" si="15"/>
        <v>99.799600000000083</v>
      </c>
      <c r="J461" s="1">
        <v>45308</v>
      </c>
      <c r="K461" t="s">
        <v>44</v>
      </c>
      <c r="L461" t="s">
        <v>16</v>
      </c>
      <c r="M461">
        <v>2959.95</v>
      </c>
    </row>
    <row r="462" spans="1:13" x14ac:dyDescent="0.25">
      <c r="A462">
        <v>1460</v>
      </c>
      <c r="B462" t="s">
        <v>508</v>
      </c>
      <c r="C462" t="s">
        <v>20</v>
      </c>
      <c r="D462" t="s">
        <v>118</v>
      </c>
      <c r="E462">
        <v>2</v>
      </c>
      <c r="F462">
        <v>4264.16</v>
      </c>
      <c r="G462">
        <f t="shared" si="14"/>
        <v>8528.32</v>
      </c>
      <c r="I462">
        <f t="shared" si="15"/>
        <v>8528.32</v>
      </c>
      <c r="J462" s="1">
        <v>45577</v>
      </c>
      <c r="K462" t="s">
        <v>15</v>
      </c>
      <c r="L462" t="s">
        <v>23</v>
      </c>
      <c r="M462">
        <v>921.96</v>
      </c>
    </row>
    <row r="463" spans="1:13" x14ac:dyDescent="0.25">
      <c r="A463">
        <v>1461</v>
      </c>
      <c r="B463" t="s">
        <v>509</v>
      </c>
      <c r="C463" t="s">
        <v>36</v>
      </c>
      <c r="D463" t="s">
        <v>37</v>
      </c>
      <c r="E463">
        <v>2</v>
      </c>
      <c r="F463">
        <v>2708.35</v>
      </c>
      <c r="G463">
        <f t="shared" si="14"/>
        <v>5416.7</v>
      </c>
      <c r="H463" s="3">
        <v>1.06</v>
      </c>
      <c r="I463">
        <f t="shared" si="15"/>
        <v>-325.00200000000029</v>
      </c>
      <c r="K463" t="s">
        <v>2517</v>
      </c>
      <c r="L463" t="s">
        <v>16</v>
      </c>
      <c r="M463">
        <v>941.87</v>
      </c>
    </row>
    <row r="464" spans="1:13" x14ac:dyDescent="0.25">
      <c r="A464">
        <v>1462</v>
      </c>
      <c r="B464" t="s">
        <v>510</v>
      </c>
      <c r="C464" t="s">
        <v>20</v>
      </c>
      <c r="D464" t="s">
        <v>21</v>
      </c>
      <c r="E464">
        <v>-1</v>
      </c>
      <c r="G464">
        <f t="shared" si="14"/>
        <v>0</v>
      </c>
      <c r="I464">
        <f t="shared" si="15"/>
        <v>0</v>
      </c>
      <c r="J464" s="1">
        <v>45725</v>
      </c>
      <c r="K464" t="s">
        <v>15</v>
      </c>
      <c r="L464" t="s">
        <v>16</v>
      </c>
      <c r="M464">
        <v>372.63</v>
      </c>
    </row>
    <row r="465" spans="1:13" x14ac:dyDescent="0.25">
      <c r="A465">
        <v>1463</v>
      </c>
      <c r="B465" t="s">
        <v>511</v>
      </c>
      <c r="C465" t="s">
        <v>36</v>
      </c>
      <c r="D465" t="s">
        <v>59</v>
      </c>
      <c r="E465">
        <v>1</v>
      </c>
      <c r="F465">
        <v>4606.09</v>
      </c>
      <c r="G465">
        <f t="shared" si="14"/>
        <v>4606.09</v>
      </c>
      <c r="H465" s="3">
        <v>1.1200000000000001</v>
      </c>
      <c r="I465">
        <f t="shared" si="15"/>
        <v>-552.7308000000005</v>
      </c>
      <c r="J465" s="1">
        <v>45825</v>
      </c>
      <c r="K465" t="s">
        <v>15</v>
      </c>
      <c r="L465" t="s">
        <v>23</v>
      </c>
      <c r="M465">
        <v>-877.13</v>
      </c>
    </row>
    <row r="466" spans="1:13" x14ac:dyDescent="0.25">
      <c r="A466">
        <v>1464</v>
      </c>
      <c r="B466" t="s">
        <v>512</v>
      </c>
      <c r="C466" t="s">
        <v>36</v>
      </c>
      <c r="D466" t="s">
        <v>59</v>
      </c>
      <c r="E466">
        <v>2</v>
      </c>
      <c r="G466">
        <f t="shared" si="14"/>
        <v>0</v>
      </c>
      <c r="I466">
        <f t="shared" si="15"/>
        <v>0</v>
      </c>
      <c r="J466" s="1">
        <v>45783</v>
      </c>
      <c r="K466" t="s">
        <v>38</v>
      </c>
      <c r="L466" t="s">
        <v>16</v>
      </c>
      <c r="M466">
        <v>837.3</v>
      </c>
    </row>
    <row r="467" spans="1:13" x14ac:dyDescent="0.25">
      <c r="A467">
        <v>1465</v>
      </c>
      <c r="B467" t="s">
        <v>513</v>
      </c>
      <c r="C467" t="s">
        <v>28</v>
      </c>
      <c r="D467" t="s">
        <v>29</v>
      </c>
      <c r="E467">
        <v>-2</v>
      </c>
      <c r="F467">
        <v>2215.4</v>
      </c>
      <c r="G467">
        <f t="shared" si="14"/>
        <v>-4430.8</v>
      </c>
      <c r="H467" s="3">
        <v>0.96</v>
      </c>
      <c r="I467">
        <f t="shared" si="15"/>
        <v>-177.23200000000017</v>
      </c>
      <c r="J467" s="1">
        <v>45708</v>
      </c>
      <c r="K467" t="s">
        <v>2517</v>
      </c>
      <c r="L467" t="s">
        <v>16</v>
      </c>
      <c r="M467">
        <v>-85.73</v>
      </c>
    </row>
    <row r="468" spans="1:13" x14ac:dyDescent="0.25">
      <c r="A468">
        <v>1014</v>
      </c>
      <c r="B468" t="s">
        <v>514</v>
      </c>
      <c r="C468" t="s">
        <v>36</v>
      </c>
      <c r="D468" t="s">
        <v>59</v>
      </c>
      <c r="E468">
        <v>2</v>
      </c>
      <c r="F468">
        <v>3172.11</v>
      </c>
      <c r="G468">
        <f t="shared" si="14"/>
        <v>6344.22</v>
      </c>
      <c r="I468">
        <f t="shared" si="15"/>
        <v>6344.22</v>
      </c>
      <c r="J468" s="1">
        <v>45176</v>
      </c>
      <c r="K468" t="s">
        <v>22</v>
      </c>
      <c r="L468" t="s">
        <v>16</v>
      </c>
      <c r="M468">
        <v>673.33</v>
      </c>
    </row>
    <row r="469" spans="1:13" x14ac:dyDescent="0.25">
      <c r="A469">
        <v>1030</v>
      </c>
      <c r="B469" t="s">
        <v>515</v>
      </c>
      <c r="C469" t="s">
        <v>25</v>
      </c>
      <c r="D469" t="s">
        <v>51</v>
      </c>
      <c r="E469">
        <v>2</v>
      </c>
      <c r="F469">
        <v>3389.44</v>
      </c>
      <c r="G469">
        <f t="shared" si="14"/>
        <v>6778.88</v>
      </c>
      <c r="H469" s="3">
        <v>0.09</v>
      </c>
      <c r="I469">
        <f t="shared" si="15"/>
        <v>6168.7808000000005</v>
      </c>
      <c r="J469" s="1">
        <v>45628</v>
      </c>
      <c r="K469" t="s">
        <v>15</v>
      </c>
      <c r="L469" t="s">
        <v>23</v>
      </c>
      <c r="M469">
        <v>1663.45</v>
      </c>
    </row>
    <row r="470" spans="1:13" x14ac:dyDescent="0.25">
      <c r="A470">
        <v>1468</v>
      </c>
      <c r="B470" t="s">
        <v>516</v>
      </c>
      <c r="C470" t="s">
        <v>31</v>
      </c>
      <c r="D470" t="s">
        <v>78</v>
      </c>
      <c r="E470">
        <v>2</v>
      </c>
      <c r="F470">
        <v>3332.84</v>
      </c>
      <c r="G470">
        <f t="shared" si="14"/>
        <v>6665.68</v>
      </c>
      <c r="H470" s="3">
        <v>0.27</v>
      </c>
      <c r="I470">
        <f t="shared" si="15"/>
        <v>4865.9463999999998</v>
      </c>
      <c r="J470" s="1">
        <v>45153</v>
      </c>
      <c r="K470" t="s">
        <v>18</v>
      </c>
      <c r="L470" t="s">
        <v>16</v>
      </c>
      <c r="M470">
        <v>733.66</v>
      </c>
    </row>
    <row r="471" spans="1:13" x14ac:dyDescent="0.25">
      <c r="A471">
        <v>1469</v>
      </c>
      <c r="B471" t="s">
        <v>517</v>
      </c>
      <c r="C471" t="s">
        <v>36</v>
      </c>
      <c r="D471" t="s">
        <v>59</v>
      </c>
      <c r="E471">
        <v>2</v>
      </c>
      <c r="F471">
        <v>2665.7</v>
      </c>
      <c r="G471">
        <f t="shared" si="14"/>
        <v>5331.4</v>
      </c>
      <c r="H471" s="3">
        <v>0.49</v>
      </c>
      <c r="I471">
        <f t="shared" si="15"/>
        <v>2719.0139999999997</v>
      </c>
      <c r="J471" s="1">
        <v>45682</v>
      </c>
      <c r="K471" t="s">
        <v>38</v>
      </c>
      <c r="L471" t="s">
        <v>23</v>
      </c>
      <c r="M471">
        <v>1644.72</v>
      </c>
    </row>
    <row r="472" spans="1:13" x14ac:dyDescent="0.25">
      <c r="A472">
        <v>1470</v>
      </c>
      <c r="B472" t="s">
        <v>518</v>
      </c>
      <c r="C472" t="s">
        <v>31</v>
      </c>
      <c r="D472" t="s">
        <v>42</v>
      </c>
      <c r="E472">
        <v>-1</v>
      </c>
      <c r="F472">
        <v>1376.54</v>
      </c>
      <c r="G472">
        <f t="shared" si="14"/>
        <v>-1376.54</v>
      </c>
      <c r="I472">
        <f t="shared" si="15"/>
        <v>-1376.54</v>
      </c>
      <c r="K472" t="s">
        <v>2517</v>
      </c>
      <c r="L472" t="s">
        <v>16</v>
      </c>
      <c r="M472">
        <v>0.59</v>
      </c>
    </row>
    <row r="473" spans="1:13" x14ac:dyDescent="0.25">
      <c r="A473">
        <v>1471</v>
      </c>
      <c r="B473" t="s">
        <v>519</v>
      </c>
      <c r="C473" t="s">
        <v>28</v>
      </c>
      <c r="D473" t="s">
        <v>29</v>
      </c>
      <c r="E473">
        <v>-2</v>
      </c>
      <c r="F473">
        <v>4882.03</v>
      </c>
      <c r="G473">
        <f t="shared" si="14"/>
        <v>-9764.06</v>
      </c>
      <c r="H473" s="3">
        <v>0.23</v>
      </c>
      <c r="I473">
        <f t="shared" si="15"/>
        <v>-7518.3261999999995</v>
      </c>
      <c r="J473" s="1">
        <v>45159</v>
      </c>
      <c r="K473" t="s">
        <v>2517</v>
      </c>
      <c r="L473" t="s">
        <v>16</v>
      </c>
      <c r="M473">
        <v>-605.66999999999996</v>
      </c>
    </row>
    <row r="474" spans="1:13" x14ac:dyDescent="0.25">
      <c r="A474">
        <v>1472</v>
      </c>
      <c r="B474" t="s">
        <v>520</v>
      </c>
      <c r="C474" t="s">
        <v>28</v>
      </c>
      <c r="D474" t="s">
        <v>29</v>
      </c>
      <c r="E474">
        <v>2</v>
      </c>
      <c r="G474">
        <f t="shared" si="14"/>
        <v>0</v>
      </c>
      <c r="H474" s="3">
        <v>1.01</v>
      </c>
      <c r="I474">
        <f t="shared" si="15"/>
        <v>0</v>
      </c>
      <c r="J474" s="1">
        <v>45591</v>
      </c>
      <c r="K474" t="s">
        <v>22</v>
      </c>
      <c r="L474" t="s">
        <v>16</v>
      </c>
      <c r="M474">
        <v>-69.28</v>
      </c>
    </row>
    <row r="475" spans="1:13" x14ac:dyDescent="0.25">
      <c r="A475">
        <v>1473</v>
      </c>
      <c r="B475" t="s">
        <v>521</v>
      </c>
      <c r="C475" t="s">
        <v>31</v>
      </c>
      <c r="D475" t="s">
        <v>78</v>
      </c>
      <c r="E475">
        <v>2</v>
      </c>
      <c r="G475">
        <f t="shared" si="14"/>
        <v>0</v>
      </c>
      <c r="H475" s="3">
        <v>0.08</v>
      </c>
      <c r="I475">
        <f t="shared" si="15"/>
        <v>0</v>
      </c>
      <c r="K475" t="s">
        <v>38</v>
      </c>
      <c r="L475" t="s">
        <v>16</v>
      </c>
      <c r="M475">
        <v>1769.11</v>
      </c>
    </row>
    <row r="476" spans="1:13" x14ac:dyDescent="0.25">
      <c r="A476">
        <v>1474</v>
      </c>
      <c r="B476" t="s">
        <v>522</v>
      </c>
      <c r="C476" t="s">
        <v>20</v>
      </c>
      <c r="D476" t="s">
        <v>84</v>
      </c>
      <c r="E476">
        <v>4</v>
      </c>
      <c r="G476">
        <f t="shared" si="14"/>
        <v>0</v>
      </c>
      <c r="I476">
        <f t="shared" si="15"/>
        <v>0</v>
      </c>
      <c r="J476" s="1">
        <v>45681</v>
      </c>
      <c r="K476" t="s">
        <v>38</v>
      </c>
      <c r="L476" t="s">
        <v>16</v>
      </c>
      <c r="M476">
        <v>1791.38</v>
      </c>
    </row>
    <row r="477" spans="1:13" x14ac:dyDescent="0.25">
      <c r="A477">
        <v>1475</v>
      </c>
      <c r="B477" t="s">
        <v>523</v>
      </c>
      <c r="C477" t="s">
        <v>31</v>
      </c>
      <c r="D477" t="s">
        <v>42</v>
      </c>
      <c r="E477">
        <v>-2</v>
      </c>
      <c r="F477">
        <v>3692.25</v>
      </c>
      <c r="G477">
        <f t="shared" si="14"/>
        <v>-7384.5</v>
      </c>
      <c r="I477">
        <f t="shared" si="15"/>
        <v>-7384.5</v>
      </c>
      <c r="J477" s="1">
        <v>45607</v>
      </c>
      <c r="K477" t="s">
        <v>22</v>
      </c>
      <c r="L477" t="s">
        <v>16</v>
      </c>
      <c r="M477">
        <v>433.87</v>
      </c>
    </row>
    <row r="478" spans="1:13" x14ac:dyDescent="0.25">
      <c r="A478">
        <v>1476</v>
      </c>
      <c r="B478" t="s">
        <v>524</v>
      </c>
      <c r="C478" t="s">
        <v>13</v>
      </c>
      <c r="D478" t="s">
        <v>98</v>
      </c>
      <c r="E478">
        <v>5</v>
      </c>
      <c r="G478">
        <f t="shared" si="14"/>
        <v>0</v>
      </c>
      <c r="H478" s="3">
        <v>0.56999999999999995</v>
      </c>
      <c r="I478">
        <f t="shared" si="15"/>
        <v>0</v>
      </c>
      <c r="J478" s="1">
        <v>45859</v>
      </c>
      <c r="K478" t="s">
        <v>38</v>
      </c>
      <c r="L478" t="s">
        <v>16</v>
      </c>
      <c r="M478">
        <v>1476.41</v>
      </c>
    </row>
    <row r="479" spans="1:13" x14ac:dyDescent="0.25">
      <c r="A479">
        <v>1477</v>
      </c>
      <c r="B479" t="s">
        <v>525</v>
      </c>
      <c r="C479" t="s">
        <v>36</v>
      </c>
      <c r="D479" t="s">
        <v>87</v>
      </c>
      <c r="E479">
        <v>2</v>
      </c>
      <c r="F479">
        <v>2277.1999999999998</v>
      </c>
      <c r="G479">
        <f t="shared" si="14"/>
        <v>4554.3999999999996</v>
      </c>
      <c r="I479">
        <f t="shared" si="15"/>
        <v>4554.3999999999996</v>
      </c>
      <c r="J479" s="1">
        <v>45749</v>
      </c>
      <c r="K479" t="s">
        <v>2517</v>
      </c>
      <c r="L479" t="s">
        <v>16</v>
      </c>
      <c r="M479">
        <v>1295.82</v>
      </c>
    </row>
    <row r="480" spans="1:13" x14ac:dyDescent="0.25">
      <c r="A480">
        <v>1478</v>
      </c>
      <c r="B480" t="s">
        <v>526</v>
      </c>
      <c r="C480" t="s">
        <v>20</v>
      </c>
      <c r="D480" t="s">
        <v>84</v>
      </c>
      <c r="E480">
        <v>2</v>
      </c>
      <c r="F480">
        <v>2277.41</v>
      </c>
      <c r="G480">
        <f t="shared" si="14"/>
        <v>4554.82</v>
      </c>
      <c r="I480">
        <f t="shared" si="15"/>
        <v>4554.82</v>
      </c>
      <c r="J480" s="1">
        <v>45491</v>
      </c>
      <c r="K480" t="s">
        <v>18</v>
      </c>
      <c r="L480" t="s">
        <v>16</v>
      </c>
      <c r="M480">
        <v>-584.69000000000005</v>
      </c>
    </row>
    <row r="481" spans="1:13" x14ac:dyDescent="0.25">
      <c r="A481">
        <v>1479</v>
      </c>
      <c r="B481" t="s">
        <v>527</v>
      </c>
      <c r="C481" t="s">
        <v>36</v>
      </c>
      <c r="D481" t="s">
        <v>55</v>
      </c>
      <c r="E481">
        <v>1</v>
      </c>
      <c r="G481">
        <f t="shared" si="14"/>
        <v>0</v>
      </c>
      <c r="I481">
        <f t="shared" si="15"/>
        <v>0</v>
      </c>
      <c r="K481" t="s">
        <v>18</v>
      </c>
      <c r="L481" t="s">
        <v>16</v>
      </c>
      <c r="M481">
        <v>-575.87</v>
      </c>
    </row>
    <row r="482" spans="1:13" x14ac:dyDescent="0.25">
      <c r="A482">
        <v>1480</v>
      </c>
      <c r="B482" t="s">
        <v>528</v>
      </c>
      <c r="C482" t="s">
        <v>20</v>
      </c>
      <c r="D482" t="s">
        <v>84</v>
      </c>
      <c r="E482">
        <v>2</v>
      </c>
      <c r="F482">
        <v>755.42</v>
      </c>
      <c r="G482">
        <f t="shared" si="14"/>
        <v>1510.84</v>
      </c>
      <c r="I482">
        <f t="shared" si="15"/>
        <v>1510.84</v>
      </c>
      <c r="J482" s="1">
        <v>45420</v>
      </c>
      <c r="K482" t="s">
        <v>44</v>
      </c>
      <c r="L482" t="s">
        <v>16</v>
      </c>
      <c r="M482">
        <v>2956.26</v>
      </c>
    </row>
    <row r="483" spans="1:13" x14ac:dyDescent="0.25">
      <c r="A483">
        <v>1481</v>
      </c>
      <c r="B483" t="s">
        <v>529</v>
      </c>
      <c r="C483" t="s">
        <v>28</v>
      </c>
      <c r="D483" t="s">
        <v>116</v>
      </c>
      <c r="E483">
        <v>2</v>
      </c>
      <c r="G483">
        <f t="shared" si="14"/>
        <v>0</v>
      </c>
      <c r="H483" s="3">
        <v>0.97</v>
      </c>
      <c r="I483">
        <f t="shared" si="15"/>
        <v>0</v>
      </c>
      <c r="K483" t="s">
        <v>15</v>
      </c>
      <c r="L483" t="s">
        <v>16</v>
      </c>
      <c r="M483">
        <v>375</v>
      </c>
    </row>
    <row r="484" spans="1:13" x14ac:dyDescent="0.25">
      <c r="A484">
        <v>1482</v>
      </c>
      <c r="B484" t="s">
        <v>530</v>
      </c>
      <c r="C484" t="s">
        <v>25</v>
      </c>
      <c r="D484" t="s">
        <v>62</v>
      </c>
      <c r="E484">
        <v>2</v>
      </c>
      <c r="F484">
        <v>1269.51</v>
      </c>
      <c r="G484">
        <f t="shared" si="14"/>
        <v>2539.02</v>
      </c>
      <c r="I484">
        <f t="shared" si="15"/>
        <v>2539.02</v>
      </c>
      <c r="J484" s="1">
        <v>45742</v>
      </c>
      <c r="K484" t="s">
        <v>18</v>
      </c>
      <c r="L484" t="s">
        <v>16</v>
      </c>
      <c r="M484">
        <v>480.43</v>
      </c>
    </row>
    <row r="485" spans="1:13" x14ac:dyDescent="0.25">
      <c r="A485">
        <v>1483</v>
      </c>
      <c r="B485" t="s">
        <v>531</v>
      </c>
      <c r="C485" t="s">
        <v>31</v>
      </c>
      <c r="D485" t="s">
        <v>42</v>
      </c>
      <c r="E485">
        <v>2</v>
      </c>
      <c r="F485">
        <v>2347.19</v>
      </c>
      <c r="G485">
        <f t="shared" si="14"/>
        <v>4694.38</v>
      </c>
      <c r="I485">
        <f t="shared" si="15"/>
        <v>4694.38</v>
      </c>
      <c r="J485" s="1">
        <v>45577</v>
      </c>
      <c r="K485" t="s">
        <v>38</v>
      </c>
      <c r="L485" t="s">
        <v>16</v>
      </c>
      <c r="M485">
        <v>2870.3</v>
      </c>
    </row>
    <row r="486" spans="1:13" x14ac:dyDescent="0.25">
      <c r="A486">
        <v>1484</v>
      </c>
      <c r="B486" t="s">
        <v>532</v>
      </c>
      <c r="C486" t="s">
        <v>20</v>
      </c>
      <c r="D486" t="s">
        <v>76</v>
      </c>
      <c r="E486">
        <v>2</v>
      </c>
      <c r="F486">
        <v>818.68</v>
      </c>
      <c r="G486">
        <f t="shared" si="14"/>
        <v>1637.36</v>
      </c>
      <c r="I486">
        <f t="shared" si="15"/>
        <v>1637.36</v>
      </c>
      <c r="J486" s="1">
        <v>45289</v>
      </c>
      <c r="K486" t="s">
        <v>22</v>
      </c>
      <c r="L486" t="s">
        <v>16</v>
      </c>
      <c r="M486">
        <v>2357.7399999999998</v>
      </c>
    </row>
    <row r="487" spans="1:13" x14ac:dyDescent="0.25">
      <c r="A487">
        <v>1485</v>
      </c>
      <c r="B487" t="s">
        <v>533</v>
      </c>
      <c r="C487" t="s">
        <v>25</v>
      </c>
      <c r="D487" t="s">
        <v>51</v>
      </c>
      <c r="E487">
        <v>2</v>
      </c>
      <c r="G487">
        <f t="shared" si="14"/>
        <v>0</v>
      </c>
      <c r="I487">
        <f t="shared" si="15"/>
        <v>0</v>
      </c>
      <c r="J487" s="1">
        <v>45510</v>
      </c>
      <c r="K487" t="s">
        <v>2517</v>
      </c>
      <c r="L487" t="s">
        <v>23</v>
      </c>
      <c r="M487">
        <v>672.88</v>
      </c>
    </row>
    <row r="488" spans="1:13" x14ac:dyDescent="0.25">
      <c r="A488">
        <v>1486</v>
      </c>
      <c r="B488" t="s">
        <v>534</v>
      </c>
      <c r="C488" t="s">
        <v>13</v>
      </c>
      <c r="D488" t="s">
        <v>98</v>
      </c>
      <c r="E488">
        <v>6</v>
      </c>
      <c r="G488">
        <f t="shared" si="14"/>
        <v>0</v>
      </c>
      <c r="I488">
        <f t="shared" si="15"/>
        <v>0</v>
      </c>
      <c r="K488" t="s">
        <v>22</v>
      </c>
      <c r="L488" t="s">
        <v>23</v>
      </c>
      <c r="M488">
        <v>2745.83</v>
      </c>
    </row>
    <row r="489" spans="1:13" x14ac:dyDescent="0.25">
      <c r="A489">
        <v>1487</v>
      </c>
      <c r="B489" t="s">
        <v>535</v>
      </c>
      <c r="C489" t="s">
        <v>28</v>
      </c>
      <c r="D489" t="s">
        <v>40</v>
      </c>
      <c r="E489">
        <v>6</v>
      </c>
      <c r="F489">
        <v>1234.08</v>
      </c>
      <c r="G489">
        <f t="shared" si="14"/>
        <v>7404.48</v>
      </c>
      <c r="H489" s="3">
        <v>0.71</v>
      </c>
      <c r="I489">
        <f t="shared" si="15"/>
        <v>2147.2991999999999</v>
      </c>
      <c r="J489" s="1">
        <v>45366</v>
      </c>
      <c r="K489" t="s">
        <v>15</v>
      </c>
      <c r="L489" t="s">
        <v>16</v>
      </c>
      <c r="M489">
        <v>-849.81</v>
      </c>
    </row>
    <row r="490" spans="1:13" x14ac:dyDescent="0.25">
      <c r="A490">
        <v>1488</v>
      </c>
      <c r="B490" t="s">
        <v>536</v>
      </c>
      <c r="C490" t="s">
        <v>28</v>
      </c>
      <c r="D490" t="s">
        <v>137</v>
      </c>
      <c r="E490">
        <v>2</v>
      </c>
      <c r="F490">
        <v>4925.93</v>
      </c>
      <c r="G490">
        <f t="shared" si="14"/>
        <v>9851.86</v>
      </c>
      <c r="I490">
        <f t="shared" si="15"/>
        <v>9851.86</v>
      </c>
      <c r="J490" s="1">
        <v>45774</v>
      </c>
      <c r="K490" t="s">
        <v>38</v>
      </c>
      <c r="L490" t="s">
        <v>16</v>
      </c>
      <c r="M490">
        <v>2121.1999999999998</v>
      </c>
    </row>
    <row r="491" spans="1:13" x14ac:dyDescent="0.25">
      <c r="A491">
        <v>1489</v>
      </c>
      <c r="B491" t="s">
        <v>537</v>
      </c>
      <c r="C491" t="s">
        <v>25</v>
      </c>
      <c r="D491" t="s">
        <v>51</v>
      </c>
      <c r="E491">
        <v>-2</v>
      </c>
      <c r="G491">
        <f t="shared" si="14"/>
        <v>0</v>
      </c>
      <c r="I491">
        <f t="shared" si="15"/>
        <v>0</v>
      </c>
      <c r="J491" s="1">
        <v>45785</v>
      </c>
      <c r="K491" t="s">
        <v>44</v>
      </c>
      <c r="L491" t="s">
        <v>23</v>
      </c>
      <c r="M491">
        <v>2102.1999999999998</v>
      </c>
    </row>
    <row r="492" spans="1:13" x14ac:dyDescent="0.25">
      <c r="A492">
        <v>1490</v>
      </c>
      <c r="B492" t="s">
        <v>538</v>
      </c>
      <c r="C492" t="s">
        <v>31</v>
      </c>
      <c r="D492" t="s">
        <v>68</v>
      </c>
      <c r="E492">
        <v>1</v>
      </c>
      <c r="G492">
        <f t="shared" si="14"/>
        <v>0</v>
      </c>
      <c r="I492">
        <f t="shared" si="15"/>
        <v>0</v>
      </c>
      <c r="J492" s="1">
        <v>45547</v>
      </c>
      <c r="K492" t="s">
        <v>15</v>
      </c>
      <c r="L492" t="s">
        <v>16</v>
      </c>
      <c r="M492">
        <v>230.97</v>
      </c>
    </row>
    <row r="493" spans="1:13" x14ac:dyDescent="0.25">
      <c r="A493">
        <v>1491</v>
      </c>
      <c r="B493" t="s">
        <v>539</v>
      </c>
      <c r="C493" t="s">
        <v>25</v>
      </c>
      <c r="D493" t="s">
        <v>51</v>
      </c>
      <c r="E493">
        <v>1</v>
      </c>
      <c r="G493">
        <f t="shared" si="14"/>
        <v>0</v>
      </c>
      <c r="H493" s="3">
        <v>0.28999999999999998</v>
      </c>
      <c r="I493">
        <f t="shared" si="15"/>
        <v>0</v>
      </c>
      <c r="K493" t="s">
        <v>38</v>
      </c>
      <c r="L493" t="s">
        <v>23</v>
      </c>
      <c r="M493">
        <v>2039.1</v>
      </c>
    </row>
    <row r="494" spans="1:13" x14ac:dyDescent="0.25">
      <c r="A494">
        <v>1492</v>
      </c>
      <c r="B494" t="s">
        <v>540</v>
      </c>
      <c r="C494" t="s">
        <v>31</v>
      </c>
      <c r="D494" t="s">
        <v>68</v>
      </c>
      <c r="E494">
        <v>2</v>
      </c>
      <c r="G494">
        <f t="shared" si="14"/>
        <v>0</v>
      </c>
      <c r="H494" s="3">
        <v>1.07</v>
      </c>
      <c r="I494">
        <f t="shared" si="15"/>
        <v>0</v>
      </c>
      <c r="K494" t="s">
        <v>2517</v>
      </c>
      <c r="L494" t="s">
        <v>23</v>
      </c>
      <c r="M494">
        <v>-308.83</v>
      </c>
    </row>
    <row r="495" spans="1:13" x14ac:dyDescent="0.25">
      <c r="A495">
        <v>1493</v>
      </c>
      <c r="B495" t="s">
        <v>541</v>
      </c>
      <c r="C495" t="s">
        <v>36</v>
      </c>
      <c r="D495" t="s">
        <v>59</v>
      </c>
      <c r="E495">
        <v>2</v>
      </c>
      <c r="G495">
        <f t="shared" si="14"/>
        <v>0</v>
      </c>
      <c r="H495" s="3">
        <v>0.03</v>
      </c>
      <c r="I495">
        <f t="shared" si="15"/>
        <v>0</v>
      </c>
      <c r="K495" t="s">
        <v>2517</v>
      </c>
      <c r="L495" t="s">
        <v>16</v>
      </c>
      <c r="M495">
        <v>478.28</v>
      </c>
    </row>
    <row r="496" spans="1:13" x14ac:dyDescent="0.25">
      <c r="A496">
        <v>1494</v>
      </c>
      <c r="B496" t="s">
        <v>542</v>
      </c>
      <c r="C496" t="s">
        <v>13</v>
      </c>
      <c r="D496" t="s">
        <v>47</v>
      </c>
      <c r="E496">
        <v>2</v>
      </c>
      <c r="F496">
        <v>4338.0600000000004</v>
      </c>
      <c r="G496">
        <f t="shared" si="14"/>
        <v>8676.1200000000008</v>
      </c>
      <c r="H496" s="3">
        <v>0.24</v>
      </c>
      <c r="I496">
        <f t="shared" si="15"/>
        <v>6593.851200000001</v>
      </c>
      <c r="J496" s="1">
        <v>45734</v>
      </c>
      <c r="K496" t="s">
        <v>22</v>
      </c>
      <c r="L496" t="s">
        <v>16</v>
      </c>
      <c r="M496">
        <v>386.01</v>
      </c>
    </row>
    <row r="497" spans="1:13" x14ac:dyDescent="0.25">
      <c r="A497">
        <v>1495</v>
      </c>
      <c r="B497" t="s">
        <v>543</v>
      </c>
      <c r="C497" t="s">
        <v>28</v>
      </c>
      <c r="D497" t="s">
        <v>116</v>
      </c>
      <c r="E497">
        <v>2</v>
      </c>
      <c r="F497">
        <v>2261.4899999999998</v>
      </c>
      <c r="G497">
        <f t="shared" si="14"/>
        <v>4522.9799999999996</v>
      </c>
      <c r="I497">
        <f t="shared" si="15"/>
        <v>4522.9799999999996</v>
      </c>
      <c r="J497" s="1">
        <v>45601</v>
      </c>
      <c r="K497" t="s">
        <v>38</v>
      </c>
      <c r="L497" t="s">
        <v>16</v>
      </c>
      <c r="M497">
        <v>2044.15</v>
      </c>
    </row>
    <row r="498" spans="1:13" x14ac:dyDescent="0.25">
      <c r="A498">
        <v>1496</v>
      </c>
      <c r="B498" t="s">
        <v>544</v>
      </c>
      <c r="C498" t="s">
        <v>20</v>
      </c>
      <c r="D498" t="s">
        <v>84</v>
      </c>
      <c r="E498">
        <v>-1</v>
      </c>
      <c r="F498">
        <v>4874.76</v>
      </c>
      <c r="G498">
        <f t="shared" si="14"/>
        <v>-4874.76</v>
      </c>
      <c r="I498">
        <f t="shared" si="15"/>
        <v>-4874.76</v>
      </c>
      <c r="J498" s="1">
        <v>45655</v>
      </c>
      <c r="K498" t="s">
        <v>18</v>
      </c>
      <c r="L498" t="s">
        <v>23</v>
      </c>
      <c r="M498">
        <v>2438.13</v>
      </c>
    </row>
    <row r="499" spans="1:13" x14ac:dyDescent="0.25">
      <c r="A499">
        <v>1497</v>
      </c>
      <c r="B499" t="s">
        <v>545</v>
      </c>
      <c r="C499" t="s">
        <v>28</v>
      </c>
      <c r="D499" t="s">
        <v>29</v>
      </c>
      <c r="E499">
        <v>2</v>
      </c>
      <c r="F499">
        <v>1461.5</v>
      </c>
      <c r="G499">
        <f t="shared" si="14"/>
        <v>2923</v>
      </c>
      <c r="I499">
        <f t="shared" si="15"/>
        <v>2923</v>
      </c>
      <c r="J499" s="1">
        <v>45526</v>
      </c>
      <c r="K499" t="s">
        <v>44</v>
      </c>
      <c r="L499" t="s">
        <v>16</v>
      </c>
      <c r="M499">
        <v>1561.06</v>
      </c>
    </row>
    <row r="500" spans="1:13" x14ac:dyDescent="0.25">
      <c r="A500">
        <v>1498</v>
      </c>
      <c r="B500" t="s">
        <v>546</v>
      </c>
      <c r="C500" t="s">
        <v>13</v>
      </c>
      <c r="D500" t="s">
        <v>47</v>
      </c>
      <c r="E500">
        <v>6</v>
      </c>
      <c r="F500">
        <v>3771.67</v>
      </c>
      <c r="G500">
        <f t="shared" si="14"/>
        <v>22630.02</v>
      </c>
      <c r="I500">
        <f t="shared" si="15"/>
        <v>22630.02</v>
      </c>
      <c r="J500" s="1">
        <v>45566</v>
      </c>
      <c r="K500" t="s">
        <v>22</v>
      </c>
      <c r="L500" t="s">
        <v>16</v>
      </c>
      <c r="M500">
        <v>2442.42</v>
      </c>
    </row>
    <row r="501" spans="1:13" x14ac:dyDescent="0.25">
      <c r="A501">
        <v>1499</v>
      </c>
      <c r="B501" t="s">
        <v>547</v>
      </c>
      <c r="C501" t="s">
        <v>31</v>
      </c>
      <c r="D501" t="s">
        <v>32</v>
      </c>
      <c r="E501">
        <v>2</v>
      </c>
      <c r="G501">
        <f t="shared" si="14"/>
        <v>0</v>
      </c>
      <c r="I501">
        <f t="shared" si="15"/>
        <v>0</v>
      </c>
      <c r="K501" t="s">
        <v>38</v>
      </c>
      <c r="L501" t="s">
        <v>16</v>
      </c>
      <c r="M501">
        <v>2116.52</v>
      </c>
    </row>
    <row r="502" spans="1:13" x14ac:dyDescent="0.25">
      <c r="A502">
        <v>1500</v>
      </c>
      <c r="B502" t="s">
        <v>548</v>
      </c>
      <c r="C502" t="s">
        <v>13</v>
      </c>
      <c r="D502" t="s">
        <v>47</v>
      </c>
      <c r="E502">
        <v>2</v>
      </c>
      <c r="F502">
        <v>2128.7399999999998</v>
      </c>
      <c r="G502">
        <f t="shared" si="14"/>
        <v>4257.4799999999996</v>
      </c>
      <c r="I502">
        <f t="shared" si="15"/>
        <v>4257.4799999999996</v>
      </c>
      <c r="J502" s="1">
        <v>45588</v>
      </c>
      <c r="K502" t="s">
        <v>18</v>
      </c>
      <c r="L502" t="s">
        <v>23</v>
      </c>
      <c r="M502">
        <v>-648.94000000000005</v>
      </c>
    </row>
    <row r="503" spans="1:13" x14ac:dyDescent="0.25">
      <c r="A503">
        <v>1501</v>
      </c>
      <c r="B503" t="s">
        <v>549</v>
      </c>
      <c r="C503" t="s">
        <v>31</v>
      </c>
      <c r="D503" t="s">
        <v>32</v>
      </c>
      <c r="E503">
        <v>-2</v>
      </c>
      <c r="G503">
        <f t="shared" si="14"/>
        <v>0</v>
      </c>
      <c r="H503" s="3">
        <v>0.65</v>
      </c>
      <c r="I503">
        <f t="shared" si="15"/>
        <v>0</v>
      </c>
      <c r="K503" t="s">
        <v>38</v>
      </c>
      <c r="L503" t="s">
        <v>16</v>
      </c>
      <c r="M503">
        <v>-957.83</v>
      </c>
    </row>
    <row r="504" spans="1:13" x14ac:dyDescent="0.25">
      <c r="A504">
        <v>1502</v>
      </c>
      <c r="B504" t="s">
        <v>550</v>
      </c>
      <c r="C504" t="s">
        <v>36</v>
      </c>
      <c r="D504" t="s">
        <v>87</v>
      </c>
      <c r="E504">
        <v>2</v>
      </c>
      <c r="F504">
        <v>4260.95</v>
      </c>
      <c r="G504">
        <f t="shared" si="14"/>
        <v>8521.9</v>
      </c>
      <c r="I504">
        <f t="shared" si="15"/>
        <v>8521.9</v>
      </c>
      <c r="J504" s="1">
        <v>45551</v>
      </c>
      <c r="K504" t="s">
        <v>15</v>
      </c>
      <c r="L504" t="s">
        <v>16</v>
      </c>
      <c r="M504">
        <v>-86.64</v>
      </c>
    </row>
    <row r="505" spans="1:13" x14ac:dyDescent="0.25">
      <c r="A505">
        <v>1503</v>
      </c>
      <c r="B505" t="s">
        <v>551</v>
      </c>
      <c r="C505" t="s">
        <v>31</v>
      </c>
      <c r="D505" t="s">
        <v>42</v>
      </c>
      <c r="E505">
        <v>2</v>
      </c>
      <c r="F505">
        <v>4621.79</v>
      </c>
      <c r="G505">
        <f t="shared" si="14"/>
        <v>9243.58</v>
      </c>
      <c r="H505" s="3">
        <v>0.32</v>
      </c>
      <c r="I505">
        <f t="shared" si="15"/>
        <v>6285.634399999999</v>
      </c>
      <c r="J505" s="1">
        <v>45795</v>
      </c>
      <c r="K505" t="s">
        <v>15</v>
      </c>
      <c r="L505" t="s">
        <v>16</v>
      </c>
      <c r="M505">
        <v>1350.48</v>
      </c>
    </row>
    <row r="506" spans="1:13" x14ac:dyDescent="0.25">
      <c r="A506">
        <v>1504</v>
      </c>
      <c r="B506" t="s">
        <v>552</v>
      </c>
      <c r="C506" t="s">
        <v>25</v>
      </c>
      <c r="D506" t="s">
        <v>26</v>
      </c>
      <c r="E506">
        <v>2</v>
      </c>
      <c r="F506">
        <v>2558.4299999999998</v>
      </c>
      <c r="G506">
        <f t="shared" si="14"/>
        <v>5116.8599999999997</v>
      </c>
      <c r="I506">
        <f t="shared" si="15"/>
        <v>5116.8599999999997</v>
      </c>
      <c r="J506" s="1">
        <v>45604</v>
      </c>
      <c r="K506" t="s">
        <v>38</v>
      </c>
      <c r="L506" t="s">
        <v>23</v>
      </c>
      <c r="M506">
        <v>-360.49</v>
      </c>
    </row>
    <row r="507" spans="1:13" x14ac:dyDescent="0.25">
      <c r="A507">
        <v>1048</v>
      </c>
      <c r="B507" t="s">
        <v>553</v>
      </c>
      <c r="C507" t="s">
        <v>28</v>
      </c>
      <c r="D507" t="s">
        <v>116</v>
      </c>
      <c r="E507">
        <v>2</v>
      </c>
      <c r="F507">
        <v>1316.64</v>
      </c>
      <c r="G507">
        <f t="shared" si="14"/>
        <v>2633.28</v>
      </c>
      <c r="I507">
        <f t="shared" si="15"/>
        <v>2633.28</v>
      </c>
      <c r="J507" s="1">
        <v>45151</v>
      </c>
      <c r="K507" t="s">
        <v>38</v>
      </c>
      <c r="L507" t="s">
        <v>16</v>
      </c>
      <c r="M507">
        <v>1390.52</v>
      </c>
    </row>
    <row r="508" spans="1:13" x14ac:dyDescent="0.25">
      <c r="A508">
        <v>1506</v>
      </c>
      <c r="B508" t="s">
        <v>554</v>
      </c>
      <c r="C508" t="s">
        <v>31</v>
      </c>
      <c r="D508" t="s">
        <v>32</v>
      </c>
      <c r="E508">
        <v>2</v>
      </c>
      <c r="G508">
        <f t="shared" si="14"/>
        <v>0</v>
      </c>
      <c r="I508">
        <f t="shared" si="15"/>
        <v>0</v>
      </c>
      <c r="J508" s="1">
        <v>45821</v>
      </c>
      <c r="K508" t="s">
        <v>38</v>
      </c>
      <c r="L508" t="s">
        <v>16</v>
      </c>
      <c r="M508">
        <v>1406.62</v>
      </c>
    </row>
    <row r="509" spans="1:13" x14ac:dyDescent="0.25">
      <c r="A509">
        <v>1507</v>
      </c>
      <c r="B509" t="s">
        <v>555</v>
      </c>
      <c r="C509" t="s">
        <v>20</v>
      </c>
      <c r="D509" t="s">
        <v>21</v>
      </c>
      <c r="E509">
        <v>2</v>
      </c>
      <c r="F509">
        <v>3597.73</v>
      </c>
      <c r="G509">
        <f t="shared" si="14"/>
        <v>7195.46</v>
      </c>
      <c r="I509">
        <f t="shared" si="15"/>
        <v>7195.46</v>
      </c>
      <c r="J509" s="1">
        <v>45560</v>
      </c>
      <c r="K509" t="s">
        <v>15</v>
      </c>
      <c r="L509" t="s">
        <v>16</v>
      </c>
      <c r="M509">
        <v>-857.53</v>
      </c>
    </row>
    <row r="510" spans="1:13" x14ac:dyDescent="0.25">
      <c r="A510">
        <v>1508</v>
      </c>
      <c r="B510" t="s">
        <v>556</v>
      </c>
      <c r="C510" t="s">
        <v>36</v>
      </c>
      <c r="D510" t="s">
        <v>87</v>
      </c>
      <c r="E510">
        <v>-1</v>
      </c>
      <c r="G510">
        <f t="shared" si="14"/>
        <v>0</v>
      </c>
      <c r="I510">
        <f t="shared" si="15"/>
        <v>0</v>
      </c>
      <c r="J510" s="1">
        <v>45530</v>
      </c>
      <c r="K510" t="s">
        <v>18</v>
      </c>
      <c r="L510" t="s">
        <v>16</v>
      </c>
      <c r="M510">
        <v>1796.35</v>
      </c>
    </row>
    <row r="511" spans="1:13" x14ac:dyDescent="0.25">
      <c r="A511">
        <v>1509</v>
      </c>
      <c r="B511" t="s">
        <v>557</v>
      </c>
      <c r="C511" t="s">
        <v>36</v>
      </c>
      <c r="D511" t="s">
        <v>87</v>
      </c>
      <c r="E511">
        <v>2</v>
      </c>
      <c r="G511">
        <f t="shared" si="14"/>
        <v>0</v>
      </c>
      <c r="H511" s="3">
        <v>0.28000000000000003</v>
      </c>
      <c r="I511">
        <f t="shared" si="15"/>
        <v>0</v>
      </c>
      <c r="J511" s="1">
        <v>45584</v>
      </c>
      <c r="K511" t="s">
        <v>38</v>
      </c>
      <c r="L511" t="s">
        <v>16</v>
      </c>
      <c r="M511">
        <v>1333.87</v>
      </c>
    </row>
    <row r="512" spans="1:13" x14ac:dyDescent="0.25">
      <c r="A512">
        <v>1510</v>
      </c>
      <c r="B512" t="s">
        <v>558</v>
      </c>
      <c r="C512" t="s">
        <v>31</v>
      </c>
      <c r="D512" t="s">
        <v>78</v>
      </c>
      <c r="E512">
        <v>2</v>
      </c>
      <c r="F512">
        <v>1897.11</v>
      </c>
      <c r="G512">
        <f t="shared" si="14"/>
        <v>3794.22</v>
      </c>
      <c r="I512">
        <f t="shared" si="15"/>
        <v>3794.22</v>
      </c>
      <c r="J512" s="1">
        <v>45781</v>
      </c>
      <c r="K512" t="s">
        <v>15</v>
      </c>
      <c r="L512" t="s">
        <v>16</v>
      </c>
      <c r="M512">
        <v>-345.3</v>
      </c>
    </row>
    <row r="513" spans="1:13" x14ac:dyDescent="0.25">
      <c r="A513">
        <v>1511</v>
      </c>
      <c r="B513" t="s">
        <v>559</v>
      </c>
      <c r="C513" t="s">
        <v>20</v>
      </c>
      <c r="D513" t="s">
        <v>21</v>
      </c>
      <c r="E513">
        <v>2</v>
      </c>
      <c r="G513">
        <f t="shared" si="14"/>
        <v>0</v>
      </c>
      <c r="H513" s="3">
        <v>0.93</v>
      </c>
      <c r="I513">
        <f t="shared" si="15"/>
        <v>0</v>
      </c>
      <c r="J513" s="1">
        <v>45606</v>
      </c>
      <c r="K513" t="s">
        <v>2517</v>
      </c>
      <c r="L513" t="s">
        <v>23</v>
      </c>
      <c r="M513">
        <v>-521.84</v>
      </c>
    </row>
    <row r="514" spans="1:13" x14ac:dyDescent="0.25">
      <c r="A514">
        <v>1512</v>
      </c>
      <c r="B514" t="s">
        <v>560</v>
      </c>
      <c r="C514" t="s">
        <v>28</v>
      </c>
      <c r="D514" t="s">
        <v>40</v>
      </c>
      <c r="E514">
        <v>2</v>
      </c>
      <c r="G514">
        <f t="shared" si="14"/>
        <v>0</v>
      </c>
      <c r="I514">
        <f t="shared" si="15"/>
        <v>0</v>
      </c>
      <c r="J514" s="1">
        <v>45458</v>
      </c>
      <c r="K514" t="s">
        <v>15</v>
      </c>
      <c r="L514" t="s">
        <v>16</v>
      </c>
      <c r="M514">
        <v>352.91</v>
      </c>
    </row>
    <row r="515" spans="1:13" x14ac:dyDescent="0.25">
      <c r="A515">
        <v>1513</v>
      </c>
      <c r="B515" t="s">
        <v>561</v>
      </c>
      <c r="C515" t="s">
        <v>20</v>
      </c>
      <c r="D515" t="s">
        <v>118</v>
      </c>
      <c r="E515">
        <v>6</v>
      </c>
      <c r="G515">
        <f t="shared" ref="G515:G578" si="16">F515*E515</f>
        <v>0</v>
      </c>
      <c r="I515">
        <f t="shared" ref="I515:I578" si="17">G515*(1-H515)</f>
        <v>0</v>
      </c>
      <c r="J515" s="1">
        <v>45402</v>
      </c>
      <c r="K515" t="s">
        <v>15</v>
      </c>
      <c r="L515" t="s">
        <v>16</v>
      </c>
      <c r="M515">
        <v>156.52000000000001</v>
      </c>
    </row>
    <row r="516" spans="1:13" x14ac:dyDescent="0.25">
      <c r="A516">
        <v>1514</v>
      </c>
      <c r="B516" t="s">
        <v>562</v>
      </c>
      <c r="C516" t="s">
        <v>31</v>
      </c>
      <c r="D516" t="s">
        <v>42</v>
      </c>
      <c r="E516">
        <v>2</v>
      </c>
      <c r="F516">
        <v>2343.7199999999998</v>
      </c>
      <c r="G516">
        <f t="shared" si="16"/>
        <v>4687.4399999999996</v>
      </c>
      <c r="I516">
        <f t="shared" si="17"/>
        <v>4687.4399999999996</v>
      </c>
      <c r="J516" s="1">
        <v>45810</v>
      </c>
      <c r="K516" t="s">
        <v>22</v>
      </c>
      <c r="L516" t="s">
        <v>16</v>
      </c>
      <c r="M516">
        <v>-760.9</v>
      </c>
    </row>
    <row r="517" spans="1:13" x14ac:dyDescent="0.25">
      <c r="A517">
        <v>1515</v>
      </c>
      <c r="B517" t="s">
        <v>563</v>
      </c>
      <c r="C517" t="s">
        <v>28</v>
      </c>
      <c r="D517" t="s">
        <v>40</v>
      </c>
      <c r="E517">
        <v>3</v>
      </c>
      <c r="F517">
        <v>4596.03</v>
      </c>
      <c r="G517">
        <f t="shared" si="16"/>
        <v>13788.09</v>
      </c>
      <c r="I517">
        <f t="shared" si="17"/>
        <v>13788.09</v>
      </c>
      <c r="J517" s="1">
        <v>45839</v>
      </c>
      <c r="K517" t="s">
        <v>15</v>
      </c>
      <c r="L517" t="s">
        <v>16</v>
      </c>
      <c r="M517">
        <v>-866.29</v>
      </c>
    </row>
    <row r="518" spans="1:13" x14ac:dyDescent="0.25">
      <c r="A518">
        <v>1516</v>
      </c>
      <c r="B518" t="s">
        <v>564</v>
      </c>
      <c r="C518" t="s">
        <v>36</v>
      </c>
      <c r="D518" t="s">
        <v>37</v>
      </c>
      <c r="E518">
        <v>-1</v>
      </c>
      <c r="F518">
        <v>1039.31</v>
      </c>
      <c r="G518">
        <f t="shared" si="16"/>
        <v>-1039.31</v>
      </c>
      <c r="H518" s="3">
        <v>0.94</v>
      </c>
      <c r="I518">
        <f t="shared" si="17"/>
        <v>-62.358600000000052</v>
      </c>
      <c r="K518" t="s">
        <v>18</v>
      </c>
      <c r="L518" t="s">
        <v>23</v>
      </c>
      <c r="M518">
        <v>-104.79</v>
      </c>
    </row>
    <row r="519" spans="1:13" x14ac:dyDescent="0.25">
      <c r="A519">
        <v>1517</v>
      </c>
      <c r="B519" t="s">
        <v>565</v>
      </c>
      <c r="C519" t="s">
        <v>13</v>
      </c>
      <c r="D519" t="s">
        <v>14</v>
      </c>
      <c r="E519">
        <v>2</v>
      </c>
      <c r="F519">
        <v>4944.25</v>
      </c>
      <c r="G519">
        <f t="shared" si="16"/>
        <v>9888.5</v>
      </c>
      <c r="I519">
        <f t="shared" si="17"/>
        <v>9888.5</v>
      </c>
      <c r="J519" s="1">
        <v>45570</v>
      </c>
      <c r="K519" t="s">
        <v>18</v>
      </c>
      <c r="L519" t="s">
        <v>23</v>
      </c>
      <c r="M519">
        <v>-157.21</v>
      </c>
    </row>
    <row r="520" spans="1:13" x14ac:dyDescent="0.25">
      <c r="A520">
        <v>1518</v>
      </c>
      <c r="B520" t="s">
        <v>566</v>
      </c>
      <c r="C520" t="s">
        <v>13</v>
      </c>
      <c r="D520" t="s">
        <v>14</v>
      </c>
      <c r="E520">
        <v>2</v>
      </c>
      <c r="F520">
        <v>706.71</v>
      </c>
      <c r="G520">
        <f t="shared" si="16"/>
        <v>1413.42</v>
      </c>
      <c r="I520">
        <f t="shared" si="17"/>
        <v>1413.42</v>
      </c>
      <c r="J520" s="1">
        <v>45831</v>
      </c>
      <c r="K520" t="s">
        <v>15</v>
      </c>
      <c r="L520" t="s">
        <v>16</v>
      </c>
      <c r="M520">
        <v>-285.44</v>
      </c>
    </row>
    <row r="521" spans="1:13" x14ac:dyDescent="0.25">
      <c r="A521">
        <v>1519</v>
      </c>
      <c r="B521" t="s">
        <v>567</v>
      </c>
      <c r="C521" t="s">
        <v>28</v>
      </c>
      <c r="D521" t="s">
        <v>29</v>
      </c>
      <c r="E521">
        <v>1</v>
      </c>
      <c r="F521">
        <v>3762.86</v>
      </c>
      <c r="G521">
        <f t="shared" si="16"/>
        <v>3762.86</v>
      </c>
      <c r="I521">
        <f t="shared" si="17"/>
        <v>3762.86</v>
      </c>
      <c r="J521" s="1">
        <v>45582</v>
      </c>
      <c r="K521" t="s">
        <v>22</v>
      </c>
      <c r="L521" t="s">
        <v>23</v>
      </c>
      <c r="M521">
        <v>2567.73</v>
      </c>
    </row>
    <row r="522" spans="1:13" x14ac:dyDescent="0.25">
      <c r="A522">
        <v>1520</v>
      </c>
      <c r="B522" t="s">
        <v>568</v>
      </c>
      <c r="C522" t="s">
        <v>31</v>
      </c>
      <c r="D522" t="s">
        <v>32</v>
      </c>
      <c r="E522">
        <v>4</v>
      </c>
      <c r="G522">
        <f t="shared" si="16"/>
        <v>0</v>
      </c>
      <c r="H522" s="3">
        <v>0.71</v>
      </c>
      <c r="I522">
        <f t="shared" si="17"/>
        <v>0</v>
      </c>
      <c r="J522" s="1">
        <v>45777</v>
      </c>
      <c r="K522" t="s">
        <v>22</v>
      </c>
      <c r="L522" t="s">
        <v>16</v>
      </c>
      <c r="M522">
        <v>-822.18</v>
      </c>
    </row>
    <row r="523" spans="1:13" x14ac:dyDescent="0.25">
      <c r="A523">
        <v>1521</v>
      </c>
      <c r="B523" t="s">
        <v>569</v>
      </c>
      <c r="C523" t="s">
        <v>13</v>
      </c>
      <c r="D523" t="s">
        <v>47</v>
      </c>
      <c r="E523">
        <v>2</v>
      </c>
      <c r="F523">
        <v>2362.0300000000002</v>
      </c>
      <c r="G523">
        <f t="shared" si="16"/>
        <v>4724.0600000000004</v>
      </c>
      <c r="H523" s="3">
        <v>1.27</v>
      </c>
      <c r="I523">
        <f t="shared" si="17"/>
        <v>-1275.4962000000003</v>
      </c>
      <c r="J523" s="1">
        <v>45788</v>
      </c>
      <c r="K523" t="s">
        <v>2517</v>
      </c>
      <c r="L523" t="s">
        <v>16</v>
      </c>
      <c r="M523">
        <v>-943.46</v>
      </c>
    </row>
    <row r="524" spans="1:13" x14ac:dyDescent="0.25">
      <c r="A524">
        <v>1522</v>
      </c>
      <c r="B524" t="s">
        <v>570</v>
      </c>
      <c r="C524" t="s">
        <v>28</v>
      </c>
      <c r="D524" t="s">
        <v>40</v>
      </c>
      <c r="E524">
        <v>6</v>
      </c>
      <c r="G524">
        <f t="shared" si="16"/>
        <v>0</v>
      </c>
      <c r="H524" s="3">
        <v>0.44</v>
      </c>
      <c r="I524">
        <f t="shared" si="17"/>
        <v>0</v>
      </c>
      <c r="J524" s="1">
        <v>45503</v>
      </c>
      <c r="K524" t="s">
        <v>38</v>
      </c>
      <c r="L524" t="s">
        <v>23</v>
      </c>
      <c r="M524">
        <v>547.09</v>
      </c>
    </row>
    <row r="525" spans="1:13" x14ac:dyDescent="0.25">
      <c r="A525">
        <v>1523</v>
      </c>
      <c r="B525" t="s">
        <v>571</v>
      </c>
      <c r="C525" t="s">
        <v>31</v>
      </c>
      <c r="D525" t="s">
        <v>42</v>
      </c>
      <c r="E525">
        <v>-2</v>
      </c>
      <c r="G525">
        <f t="shared" si="16"/>
        <v>0</v>
      </c>
      <c r="H525" s="3">
        <v>0.13</v>
      </c>
      <c r="I525">
        <f t="shared" si="17"/>
        <v>0</v>
      </c>
      <c r="J525" s="1">
        <v>45276</v>
      </c>
      <c r="K525" t="s">
        <v>18</v>
      </c>
      <c r="L525" t="s">
        <v>23</v>
      </c>
      <c r="M525">
        <v>1475.12</v>
      </c>
    </row>
    <row r="526" spans="1:13" x14ac:dyDescent="0.25">
      <c r="A526">
        <v>1524</v>
      </c>
      <c r="B526" t="s">
        <v>572</v>
      </c>
      <c r="C526" t="s">
        <v>36</v>
      </c>
      <c r="D526" t="s">
        <v>59</v>
      </c>
      <c r="E526">
        <v>2</v>
      </c>
      <c r="G526">
        <f t="shared" si="16"/>
        <v>0</v>
      </c>
      <c r="H526" s="3">
        <v>0.47</v>
      </c>
      <c r="I526">
        <f t="shared" si="17"/>
        <v>0</v>
      </c>
      <c r="J526" s="1">
        <v>45853</v>
      </c>
      <c r="K526" t="s">
        <v>2517</v>
      </c>
      <c r="L526" t="s">
        <v>16</v>
      </c>
      <c r="M526">
        <v>2668.06</v>
      </c>
    </row>
    <row r="527" spans="1:13" x14ac:dyDescent="0.25">
      <c r="A527">
        <v>1525</v>
      </c>
      <c r="B527" t="s">
        <v>573</v>
      </c>
      <c r="C527" t="s">
        <v>28</v>
      </c>
      <c r="D527" t="s">
        <v>116</v>
      </c>
      <c r="E527">
        <v>5</v>
      </c>
      <c r="F527">
        <v>4591.26</v>
      </c>
      <c r="G527">
        <f t="shared" si="16"/>
        <v>22956.300000000003</v>
      </c>
      <c r="I527">
        <f t="shared" si="17"/>
        <v>22956.300000000003</v>
      </c>
      <c r="J527" s="1">
        <v>45660</v>
      </c>
      <c r="K527" t="s">
        <v>2517</v>
      </c>
      <c r="L527" t="s">
        <v>23</v>
      </c>
      <c r="M527">
        <v>-602.79999999999995</v>
      </c>
    </row>
    <row r="528" spans="1:13" x14ac:dyDescent="0.25">
      <c r="A528">
        <v>1526</v>
      </c>
      <c r="B528" t="s">
        <v>574</v>
      </c>
      <c r="C528" t="s">
        <v>25</v>
      </c>
      <c r="D528" t="s">
        <v>51</v>
      </c>
      <c r="E528">
        <v>2</v>
      </c>
      <c r="F528">
        <v>1884.25</v>
      </c>
      <c r="G528">
        <f t="shared" si="16"/>
        <v>3768.5</v>
      </c>
      <c r="I528">
        <f t="shared" si="17"/>
        <v>3768.5</v>
      </c>
      <c r="J528" s="1">
        <v>45576</v>
      </c>
      <c r="K528" t="s">
        <v>38</v>
      </c>
      <c r="L528" t="s">
        <v>16</v>
      </c>
      <c r="M528">
        <v>1177.57</v>
      </c>
    </row>
    <row r="529" spans="1:13" x14ac:dyDescent="0.25">
      <c r="A529">
        <v>1527</v>
      </c>
      <c r="B529" t="s">
        <v>575</v>
      </c>
      <c r="C529" t="s">
        <v>13</v>
      </c>
      <c r="D529" t="s">
        <v>14</v>
      </c>
      <c r="E529">
        <v>2</v>
      </c>
      <c r="F529">
        <v>3431.26</v>
      </c>
      <c r="G529">
        <f t="shared" si="16"/>
        <v>6862.52</v>
      </c>
      <c r="I529">
        <f t="shared" si="17"/>
        <v>6862.52</v>
      </c>
      <c r="J529" s="1">
        <v>45153</v>
      </c>
      <c r="K529" t="s">
        <v>38</v>
      </c>
      <c r="L529" t="s">
        <v>16</v>
      </c>
      <c r="M529">
        <v>1931.28</v>
      </c>
    </row>
    <row r="530" spans="1:13" x14ac:dyDescent="0.25">
      <c r="A530">
        <v>1026</v>
      </c>
      <c r="B530" t="s">
        <v>576</v>
      </c>
      <c r="C530" t="s">
        <v>31</v>
      </c>
      <c r="D530" t="s">
        <v>32</v>
      </c>
      <c r="E530">
        <v>0</v>
      </c>
      <c r="G530">
        <f t="shared" si="16"/>
        <v>0</v>
      </c>
      <c r="I530">
        <f t="shared" si="17"/>
        <v>0</v>
      </c>
      <c r="J530" s="1">
        <v>45230</v>
      </c>
      <c r="K530" t="s">
        <v>15</v>
      </c>
      <c r="L530" t="s">
        <v>16</v>
      </c>
      <c r="M530">
        <v>2916.18</v>
      </c>
    </row>
    <row r="531" spans="1:13" x14ac:dyDescent="0.25">
      <c r="A531">
        <v>1529</v>
      </c>
      <c r="B531" t="s">
        <v>577</v>
      </c>
      <c r="C531" t="s">
        <v>31</v>
      </c>
      <c r="D531" t="s">
        <v>68</v>
      </c>
      <c r="E531">
        <v>2</v>
      </c>
      <c r="F531">
        <v>3381.7</v>
      </c>
      <c r="G531">
        <f t="shared" si="16"/>
        <v>6763.4</v>
      </c>
      <c r="I531">
        <f t="shared" si="17"/>
        <v>6763.4</v>
      </c>
      <c r="J531" s="1">
        <v>45734</v>
      </c>
      <c r="K531" t="s">
        <v>15</v>
      </c>
      <c r="L531" t="s">
        <v>16</v>
      </c>
      <c r="M531">
        <v>2953.76</v>
      </c>
    </row>
    <row r="532" spans="1:13" x14ac:dyDescent="0.25">
      <c r="A532">
        <v>1530</v>
      </c>
      <c r="B532" t="s">
        <v>578</v>
      </c>
      <c r="C532" t="s">
        <v>20</v>
      </c>
      <c r="D532" t="s">
        <v>84</v>
      </c>
      <c r="E532">
        <v>6</v>
      </c>
      <c r="G532">
        <f t="shared" si="16"/>
        <v>0</v>
      </c>
      <c r="I532">
        <f t="shared" si="17"/>
        <v>0</v>
      </c>
      <c r="J532" s="1">
        <v>45565</v>
      </c>
      <c r="K532" t="s">
        <v>2517</v>
      </c>
      <c r="L532" t="s">
        <v>16</v>
      </c>
      <c r="M532">
        <v>1451.55</v>
      </c>
    </row>
    <row r="533" spans="1:13" x14ac:dyDescent="0.25">
      <c r="A533">
        <v>1531</v>
      </c>
      <c r="B533" t="s">
        <v>579</v>
      </c>
      <c r="C533" t="s">
        <v>13</v>
      </c>
      <c r="D533" t="s">
        <v>98</v>
      </c>
      <c r="E533">
        <v>2</v>
      </c>
      <c r="G533">
        <f t="shared" si="16"/>
        <v>0</v>
      </c>
      <c r="H533" s="3">
        <v>0.37</v>
      </c>
      <c r="I533">
        <f t="shared" si="17"/>
        <v>0</v>
      </c>
      <c r="J533" s="1">
        <v>45819</v>
      </c>
      <c r="K533" t="s">
        <v>18</v>
      </c>
      <c r="L533" t="s">
        <v>23</v>
      </c>
      <c r="M533">
        <v>-173.83</v>
      </c>
    </row>
    <row r="534" spans="1:13" x14ac:dyDescent="0.25">
      <c r="A534">
        <v>1532</v>
      </c>
      <c r="B534" t="s">
        <v>580</v>
      </c>
      <c r="C534" t="s">
        <v>31</v>
      </c>
      <c r="D534" t="s">
        <v>42</v>
      </c>
      <c r="E534">
        <v>2</v>
      </c>
      <c r="G534">
        <f t="shared" si="16"/>
        <v>0</v>
      </c>
      <c r="H534" s="3">
        <v>0.33</v>
      </c>
      <c r="I534">
        <f t="shared" si="17"/>
        <v>0</v>
      </c>
      <c r="J534" s="1">
        <v>45167</v>
      </c>
      <c r="K534" t="s">
        <v>22</v>
      </c>
      <c r="L534" t="s">
        <v>23</v>
      </c>
      <c r="M534">
        <v>2512.66</v>
      </c>
    </row>
    <row r="535" spans="1:13" x14ac:dyDescent="0.25">
      <c r="A535">
        <v>1533</v>
      </c>
      <c r="B535" t="s">
        <v>581</v>
      </c>
      <c r="C535" t="s">
        <v>36</v>
      </c>
      <c r="D535" t="s">
        <v>87</v>
      </c>
      <c r="E535">
        <v>2</v>
      </c>
      <c r="F535">
        <v>3965.94</v>
      </c>
      <c r="G535">
        <f t="shared" si="16"/>
        <v>7931.88</v>
      </c>
      <c r="I535">
        <f t="shared" si="17"/>
        <v>7931.88</v>
      </c>
      <c r="J535" s="1">
        <v>45637</v>
      </c>
      <c r="K535" t="s">
        <v>22</v>
      </c>
      <c r="L535" t="s">
        <v>16</v>
      </c>
      <c r="M535">
        <v>-759.07</v>
      </c>
    </row>
    <row r="536" spans="1:13" x14ac:dyDescent="0.25">
      <c r="A536">
        <v>1534</v>
      </c>
      <c r="B536" t="s">
        <v>582</v>
      </c>
      <c r="C536" t="s">
        <v>31</v>
      </c>
      <c r="D536" t="s">
        <v>78</v>
      </c>
      <c r="E536">
        <v>2</v>
      </c>
      <c r="G536">
        <f t="shared" si="16"/>
        <v>0</v>
      </c>
      <c r="I536">
        <f t="shared" si="17"/>
        <v>0</v>
      </c>
      <c r="J536" s="1">
        <v>45772</v>
      </c>
      <c r="K536" t="s">
        <v>15</v>
      </c>
      <c r="L536" t="s">
        <v>23</v>
      </c>
      <c r="M536">
        <v>-836.06</v>
      </c>
    </row>
    <row r="537" spans="1:13" x14ac:dyDescent="0.25">
      <c r="A537">
        <v>1535</v>
      </c>
      <c r="B537" t="s">
        <v>583</v>
      </c>
      <c r="C537" t="s">
        <v>28</v>
      </c>
      <c r="D537" t="s">
        <v>137</v>
      </c>
      <c r="E537">
        <v>2</v>
      </c>
      <c r="F537">
        <v>720.35</v>
      </c>
      <c r="G537">
        <f t="shared" si="16"/>
        <v>1440.7</v>
      </c>
      <c r="I537">
        <f t="shared" si="17"/>
        <v>1440.7</v>
      </c>
      <c r="J537" s="1">
        <v>45282</v>
      </c>
      <c r="K537" t="s">
        <v>38</v>
      </c>
      <c r="L537" t="s">
        <v>16</v>
      </c>
      <c r="M537">
        <v>1359.17</v>
      </c>
    </row>
    <row r="538" spans="1:13" x14ac:dyDescent="0.25">
      <c r="A538">
        <v>1536</v>
      </c>
      <c r="B538" t="s">
        <v>584</v>
      </c>
      <c r="C538" t="s">
        <v>36</v>
      </c>
      <c r="D538" t="s">
        <v>87</v>
      </c>
      <c r="E538">
        <v>1</v>
      </c>
      <c r="G538">
        <f t="shared" si="16"/>
        <v>0</v>
      </c>
      <c r="I538">
        <f t="shared" si="17"/>
        <v>0</v>
      </c>
      <c r="J538" s="1">
        <v>45790</v>
      </c>
      <c r="K538" t="s">
        <v>15</v>
      </c>
      <c r="L538" t="s">
        <v>23</v>
      </c>
      <c r="M538">
        <v>1966.62</v>
      </c>
    </row>
    <row r="539" spans="1:13" x14ac:dyDescent="0.25">
      <c r="A539">
        <v>1537</v>
      </c>
      <c r="B539" t="s">
        <v>585</v>
      </c>
      <c r="C539" t="s">
        <v>13</v>
      </c>
      <c r="D539" t="s">
        <v>98</v>
      </c>
      <c r="E539">
        <v>-1</v>
      </c>
      <c r="G539">
        <f t="shared" si="16"/>
        <v>0</v>
      </c>
      <c r="H539" s="3">
        <v>0.9</v>
      </c>
      <c r="I539">
        <f t="shared" si="17"/>
        <v>0</v>
      </c>
      <c r="K539" t="s">
        <v>38</v>
      </c>
      <c r="L539" t="s">
        <v>16</v>
      </c>
      <c r="M539">
        <v>68.260000000000005</v>
      </c>
    </row>
    <row r="540" spans="1:13" x14ac:dyDescent="0.25">
      <c r="A540">
        <v>1538</v>
      </c>
      <c r="B540" t="s">
        <v>586</v>
      </c>
      <c r="C540" t="s">
        <v>36</v>
      </c>
      <c r="D540" t="s">
        <v>87</v>
      </c>
      <c r="E540">
        <v>2</v>
      </c>
      <c r="F540">
        <v>4767.6099999999997</v>
      </c>
      <c r="G540">
        <f t="shared" si="16"/>
        <v>9535.2199999999993</v>
      </c>
      <c r="H540" s="3">
        <v>0.01</v>
      </c>
      <c r="I540">
        <f t="shared" si="17"/>
        <v>9439.8678</v>
      </c>
      <c r="K540" t="s">
        <v>18</v>
      </c>
      <c r="L540" t="s">
        <v>23</v>
      </c>
      <c r="M540">
        <v>-956.8</v>
      </c>
    </row>
    <row r="541" spans="1:13" x14ac:dyDescent="0.25">
      <c r="A541">
        <v>1539</v>
      </c>
      <c r="B541" t="s">
        <v>587</v>
      </c>
      <c r="C541" t="s">
        <v>13</v>
      </c>
      <c r="D541" t="s">
        <v>47</v>
      </c>
      <c r="E541">
        <v>2</v>
      </c>
      <c r="F541">
        <v>2891.64</v>
      </c>
      <c r="G541">
        <f t="shared" si="16"/>
        <v>5783.28</v>
      </c>
      <c r="I541">
        <f t="shared" si="17"/>
        <v>5783.28</v>
      </c>
      <c r="K541" t="s">
        <v>22</v>
      </c>
      <c r="L541" t="s">
        <v>16</v>
      </c>
      <c r="M541">
        <v>2309.23</v>
      </c>
    </row>
    <row r="542" spans="1:13" x14ac:dyDescent="0.25">
      <c r="A542">
        <v>1540</v>
      </c>
      <c r="B542" t="s">
        <v>588</v>
      </c>
      <c r="C542" t="s">
        <v>20</v>
      </c>
      <c r="D542" t="s">
        <v>21</v>
      </c>
      <c r="E542">
        <v>2</v>
      </c>
      <c r="G542">
        <f t="shared" si="16"/>
        <v>0</v>
      </c>
      <c r="I542">
        <f t="shared" si="17"/>
        <v>0</v>
      </c>
      <c r="J542" s="1">
        <v>45663</v>
      </c>
      <c r="K542" t="s">
        <v>18</v>
      </c>
      <c r="L542" t="s">
        <v>16</v>
      </c>
      <c r="M542">
        <v>815.28</v>
      </c>
    </row>
    <row r="543" spans="1:13" x14ac:dyDescent="0.25">
      <c r="A543">
        <v>1541</v>
      </c>
      <c r="B543" t="s">
        <v>589</v>
      </c>
      <c r="C543" t="s">
        <v>28</v>
      </c>
      <c r="D543" t="s">
        <v>137</v>
      </c>
      <c r="E543">
        <v>2</v>
      </c>
      <c r="F543">
        <v>2989.4</v>
      </c>
      <c r="G543">
        <f t="shared" si="16"/>
        <v>5978.8</v>
      </c>
      <c r="I543">
        <f t="shared" si="17"/>
        <v>5978.8</v>
      </c>
      <c r="J543" s="1">
        <v>45745</v>
      </c>
      <c r="K543" t="s">
        <v>22</v>
      </c>
      <c r="L543" t="s">
        <v>16</v>
      </c>
      <c r="M543">
        <v>-530.72</v>
      </c>
    </row>
    <row r="544" spans="1:13" x14ac:dyDescent="0.25">
      <c r="A544">
        <v>1542</v>
      </c>
      <c r="B544" t="s">
        <v>590</v>
      </c>
      <c r="C544" t="s">
        <v>20</v>
      </c>
      <c r="D544" t="s">
        <v>76</v>
      </c>
      <c r="E544">
        <v>1</v>
      </c>
      <c r="F544">
        <v>2044.17</v>
      </c>
      <c r="G544">
        <f t="shared" si="16"/>
        <v>2044.17</v>
      </c>
      <c r="I544">
        <f t="shared" si="17"/>
        <v>2044.17</v>
      </c>
      <c r="K544" t="s">
        <v>44</v>
      </c>
      <c r="L544" t="s">
        <v>16</v>
      </c>
      <c r="M544">
        <v>-798.37</v>
      </c>
    </row>
    <row r="545" spans="1:13" x14ac:dyDescent="0.25">
      <c r="A545">
        <v>1543</v>
      </c>
      <c r="B545" t="s">
        <v>591</v>
      </c>
      <c r="C545" t="s">
        <v>36</v>
      </c>
      <c r="D545" t="s">
        <v>87</v>
      </c>
      <c r="E545">
        <v>1</v>
      </c>
      <c r="F545">
        <v>4440.24</v>
      </c>
      <c r="G545">
        <f t="shared" si="16"/>
        <v>4440.24</v>
      </c>
      <c r="H545" s="3">
        <v>0.32</v>
      </c>
      <c r="I545">
        <f t="shared" si="17"/>
        <v>3019.3631999999998</v>
      </c>
      <c r="K545" t="s">
        <v>18</v>
      </c>
      <c r="L545" t="s">
        <v>23</v>
      </c>
      <c r="M545">
        <v>1884.06</v>
      </c>
    </row>
    <row r="546" spans="1:13" x14ac:dyDescent="0.25">
      <c r="A546">
        <v>1544</v>
      </c>
      <c r="B546" t="s">
        <v>592</v>
      </c>
      <c r="C546" t="s">
        <v>36</v>
      </c>
      <c r="D546" t="s">
        <v>55</v>
      </c>
      <c r="E546">
        <v>6</v>
      </c>
      <c r="G546">
        <f t="shared" si="16"/>
        <v>0</v>
      </c>
      <c r="I546">
        <f t="shared" si="17"/>
        <v>0</v>
      </c>
      <c r="K546" t="s">
        <v>38</v>
      </c>
      <c r="L546" t="s">
        <v>16</v>
      </c>
      <c r="M546">
        <v>87.47</v>
      </c>
    </row>
    <row r="547" spans="1:13" x14ac:dyDescent="0.25">
      <c r="A547">
        <v>1545</v>
      </c>
      <c r="B547" t="s">
        <v>593</v>
      </c>
      <c r="C547" t="s">
        <v>36</v>
      </c>
      <c r="D547" t="s">
        <v>37</v>
      </c>
      <c r="E547">
        <v>1</v>
      </c>
      <c r="G547">
        <f t="shared" si="16"/>
        <v>0</v>
      </c>
      <c r="I547">
        <f t="shared" si="17"/>
        <v>0</v>
      </c>
      <c r="J547" s="1">
        <v>45827</v>
      </c>
      <c r="K547" t="s">
        <v>2517</v>
      </c>
      <c r="L547" t="s">
        <v>23</v>
      </c>
      <c r="M547">
        <v>2526.29</v>
      </c>
    </row>
    <row r="548" spans="1:13" x14ac:dyDescent="0.25">
      <c r="A548">
        <v>1546</v>
      </c>
      <c r="B548" t="s">
        <v>594</v>
      </c>
      <c r="C548" t="s">
        <v>31</v>
      </c>
      <c r="D548" t="s">
        <v>42</v>
      </c>
      <c r="E548">
        <v>2</v>
      </c>
      <c r="G548">
        <f t="shared" si="16"/>
        <v>0</v>
      </c>
      <c r="I548">
        <f t="shared" si="17"/>
        <v>0</v>
      </c>
      <c r="J548" s="1">
        <v>45538</v>
      </c>
      <c r="K548" t="s">
        <v>18</v>
      </c>
      <c r="L548" t="s">
        <v>16</v>
      </c>
      <c r="M548">
        <v>1978.16</v>
      </c>
    </row>
    <row r="549" spans="1:13" x14ac:dyDescent="0.25">
      <c r="A549">
        <v>1547</v>
      </c>
      <c r="B549" t="s">
        <v>595</v>
      </c>
      <c r="C549" t="s">
        <v>36</v>
      </c>
      <c r="D549" t="s">
        <v>55</v>
      </c>
      <c r="E549">
        <v>6</v>
      </c>
      <c r="G549">
        <f t="shared" si="16"/>
        <v>0</v>
      </c>
      <c r="H549" s="3">
        <v>0.95</v>
      </c>
      <c r="I549">
        <f t="shared" si="17"/>
        <v>0</v>
      </c>
      <c r="J549" s="1">
        <v>45792</v>
      </c>
      <c r="K549" t="s">
        <v>44</v>
      </c>
      <c r="L549" t="s">
        <v>23</v>
      </c>
      <c r="M549">
        <v>1018.03</v>
      </c>
    </row>
    <row r="550" spans="1:13" x14ac:dyDescent="0.25">
      <c r="A550">
        <v>1548</v>
      </c>
      <c r="B550" t="s">
        <v>596</v>
      </c>
      <c r="C550" t="s">
        <v>20</v>
      </c>
      <c r="D550" t="s">
        <v>76</v>
      </c>
      <c r="E550">
        <v>2</v>
      </c>
      <c r="F550">
        <v>2273.15</v>
      </c>
      <c r="G550">
        <f t="shared" si="16"/>
        <v>4546.3</v>
      </c>
      <c r="I550">
        <f t="shared" si="17"/>
        <v>4546.3</v>
      </c>
      <c r="K550" t="s">
        <v>18</v>
      </c>
      <c r="L550" t="s">
        <v>16</v>
      </c>
      <c r="M550">
        <v>-701.47</v>
      </c>
    </row>
    <row r="551" spans="1:13" x14ac:dyDescent="0.25">
      <c r="A551">
        <v>1549</v>
      </c>
      <c r="B551" t="s">
        <v>597</v>
      </c>
      <c r="C551" t="s">
        <v>28</v>
      </c>
      <c r="D551" t="s">
        <v>40</v>
      </c>
      <c r="E551">
        <v>2</v>
      </c>
      <c r="F551">
        <v>2465.23</v>
      </c>
      <c r="G551">
        <f t="shared" si="16"/>
        <v>4930.46</v>
      </c>
      <c r="H551" s="3">
        <v>0.42</v>
      </c>
      <c r="I551">
        <f t="shared" si="17"/>
        <v>2859.6668000000004</v>
      </c>
      <c r="K551" t="s">
        <v>38</v>
      </c>
      <c r="L551" t="s">
        <v>16</v>
      </c>
      <c r="M551">
        <v>256.3</v>
      </c>
    </row>
    <row r="552" spans="1:13" x14ac:dyDescent="0.25">
      <c r="A552">
        <v>1550</v>
      </c>
      <c r="B552" t="s">
        <v>598</v>
      </c>
      <c r="C552" t="s">
        <v>20</v>
      </c>
      <c r="D552" t="s">
        <v>118</v>
      </c>
      <c r="E552">
        <v>1</v>
      </c>
      <c r="G552">
        <f t="shared" si="16"/>
        <v>0</v>
      </c>
      <c r="H552" s="3">
        <v>0.1</v>
      </c>
      <c r="I552">
        <f t="shared" si="17"/>
        <v>0</v>
      </c>
      <c r="J552" s="1">
        <v>45566</v>
      </c>
      <c r="K552" t="s">
        <v>44</v>
      </c>
      <c r="L552" t="s">
        <v>16</v>
      </c>
      <c r="M552">
        <v>2195.27</v>
      </c>
    </row>
    <row r="553" spans="1:13" x14ac:dyDescent="0.25">
      <c r="A553">
        <v>1551</v>
      </c>
      <c r="B553" t="s">
        <v>599</v>
      </c>
      <c r="C553" t="s">
        <v>20</v>
      </c>
      <c r="D553" t="s">
        <v>118</v>
      </c>
      <c r="E553">
        <v>2</v>
      </c>
      <c r="F553">
        <v>2656.77</v>
      </c>
      <c r="G553">
        <f t="shared" si="16"/>
        <v>5313.54</v>
      </c>
      <c r="H553" s="3">
        <v>1.05</v>
      </c>
      <c r="I553">
        <f t="shared" si="17"/>
        <v>-265.67700000000025</v>
      </c>
      <c r="K553" t="s">
        <v>22</v>
      </c>
      <c r="L553" t="s">
        <v>16</v>
      </c>
      <c r="M553">
        <v>2293.08</v>
      </c>
    </row>
    <row r="554" spans="1:13" x14ac:dyDescent="0.25">
      <c r="A554">
        <v>1552</v>
      </c>
      <c r="B554" t="s">
        <v>600</v>
      </c>
      <c r="C554" t="s">
        <v>25</v>
      </c>
      <c r="D554" t="s">
        <v>62</v>
      </c>
      <c r="E554">
        <v>2</v>
      </c>
      <c r="F554">
        <v>883.76</v>
      </c>
      <c r="G554">
        <f t="shared" si="16"/>
        <v>1767.52</v>
      </c>
      <c r="I554">
        <f t="shared" si="17"/>
        <v>1767.52</v>
      </c>
      <c r="K554" t="s">
        <v>18</v>
      </c>
      <c r="L554" t="s">
        <v>16</v>
      </c>
      <c r="M554">
        <v>-572.62</v>
      </c>
    </row>
    <row r="555" spans="1:13" x14ac:dyDescent="0.25">
      <c r="A555">
        <v>1553</v>
      </c>
      <c r="B555" t="s">
        <v>601</v>
      </c>
      <c r="C555" t="s">
        <v>28</v>
      </c>
      <c r="D555" t="s">
        <v>29</v>
      </c>
      <c r="E555">
        <v>1</v>
      </c>
      <c r="G555">
        <f t="shared" si="16"/>
        <v>0</v>
      </c>
      <c r="I555">
        <f t="shared" si="17"/>
        <v>0</v>
      </c>
      <c r="K555" t="s">
        <v>2517</v>
      </c>
      <c r="L555" t="s">
        <v>16</v>
      </c>
      <c r="M555">
        <v>2824.43</v>
      </c>
    </row>
    <row r="556" spans="1:13" x14ac:dyDescent="0.25">
      <c r="A556">
        <v>1554</v>
      </c>
      <c r="B556" t="s">
        <v>602</v>
      </c>
      <c r="C556" t="s">
        <v>25</v>
      </c>
      <c r="D556" t="s">
        <v>26</v>
      </c>
      <c r="E556">
        <v>2</v>
      </c>
      <c r="F556">
        <v>2345.71</v>
      </c>
      <c r="G556">
        <f t="shared" si="16"/>
        <v>4691.42</v>
      </c>
      <c r="I556">
        <f t="shared" si="17"/>
        <v>4691.42</v>
      </c>
      <c r="J556" s="1">
        <v>45769</v>
      </c>
      <c r="K556" t="s">
        <v>44</v>
      </c>
      <c r="L556" t="s">
        <v>16</v>
      </c>
      <c r="M556">
        <v>2041.71</v>
      </c>
    </row>
    <row r="557" spans="1:13" x14ac:dyDescent="0.25">
      <c r="A557">
        <v>1555</v>
      </c>
      <c r="B557" t="s">
        <v>603</v>
      </c>
      <c r="C557" t="s">
        <v>28</v>
      </c>
      <c r="D557" t="s">
        <v>29</v>
      </c>
      <c r="E557">
        <v>2</v>
      </c>
      <c r="G557">
        <f t="shared" si="16"/>
        <v>0</v>
      </c>
      <c r="I557">
        <f t="shared" si="17"/>
        <v>0</v>
      </c>
      <c r="K557" t="s">
        <v>38</v>
      </c>
      <c r="L557" t="s">
        <v>16</v>
      </c>
      <c r="M557">
        <v>312.38</v>
      </c>
    </row>
    <row r="558" spans="1:13" x14ac:dyDescent="0.25">
      <c r="A558">
        <v>1556</v>
      </c>
      <c r="B558" t="s">
        <v>604</v>
      </c>
      <c r="C558" t="s">
        <v>13</v>
      </c>
      <c r="D558" t="s">
        <v>34</v>
      </c>
      <c r="E558">
        <v>2</v>
      </c>
      <c r="F558">
        <v>453.92</v>
      </c>
      <c r="G558">
        <f t="shared" si="16"/>
        <v>907.84</v>
      </c>
      <c r="I558">
        <f t="shared" si="17"/>
        <v>907.84</v>
      </c>
      <c r="J558" s="1">
        <v>45628</v>
      </c>
      <c r="K558" t="s">
        <v>38</v>
      </c>
      <c r="L558" t="s">
        <v>23</v>
      </c>
      <c r="M558">
        <v>2308.0100000000002</v>
      </c>
    </row>
    <row r="559" spans="1:13" x14ac:dyDescent="0.25">
      <c r="A559">
        <v>1557</v>
      </c>
      <c r="B559" t="s">
        <v>605</v>
      </c>
      <c r="C559" t="s">
        <v>20</v>
      </c>
      <c r="D559" t="s">
        <v>21</v>
      </c>
      <c r="E559">
        <v>2</v>
      </c>
      <c r="F559">
        <v>4402.3999999999996</v>
      </c>
      <c r="G559">
        <f t="shared" si="16"/>
        <v>8804.7999999999993</v>
      </c>
      <c r="I559">
        <f t="shared" si="17"/>
        <v>8804.7999999999993</v>
      </c>
      <c r="J559" s="1">
        <v>45669</v>
      </c>
      <c r="K559" t="s">
        <v>2517</v>
      </c>
      <c r="L559" t="s">
        <v>16</v>
      </c>
      <c r="M559">
        <v>-594.21</v>
      </c>
    </row>
    <row r="560" spans="1:13" x14ac:dyDescent="0.25">
      <c r="A560">
        <v>1558</v>
      </c>
      <c r="B560" t="s">
        <v>606</v>
      </c>
      <c r="C560" t="s">
        <v>31</v>
      </c>
      <c r="D560" t="s">
        <v>78</v>
      </c>
      <c r="E560">
        <v>-2</v>
      </c>
      <c r="G560">
        <f t="shared" si="16"/>
        <v>0</v>
      </c>
      <c r="I560">
        <f t="shared" si="17"/>
        <v>0</v>
      </c>
      <c r="J560" s="1">
        <v>45273</v>
      </c>
      <c r="K560" t="s">
        <v>44</v>
      </c>
      <c r="L560" t="s">
        <v>16</v>
      </c>
      <c r="M560">
        <v>300.17</v>
      </c>
    </row>
    <row r="561" spans="1:13" x14ac:dyDescent="0.25">
      <c r="A561">
        <v>1559</v>
      </c>
      <c r="B561" t="s">
        <v>607</v>
      </c>
      <c r="C561" t="s">
        <v>20</v>
      </c>
      <c r="D561" t="s">
        <v>118</v>
      </c>
      <c r="E561">
        <v>2</v>
      </c>
      <c r="G561">
        <f t="shared" si="16"/>
        <v>0</v>
      </c>
      <c r="H561" s="3">
        <v>0.09</v>
      </c>
      <c r="I561">
        <f t="shared" si="17"/>
        <v>0</v>
      </c>
      <c r="K561" t="s">
        <v>22</v>
      </c>
      <c r="L561" t="s">
        <v>16</v>
      </c>
      <c r="M561">
        <v>-548.17999999999995</v>
      </c>
    </row>
    <row r="562" spans="1:13" x14ac:dyDescent="0.25">
      <c r="A562">
        <v>1560</v>
      </c>
      <c r="B562" t="s">
        <v>608</v>
      </c>
      <c r="C562" t="s">
        <v>28</v>
      </c>
      <c r="D562" t="s">
        <v>137</v>
      </c>
      <c r="E562">
        <v>2</v>
      </c>
      <c r="G562">
        <f t="shared" si="16"/>
        <v>0</v>
      </c>
      <c r="H562" s="3">
        <v>0.71</v>
      </c>
      <c r="I562">
        <f t="shared" si="17"/>
        <v>0</v>
      </c>
      <c r="J562" s="1">
        <v>45671</v>
      </c>
      <c r="K562" t="s">
        <v>2517</v>
      </c>
      <c r="L562" t="s">
        <v>23</v>
      </c>
      <c r="M562">
        <v>574.85</v>
      </c>
    </row>
    <row r="563" spans="1:13" x14ac:dyDescent="0.25">
      <c r="A563">
        <v>1561</v>
      </c>
      <c r="B563" t="s">
        <v>609</v>
      </c>
      <c r="C563" t="s">
        <v>25</v>
      </c>
      <c r="D563" t="s">
        <v>51</v>
      </c>
      <c r="E563">
        <v>4</v>
      </c>
      <c r="G563">
        <f t="shared" si="16"/>
        <v>0</v>
      </c>
      <c r="I563">
        <f t="shared" si="17"/>
        <v>0</v>
      </c>
      <c r="J563" s="1">
        <v>45668</v>
      </c>
      <c r="K563" t="s">
        <v>15</v>
      </c>
      <c r="L563" t="s">
        <v>16</v>
      </c>
      <c r="M563">
        <v>2513.2399999999998</v>
      </c>
    </row>
    <row r="564" spans="1:13" x14ac:dyDescent="0.25">
      <c r="A564">
        <v>1562</v>
      </c>
      <c r="B564" t="s">
        <v>610</v>
      </c>
      <c r="C564" t="s">
        <v>28</v>
      </c>
      <c r="D564" t="s">
        <v>137</v>
      </c>
      <c r="E564">
        <v>2</v>
      </c>
      <c r="G564">
        <f t="shared" si="16"/>
        <v>0</v>
      </c>
      <c r="I564">
        <f t="shared" si="17"/>
        <v>0</v>
      </c>
      <c r="K564" t="s">
        <v>2517</v>
      </c>
      <c r="L564" t="s">
        <v>23</v>
      </c>
      <c r="M564">
        <v>930.14</v>
      </c>
    </row>
    <row r="565" spans="1:13" x14ac:dyDescent="0.25">
      <c r="A565">
        <v>1563</v>
      </c>
      <c r="B565" t="s">
        <v>611</v>
      </c>
      <c r="C565" t="s">
        <v>36</v>
      </c>
      <c r="D565" t="s">
        <v>55</v>
      </c>
      <c r="E565">
        <v>5</v>
      </c>
      <c r="F565">
        <v>1571.12</v>
      </c>
      <c r="G565">
        <f t="shared" si="16"/>
        <v>7855.5999999999995</v>
      </c>
      <c r="H565" s="3">
        <v>0.65</v>
      </c>
      <c r="I565">
        <f t="shared" si="17"/>
        <v>2749.4599999999996</v>
      </c>
      <c r="K565" t="s">
        <v>18</v>
      </c>
      <c r="L565" t="s">
        <v>16</v>
      </c>
      <c r="M565">
        <v>103.28</v>
      </c>
    </row>
    <row r="566" spans="1:13" x14ac:dyDescent="0.25">
      <c r="A566">
        <v>1564</v>
      </c>
      <c r="B566" t="s">
        <v>612</v>
      </c>
      <c r="C566" t="s">
        <v>13</v>
      </c>
      <c r="D566" t="s">
        <v>34</v>
      </c>
      <c r="E566">
        <v>2</v>
      </c>
      <c r="G566">
        <f t="shared" si="16"/>
        <v>0</v>
      </c>
      <c r="H566" s="3">
        <v>0.67</v>
      </c>
      <c r="I566">
        <f t="shared" si="17"/>
        <v>0</v>
      </c>
      <c r="K566" t="s">
        <v>44</v>
      </c>
      <c r="L566" t="s">
        <v>16</v>
      </c>
      <c r="M566">
        <v>-953.17</v>
      </c>
    </row>
    <row r="567" spans="1:13" x14ac:dyDescent="0.25">
      <c r="A567">
        <v>1565</v>
      </c>
      <c r="B567" t="s">
        <v>613</v>
      </c>
      <c r="C567" t="s">
        <v>28</v>
      </c>
      <c r="D567" t="s">
        <v>137</v>
      </c>
      <c r="E567">
        <v>2</v>
      </c>
      <c r="F567">
        <v>1867.24</v>
      </c>
      <c r="G567">
        <f t="shared" si="16"/>
        <v>3734.48</v>
      </c>
      <c r="H567" s="3">
        <v>0.19</v>
      </c>
      <c r="I567">
        <f t="shared" si="17"/>
        <v>3024.9288000000001</v>
      </c>
      <c r="J567" s="1">
        <v>45781</v>
      </c>
      <c r="K567" t="s">
        <v>44</v>
      </c>
      <c r="L567" t="s">
        <v>23</v>
      </c>
      <c r="M567">
        <v>784.96</v>
      </c>
    </row>
    <row r="568" spans="1:13" x14ac:dyDescent="0.25">
      <c r="A568">
        <v>1566</v>
      </c>
      <c r="B568" t="s">
        <v>614</v>
      </c>
      <c r="C568" t="s">
        <v>20</v>
      </c>
      <c r="D568" t="s">
        <v>21</v>
      </c>
      <c r="E568">
        <v>2</v>
      </c>
      <c r="F568">
        <v>1696.72</v>
      </c>
      <c r="G568">
        <f t="shared" si="16"/>
        <v>3393.44</v>
      </c>
      <c r="I568">
        <f t="shared" si="17"/>
        <v>3393.44</v>
      </c>
      <c r="J568" s="1">
        <v>45516</v>
      </c>
      <c r="K568" t="s">
        <v>18</v>
      </c>
      <c r="L568" t="s">
        <v>23</v>
      </c>
      <c r="M568">
        <v>953.07</v>
      </c>
    </row>
    <row r="569" spans="1:13" x14ac:dyDescent="0.25">
      <c r="A569">
        <v>1567</v>
      </c>
      <c r="B569" t="s">
        <v>615</v>
      </c>
      <c r="C569" t="s">
        <v>28</v>
      </c>
      <c r="D569" t="s">
        <v>29</v>
      </c>
      <c r="E569">
        <v>2</v>
      </c>
      <c r="G569">
        <f t="shared" si="16"/>
        <v>0</v>
      </c>
      <c r="I569">
        <f t="shared" si="17"/>
        <v>0</v>
      </c>
      <c r="K569" t="s">
        <v>2517</v>
      </c>
      <c r="L569" t="s">
        <v>16</v>
      </c>
      <c r="M569">
        <v>2545.25</v>
      </c>
    </row>
    <row r="570" spans="1:13" x14ac:dyDescent="0.25">
      <c r="A570">
        <v>1568</v>
      </c>
      <c r="B570" t="s">
        <v>616</v>
      </c>
      <c r="C570" t="s">
        <v>13</v>
      </c>
      <c r="D570" t="s">
        <v>98</v>
      </c>
      <c r="E570">
        <v>6</v>
      </c>
      <c r="G570">
        <f t="shared" si="16"/>
        <v>0</v>
      </c>
      <c r="I570">
        <f t="shared" si="17"/>
        <v>0</v>
      </c>
      <c r="K570" t="s">
        <v>15</v>
      </c>
      <c r="L570" t="s">
        <v>16</v>
      </c>
      <c r="M570">
        <v>2403.0100000000002</v>
      </c>
    </row>
    <row r="571" spans="1:13" x14ac:dyDescent="0.25">
      <c r="A571">
        <v>1569</v>
      </c>
      <c r="B571" t="s">
        <v>617</v>
      </c>
      <c r="C571" t="s">
        <v>36</v>
      </c>
      <c r="D571" t="s">
        <v>55</v>
      </c>
      <c r="E571">
        <v>1</v>
      </c>
      <c r="G571">
        <f t="shared" si="16"/>
        <v>0</v>
      </c>
      <c r="H571" s="3">
        <v>0.02</v>
      </c>
      <c r="I571">
        <f t="shared" si="17"/>
        <v>0</v>
      </c>
      <c r="J571" s="1">
        <v>45773</v>
      </c>
      <c r="K571" t="s">
        <v>18</v>
      </c>
      <c r="L571" t="s">
        <v>16</v>
      </c>
      <c r="M571">
        <v>576.66</v>
      </c>
    </row>
    <row r="572" spans="1:13" x14ac:dyDescent="0.25">
      <c r="A572">
        <v>1570</v>
      </c>
      <c r="B572" t="s">
        <v>618</v>
      </c>
      <c r="C572" t="s">
        <v>20</v>
      </c>
      <c r="D572" t="s">
        <v>118</v>
      </c>
      <c r="E572">
        <v>1</v>
      </c>
      <c r="F572">
        <v>4774.7700000000004</v>
      </c>
      <c r="G572">
        <f t="shared" si="16"/>
        <v>4774.7700000000004</v>
      </c>
      <c r="H572" s="3">
        <v>0.96</v>
      </c>
      <c r="I572">
        <f t="shared" si="17"/>
        <v>190.99080000000018</v>
      </c>
      <c r="J572" s="1">
        <v>45755</v>
      </c>
      <c r="K572" t="s">
        <v>22</v>
      </c>
      <c r="L572" t="s">
        <v>16</v>
      </c>
      <c r="M572">
        <v>-146.16999999999999</v>
      </c>
    </row>
    <row r="573" spans="1:13" x14ac:dyDescent="0.25">
      <c r="A573">
        <v>1571</v>
      </c>
      <c r="B573" t="s">
        <v>619</v>
      </c>
      <c r="C573" t="s">
        <v>20</v>
      </c>
      <c r="D573" t="s">
        <v>84</v>
      </c>
      <c r="E573">
        <v>3</v>
      </c>
      <c r="F573">
        <v>1308.06</v>
      </c>
      <c r="G573">
        <f t="shared" si="16"/>
        <v>3924.18</v>
      </c>
      <c r="I573">
        <f t="shared" si="17"/>
        <v>3924.18</v>
      </c>
      <c r="K573" t="s">
        <v>44</v>
      </c>
      <c r="L573" t="s">
        <v>16</v>
      </c>
      <c r="M573">
        <v>-246.91</v>
      </c>
    </row>
    <row r="574" spans="1:13" x14ac:dyDescent="0.25">
      <c r="A574">
        <v>1572</v>
      </c>
      <c r="B574" t="s">
        <v>620</v>
      </c>
      <c r="C574" t="s">
        <v>20</v>
      </c>
      <c r="D574" t="s">
        <v>118</v>
      </c>
      <c r="E574">
        <v>4</v>
      </c>
      <c r="G574">
        <f t="shared" si="16"/>
        <v>0</v>
      </c>
      <c r="H574" s="3">
        <v>0.82</v>
      </c>
      <c r="I574">
        <f t="shared" si="17"/>
        <v>0</v>
      </c>
      <c r="J574" s="1">
        <v>45707</v>
      </c>
      <c r="K574" t="s">
        <v>15</v>
      </c>
      <c r="L574" t="s">
        <v>16</v>
      </c>
      <c r="M574">
        <v>534.6</v>
      </c>
    </row>
    <row r="575" spans="1:13" x14ac:dyDescent="0.25">
      <c r="A575">
        <v>1573</v>
      </c>
      <c r="B575" t="s">
        <v>621</v>
      </c>
      <c r="C575" t="s">
        <v>13</v>
      </c>
      <c r="D575" t="s">
        <v>98</v>
      </c>
      <c r="E575">
        <v>2</v>
      </c>
      <c r="F575">
        <v>3972.78</v>
      </c>
      <c r="G575">
        <f t="shared" si="16"/>
        <v>7945.56</v>
      </c>
      <c r="I575">
        <f t="shared" si="17"/>
        <v>7945.56</v>
      </c>
      <c r="J575" s="1">
        <v>45627</v>
      </c>
      <c r="K575" t="s">
        <v>2517</v>
      </c>
      <c r="L575" t="s">
        <v>16</v>
      </c>
      <c r="M575">
        <v>-902.58</v>
      </c>
    </row>
    <row r="576" spans="1:13" x14ac:dyDescent="0.25">
      <c r="A576">
        <v>1574</v>
      </c>
      <c r="B576" t="s">
        <v>622</v>
      </c>
      <c r="C576" t="s">
        <v>28</v>
      </c>
      <c r="D576" t="s">
        <v>29</v>
      </c>
      <c r="E576">
        <v>-1</v>
      </c>
      <c r="G576">
        <f t="shared" si="16"/>
        <v>0</v>
      </c>
      <c r="I576">
        <f t="shared" si="17"/>
        <v>0</v>
      </c>
      <c r="J576" s="1">
        <v>45729</v>
      </c>
      <c r="K576" t="s">
        <v>18</v>
      </c>
      <c r="L576" t="s">
        <v>23</v>
      </c>
      <c r="M576">
        <v>-803.35</v>
      </c>
    </row>
    <row r="577" spans="1:13" x14ac:dyDescent="0.25">
      <c r="A577">
        <v>1575</v>
      </c>
      <c r="B577" t="s">
        <v>623</v>
      </c>
      <c r="C577" t="s">
        <v>31</v>
      </c>
      <c r="D577" t="s">
        <v>78</v>
      </c>
      <c r="E577">
        <v>2</v>
      </c>
      <c r="F577">
        <v>615.07000000000005</v>
      </c>
      <c r="G577">
        <f t="shared" si="16"/>
        <v>1230.1400000000001</v>
      </c>
      <c r="I577">
        <f t="shared" si="17"/>
        <v>1230.1400000000001</v>
      </c>
      <c r="J577" s="1">
        <v>45566</v>
      </c>
      <c r="K577" t="s">
        <v>18</v>
      </c>
      <c r="L577" t="s">
        <v>16</v>
      </c>
      <c r="M577">
        <v>638.16</v>
      </c>
    </row>
    <row r="578" spans="1:13" x14ac:dyDescent="0.25">
      <c r="A578">
        <v>1576</v>
      </c>
      <c r="B578" t="s">
        <v>624</v>
      </c>
      <c r="C578" t="s">
        <v>20</v>
      </c>
      <c r="D578" t="s">
        <v>84</v>
      </c>
      <c r="E578">
        <v>1</v>
      </c>
      <c r="F578">
        <v>1882.14</v>
      </c>
      <c r="G578">
        <f t="shared" si="16"/>
        <v>1882.14</v>
      </c>
      <c r="H578" s="3">
        <v>0.6</v>
      </c>
      <c r="I578">
        <f t="shared" si="17"/>
        <v>752.85600000000011</v>
      </c>
      <c r="J578" s="1">
        <v>45662</v>
      </c>
      <c r="K578" t="s">
        <v>18</v>
      </c>
      <c r="L578" t="s">
        <v>23</v>
      </c>
      <c r="M578">
        <v>2554.79</v>
      </c>
    </row>
    <row r="579" spans="1:13" x14ac:dyDescent="0.25">
      <c r="A579">
        <v>1010</v>
      </c>
      <c r="B579" t="s">
        <v>625</v>
      </c>
      <c r="C579" t="s">
        <v>36</v>
      </c>
      <c r="D579" t="s">
        <v>37</v>
      </c>
      <c r="E579">
        <v>2</v>
      </c>
      <c r="F579">
        <v>3134.69</v>
      </c>
      <c r="G579">
        <f t="shared" ref="G579:G642" si="18">F579*E579</f>
        <v>6269.38</v>
      </c>
      <c r="H579" s="3">
        <v>7.0000000000000007E-2</v>
      </c>
      <c r="I579">
        <f t="shared" ref="I579:I642" si="19">G579*(1-H579)</f>
        <v>5830.5234</v>
      </c>
      <c r="K579" t="s">
        <v>15</v>
      </c>
      <c r="L579" t="s">
        <v>16</v>
      </c>
      <c r="M579">
        <v>555.44000000000005</v>
      </c>
    </row>
    <row r="580" spans="1:13" x14ac:dyDescent="0.25">
      <c r="A580">
        <v>1578</v>
      </c>
      <c r="B580" t="s">
        <v>626</v>
      </c>
      <c r="C580" t="s">
        <v>36</v>
      </c>
      <c r="D580" t="s">
        <v>55</v>
      </c>
      <c r="E580">
        <v>2</v>
      </c>
      <c r="G580">
        <f t="shared" si="18"/>
        <v>0</v>
      </c>
      <c r="I580">
        <f t="shared" si="19"/>
        <v>0</v>
      </c>
      <c r="J580" s="1">
        <v>45499</v>
      </c>
      <c r="K580" t="s">
        <v>38</v>
      </c>
      <c r="L580" t="s">
        <v>16</v>
      </c>
      <c r="M580">
        <v>2604.12</v>
      </c>
    </row>
    <row r="581" spans="1:13" x14ac:dyDescent="0.25">
      <c r="A581">
        <v>1579</v>
      </c>
      <c r="B581" t="s">
        <v>627</v>
      </c>
      <c r="C581" t="s">
        <v>25</v>
      </c>
      <c r="D581" t="s">
        <v>82</v>
      </c>
      <c r="E581">
        <v>3</v>
      </c>
      <c r="G581">
        <f t="shared" si="18"/>
        <v>0</v>
      </c>
      <c r="I581">
        <f t="shared" si="19"/>
        <v>0</v>
      </c>
      <c r="J581" s="1">
        <v>45706</v>
      </c>
      <c r="K581" t="s">
        <v>2517</v>
      </c>
      <c r="L581" t="s">
        <v>23</v>
      </c>
      <c r="M581">
        <v>-155.77000000000001</v>
      </c>
    </row>
    <row r="582" spans="1:13" x14ac:dyDescent="0.25">
      <c r="A582">
        <v>1580</v>
      </c>
      <c r="B582" t="s">
        <v>628</v>
      </c>
      <c r="C582" t="s">
        <v>36</v>
      </c>
      <c r="D582" t="s">
        <v>59</v>
      </c>
      <c r="E582">
        <v>2</v>
      </c>
      <c r="G582">
        <f t="shared" si="18"/>
        <v>0</v>
      </c>
      <c r="I582">
        <f t="shared" si="19"/>
        <v>0</v>
      </c>
      <c r="J582" s="1">
        <v>45830</v>
      </c>
      <c r="K582" t="s">
        <v>2517</v>
      </c>
      <c r="L582" t="s">
        <v>23</v>
      </c>
      <c r="M582">
        <v>-364.57</v>
      </c>
    </row>
    <row r="583" spans="1:13" x14ac:dyDescent="0.25">
      <c r="A583">
        <v>1581</v>
      </c>
      <c r="B583" t="s">
        <v>629</v>
      </c>
      <c r="C583" t="s">
        <v>13</v>
      </c>
      <c r="D583" t="s">
        <v>47</v>
      </c>
      <c r="E583">
        <v>2</v>
      </c>
      <c r="G583">
        <f t="shared" si="18"/>
        <v>0</v>
      </c>
      <c r="I583">
        <f t="shared" si="19"/>
        <v>0</v>
      </c>
      <c r="J583" s="1">
        <v>45834</v>
      </c>
      <c r="K583" t="s">
        <v>15</v>
      </c>
      <c r="L583" t="s">
        <v>16</v>
      </c>
      <c r="M583">
        <v>1109.06</v>
      </c>
    </row>
    <row r="584" spans="1:13" x14ac:dyDescent="0.25">
      <c r="A584">
        <v>1582</v>
      </c>
      <c r="B584" t="s">
        <v>630</v>
      </c>
      <c r="C584" t="s">
        <v>13</v>
      </c>
      <c r="D584" t="s">
        <v>14</v>
      </c>
      <c r="E584">
        <v>1</v>
      </c>
      <c r="F584">
        <v>4809.8999999999996</v>
      </c>
      <c r="G584">
        <f t="shared" si="18"/>
        <v>4809.8999999999996</v>
      </c>
      <c r="H584" s="3">
        <v>0.92</v>
      </c>
      <c r="I584">
        <f t="shared" si="19"/>
        <v>384.7919999999998</v>
      </c>
      <c r="J584" s="1">
        <v>45563</v>
      </c>
      <c r="K584" t="s">
        <v>22</v>
      </c>
      <c r="L584" t="s">
        <v>16</v>
      </c>
      <c r="M584">
        <v>-356.01</v>
      </c>
    </row>
    <row r="585" spans="1:13" x14ac:dyDescent="0.25">
      <c r="A585">
        <v>1583</v>
      </c>
      <c r="B585" t="s">
        <v>631</v>
      </c>
      <c r="C585" t="s">
        <v>36</v>
      </c>
      <c r="D585" t="s">
        <v>37</v>
      </c>
      <c r="E585">
        <v>2</v>
      </c>
      <c r="G585">
        <f t="shared" si="18"/>
        <v>0</v>
      </c>
      <c r="I585">
        <f t="shared" si="19"/>
        <v>0</v>
      </c>
      <c r="J585" s="1">
        <v>45380</v>
      </c>
      <c r="K585" t="s">
        <v>44</v>
      </c>
      <c r="L585" t="s">
        <v>23</v>
      </c>
      <c r="M585">
        <v>829.03</v>
      </c>
    </row>
    <row r="586" spans="1:13" x14ac:dyDescent="0.25">
      <c r="A586">
        <v>1584</v>
      </c>
      <c r="B586" t="s">
        <v>632</v>
      </c>
      <c r="C586" t="s">
        <v>36</v>
      </c>
      <c r="D586" t="s">
        <v>87</v>
      </c>
      <c r="E586">
        <v>5</v>
      </c>
      <c r="G586">
        <f t="shared" si="18"/>
        <v>0</v>
      </c>
      <c r="H586" s="3">
        <v>0.15</v>
      </c>
      <c r="I586">
        <f t="shared" si="19"/>
        <v>0</v>
      </c>
      <c r="J586" s="1">
        <v>45531</v>
      </c>
      <c r="K586" t="s">
        <v>18</v>
      </c>
      <c r="L586" t="s">
        <v>23</v>
      </c>
      <c r="M586">
        <v>2853.8</v>
      </c>
    </row>
    <row r="587" spans="1:13" x14ac:dyDescent="0.25">
      <c r="A587">
        <v>1585</v>
      </c>
      <c r="B587" t="s">
        <v>633</v>
      </c>
      <c r="C587" t="s">
        <v>25</v>
      </c>
      <c r="D587" t="s">
        <v>51</v>
      </c>
      <c r="E587">
        <v>-2</v>
      </c>
      <c r="F587">
        <v>2738.72</v>
      </c>
      <c r="G587">
        <f t="shared" si="18"/>
        <v>-5477.44</v>
      </c>
      <c r="H587" s="3">
        <v>0.89</v>
      </c>
      <c r="I587">
        <f t="shared" si="19"/>
        <v>-602.51839999999993</v>
      </c>
      <c r="J587" s="1">
        <v>45607</v>
      </c>
      <c r="K587" t="s">
        <v>15</v>
      </c>
      <c r="L587" t="s">
        <v>16</v>
      </c>
      <c r="M587">
        <v>-709.13</v>
      </c>
    </row>
    <row r="588" spans="1:13" x14ac:dyDescent="0.25">
      <c r="A588">
        <v>1586</v>
      </c>
      <c r="B588" t="s">
        <v>634</v>
      </c>
      <c r="C588" t="s">
        <v>25</v>
      </c>
      <c r="D588" t="s">
        <v>26</v>
      </c>
      <c r="E588">
        <v>2</v>
      </c>
      <c r="G588">
        <f t="shared" si="18"/>
        <v>0</v>
      </c>
      <c r="H588" s="3">
        <v>0.78</v>
      </c>
      <c r="I588">
        <f t="shared" si="19"/>
        <v>0</v>
      </c>
      <c r="J588" s="1">
        <v>45508</v>
      </c>
      <c r="K588" t="s">
        <v>44</v>
      </c>
      <c r="L588" t="s">
        <v>23</v>
      </c>
      <c r="M588">
        <v>1765.79</v>
      </c>
    </row>
    <row r="589" spans="1:13" x14ac:dyDescent="0.25">
      <c r="A589">
        <v>1587</v>
      </c>
      <c r="B589" t="s">
        <v>635</v>
      </c>
      <c r="C589" t="s">
        <v>25</v>
      </c>
      <c r="D589" t="s">
        <v>26</v>
      </c>
      <c r="E589">
        <v>-1</v>
      </c>
      <c r="G589">
        <f t="shared" si="18"/>
        <v>0</v>
      </c>
      <c r="I589">
        <f t="shared" si="19"/>
        <v>0</v>
      </c>
      <c r="K589" t="s">
        <v>22</v>
      </c>
      <c r="L589" t="s">
        <v>16</v>
      </c>
      <c r="M589">
        <v>1376.9</v>
      </c>
    </row>
    <row r="590" spans="1:13" x14ac:dyDescent="0.25">
      <c r="A590">
        <v>1588</v>
      </c>
      <c r="B590" t="s">
        <v>636</v>
      </c>
      <c r="C590" t="s">
        <v>28</v>
      </c>
      <c r="D590" t="s">
        <v>40</v>
      </c>
      <c r="E590">
        <v>1</v>
      </c>
      <c r="G590">
        <f t="shared" si="18"/>
        <v>0</v>
      </c>
      <c r="I590">
        <f t="shared" si="19"/>
        <v>0</v>
      </c>
      <c r="J590" s="1">
        <v>45780</v>
      </c>
      <c r="K590" t="s">
        <v>15</v>
      </c>
      <c r="L590" t="s">
        <v>23</v>
      </c>
      <c r="M590">
        <v>526.32000000000005</v>
      </c>
    </row>
    <row r="591" spans="1:13" x14ac:dyDescent="0.25">
      <c r="A591">
        <v>1589</v>
      </c>
      <c r="B591" t="s">
        <v>637</v>
      </c>
      <c r="C591" t="s">
        <v>25</v>
      </c>
      <c r="D591" t="s">
        <v>26</v>
      </c>
      <c r="E591">
        <v>2</v>
      </c>
      <c r="F591">
        <v>527.07000000000005</v>
      </c>
      <c r="G591">
        <f t="shared" si="18"/>
        <v>1054.1400000000001</v>
      </c>
      <c r="H591" s="3">
        <v>0.45</v>
      </c>
      <c r="I591">
        <f t="shared" si="19"/>
        <v>579.77700000000016</v>
      </c>
      <c r="K591" t="s">
        <v>22</v>
      </c>
      <c r="L591" t="s">
        <v>16</v>
      </c>
      <c r="M591">
        <v>2617.9899999999998</v>
      </c>
    </row>
    <row r="592" spans="1:13" x14ac:dyDescent="0.25">
      <c r="A592">
        <v>1590</v>
      </c>
      <c r="B592" t="s">
        <v>638</v>
      </c>
      <c r="C592" t="s">
        <v>36</v>
      </c>
      <c r="D592" t="s">
        <v>55</v>
      </c>
      <c r="E592">
        <v>6</v>
      </c>
      <c r="G592">
        <f t="shared" si="18"/>
        <v>0</v>
      </c>
      <c r="H592" s="3">
        <v>0.67</v>
      </c>
      <c r="I592">
        <f t="shared" si="19"/>
        <v>0</v>
      </c>
      <c r="K592" t="s">
        <v>38</v>
      </c>
      <c r="L592" t="s">
        <v>23</v>
      </c>
      <c r="M592">
        <v>-104.43</v>
      </c>
    </row>
    <row r="593" spans="1:13" x14ac:dyDescent="0.25">
      <c r="A593">
        <v>1591</v>
      </c>
      <c r="B593" t="s">
        <v>639</v>
      </c>
      <c r="C593" t="s">
        <v>31</v>
      </c>
      <c r="D593" t="s">
        <v>78</v>
      </c>
      <c r="E593">
        <v>2</v>
      </c>
      <c r="G593">
        <f t="shared" si="18"/>
        <v>0</v>
      </c>
      <c r="I593">
        <f t="shared" si="19"/>
        <v>0</v>
      </c>
      <c r="J593" s="1">
        <v>45808</v>
      </c>
      <c r="K593" t="s">
        <v>22</v>
      </c>
      <c r="L593" t="s">
        <v>16</v>
      </c>
      <c r="M593">
        <v>158.05000000000001</v>
      </c>
    </row>
    <row r="594" spans="1:13" x14ac:dyDescent="0.25">
      <c r="A594">
        <v>1592</v>
      </c>
      <c r="B594" t="s">
        <v>640</v>
      </c>
      <c r="C594" t="s">
        <v>25</v>
      </c>
      <c r="D594" t="s">
        <v>51</v>
      </c>
      <c r="E594">
        <v>5</v>
      </c>
      <c r="G594">
        <f t="shared" si="18"/>
        <v>0</v>
      </c>
      <c r="H594" s="3">
        <v>0.52</v>
      </c>
      <c r="I594">
        <f t="shared" si="19"/>
        <v>0</v>
      </c>
      <c r="J594" s="1">
        <v>45657</v>
      </c>
      <c r="K594" t="s">
        <v>22</v>
      </c>
      <c r="L594" t="s">
        <v>16</v>
      </c>
      <c r="M594">
        <v>619.25</v>
      </c>
    </row>
    <row r="595" spans="1:13" x14ac:dyDescent="0.25">
      <c r="A595">
        <v>1593</v>
      </c>
      <c r="B595" t="s">
        <v>641</v>
      </c>
      <c r="C595" t="s">
        <v>31</v>
      </c>
      <c r="D595" t="s">
        <v>78</v>
      </c>
      <c r="E595">
        <v>2</v>
      </c>
      <c r="G595">
        <f t="shared" si="18"/>
        <v>0</v>
      </c>
      <c r="I595">
        <f t="shared" si="19"/>
        <v>0</v>
      </c>
      <c r="J595" s="1">
        <v>45721</v>
      </c>
      <c r="K595" t="s">
        <v>22</v>
      </c>
      <c r="L595" t="s">
        <v>16</v>
      </c>
      <c r="M595">
        <v>2598.9299999999998</v>
      </c>
    </row>
    <row r="596" spans="1:13" x14ac:dyDescent="0.25">
      <c r="A596">
        <v>1594</v>
      </c>
      <c r="B596" t="s">
        <v>642</v>
      </c>
      <c r="C596" t="s">
        <v>13</v>
      </c>
      <c r="D596" t="s">
        <v>47</v>
      </c>
      <c r="E596">
        <v>2</v>
      </c>
      <c r="F596">
        <v>3784.99</v>
      </c>
      <c r="G596">
        <f t="shared" si="18"/>
        <v>7569.98</v>
      </c>
      <c r="I596">
        <f t="shared" si="19"/>
        <v>7569.98</v>
      </c>
      <c r="K596" t="s">
        <v>38</v>
      </c>
      <c r="L596" t="s">
        <v>16</v>
      </c>
      <c r="M596">
        <v>346.37</v>
      </c>
    </row>
    <row r="597" spans="1:13" x14ac:dyDescent="0.25">
      <c r="A597">
        <v>1595</v>
      </c>
      <c r="B597" t="s">
        <v>643</v>
      </c>
      <c r="C597" t="s">
        <v>36</v>
      </c>
      <c r="D597" t="s">
        <v>87</v>
      </c>
      <c r="E597">
        <v>2</v>
      </c>
      <c r="G597">
        <f t="shared" si="18"/>
        <v>0</v>
      </c>
      <c r="I597">
        <f t="shared" si="19"/>
        <v>0</v>
      </c>
      <c r="J597" s="1">
        <v>45858</v>
      </c>
      <c r="K597" t="s">
        <v>22</v>
      </c>
      <c r="L597" t="s">
        <v>16</v>
      </c>
      <c r="M597">
        <v>1483.7</v>
      </c>
    </row>
    <row r="598" spans="1:13" x14ac:dyDescent="0.25">
      <c r="A598">
        <v>1596</v>
      </c>
      <c r="B598" t="s">
        <v>644</v>
      </c>
      <c r="C598" t="s">
        <v>20</v>
      </c>
      <c r="D598" t="s">
        <v>21</v>
      </c>
      <c r="E598">
        <v>3</v>
      </c>
      <c r="F598">
        <v>738.29</v>
      </c>
      <c r="G598">
        <f t="shared" si="18"/>
        <v>2214.87</v>
      </c>
      <c r="I598">
        <f t="shared" si="19"/>
        <v>2214.87</v>
      </c>
      <c r="J598" s="1">
        <v>45558</v>
      </c>
      <c r="K598" t="s">
        <v>18</v>
      </c>
      <c r="L598" t="s">
        <v>23</v>
      </c>
      <c r="M598">
        <v>-871.38</v>
      </c>
    </row>
    <row r="599" spans="1:13" x14ac:dyDescent="0.25">
      <c r="A599">
        <v>1597</v>
      </c>
      <c r="B599" t="s">
        <v>645</v>
      </c>
      <c r="C599" t="s">
        <v>31</v>
      </c>
      <c r="D599" t="s">
        <v>32</v>
      </c>
      <c r="E599">
        <v>1</v>
      </c>
      <c r="F599">
        <v>657.51</v>
      </c>
      <c r="G599">
        <f t="shared" si="18"/>
        <v>657.51</v>
      </c>
      <c r="H599" s="3">
        <v>0.77</v>
      </c>
      <c r="I599">
        <f t="shared" si="19"/>
        <v>151.22729999999999</v>
      </c>
      <c r="J599" s="1">
        <v>45508</v>
      </c>
      <c r="K599" t="s">
        <v>15</v>
      </c>
      <c r="L599" t="s">
        <v>16</v>
      </c>
      <c r="M599">
        <v>2744.32</v>
      </c>
    </row>
    <row r="600" spans="1:13" x14ac:dyDescent="0.25">
      <c r="A600">
        <v>1598</v>
      </c>
      <c r="B600" t="s">
        <v>646</v>
      </c>
      <c r="C600" t="s">
        <v>20</v>
      </c>
      <c r="D600" t="s">
        <v>84</v>
      </c>
      <c r="E600">
        <v>2</v>
      </c>
      <c r="F600">
        <v>3311.31</v>
      </c>
      <c r="G600">
        <f t="shared" si="18"/>
        <v>6622.62</v>
      </c>
      <c r="I600">
        <f t="shared" si="19"/>
        <v>6622.62</v>
      </c>
      <c r="K600" t="s">
        <v>44</v>
      </c>
      <c r="L600" t="s">
        <v>23</v>
      </c>
      <c r="M600">
        <v>2944.25</v>
      </c>
    </row>
    <row r="601" spans="1:13" x14ac:dyDescent="0.25">
      <c r="A601">
        <v>1599</v>
      </c>
      <c r="B601" t="s">
        <v>647</v>
      </c>
      <c r="C601" t="s">
        <v>20</v>
      </c>
      <c r="D601" t="s">
        <v>76</v>
      </c>
      <c r="E601">
        <v>2</v>
      </c>
      <c r="G601">
        <f t="shared" si="18"/>
        <v>0</v>
      </c>
      <c r="I601">
        <f t="shared" si="19"/>
        <v>0</v>
      </c>
      <c r="J601" s="1">
        <v>45750</v>
      </c>
      <c r="K601" t="s">
        <v>22</v>
      </c>
      <c r="L601" t="s">
        <v>16</v>
      </c>
      <c r="M601">
        <v>790.51</v>
      </c>
    </row>
    <row r="602" spans="1:13" x14ac:dyDescent="0.25">
      <c r="A602">
        <v>1600</v>
      </c>
      <c r="B602" t="s">
        <v>648</v>
      </c>
      <c r="C602" t="s">
        <v>28</v>
      </c>
      <c r="D602" t="s">
        <v>116</v>
      </c>
      <c r="E602">
        <v>2</v>
      </c>
      <c r="G602">
        <f t="shared" si="18"/>
        <v>0</v>
      </c>
      <c r="I602">
        <f t="shared" si="19"/>
        <v>0</v>
      </c>
      <c r="J602" s="1">
        <v>45156</v>
      </c>
      <c r="K602" t="s">
        <v>18</v>
      </c>
      <c r="L602" t="s">
        <v>23</v>
      </c>
      <c r="M602">
        <v>-605.05999999999995</v>
      </c>
    </row>
    <row r="603" spans="1:13" x14ac:dyDescent="0.25">
      <c r="A603">
        <v>1601</v>
      </c>
      <c r="B603" t="s">
        <v>649</v>
      </c>
      <c r="C603" t="s">
        <v>28</v>
      </c>
      <c r="D603" t="s">
        <v>29</v>
      </c>
      <c r="E603">
        <v>2</v>
      </c>
      <c r="G603">
        <f t="shared" si="18"/>
        <v>0</v>
      </c>
      <c r="I603">
        <f t="shared" si="19"/>
        <v>0</v>
      </c>
      <c r="J603" s="1">
        <v>45511</v>
      </c>
      <c r="K603" t="s">
        <v>22</v>
      </c>
      <c r="L603" t="s">
        <v>23</v>
      </c>
      <c r="M603">
        <v>1282.26</v>
      </c>
    </row>
    <row r="604" spans="1:13" x14ac:dyDescent="0.25">
      <c r="A604">
        <v>1602</v>
      </c>
      <c r="B604" t="s">
        <v>650</v>
      </c>
      <c r="C604" t="s">
        <v>36</v>
      </c>
      <c r="D604" t="s">
        <v>59</v>
      </c>
      <c r="E604">
        <v>2</v>
      </c>
      <c r="F604">
        <v>4256.43</v>
      </c>
      <c r="G604">
        <f t="shared" si="18"/>
        <v>8512.86</v>
      </c>
      <c r="I604">
        <f t="shared" si="19"/>
        <v>8512.86</v>
      </c>
      <c r="J604" s="1">
        <v>45804</v>
      </c>
      <c r="K604" t="s">
        <v>38</v>
      </c>
      <c r="L604" t="s">
        <v>16</v>
      </c>
      <c r="M604">
        <v>2472.73</v>
      </c>
    </row>
    <row r="605" spans="1:13" x14ac:dyDescent="0.25">
      <c r="A605">
        <v>1603</v>
      </c>
      <c r="B605" t="s">
        <v>651</v>
      </c>
      <c r="C605" t="s">
        <v>20</v>
      </c>
      <c r="D605" t="s">
        <v>76</v>
      </c>
      <c r="E605">
        <v>2</v>
      </c>
      <c r="G605">
        <f t="shared" si="18"/>
        <v>0</v>
      </c>
      <c r="H605" s="3">
        <v>1.05</v>
      </c>
      <c r="I605">
        <f t="shared" si="19"/>
        <v>0</v>
      </c>
      <c r="K605" t="s">
        <v>18</v>
      </c>
      <c r="L605" t="s">
        <v>16</v>
      </c>
      <c r="M605">
        <v>2700.72</v>
      </c>
    </row>
    <row r="606" spans="1:13" x14ac:dyDescent="0.25">
      <c r="A606">
        <v>1604</v>
      </c>
      <c r="B606" t="s">
        <v>652</v>
      </c>
      <c r="C606" t="s">
        <v>31</v>
      </c>
      <c r="D606" t="s">
        <v>78</v>
      </c>
      <c r="E606">
        <v>2</v>
      </c>
      <c r="G606">
        <f t="shared" si="18"/>
        <v>0</v>
      </c>
      <c r="I606">
        <f t="shared" si="19"/>
        <v>0</v>
      </c>
      <c r="J606" s="1">
        <v>45552</v>
      </c>
      <c r="K606" t="s">
        <v>38</v>
      </c>
      <c r="L606" t="s">
        <v>23</v>
      </c>
      <c r="M606">
        <v>2976.74</v>
      </c>
    </row>
    <row r="607" spans="1:13" x14ac:dyDescent="0.25">
      <c r="A607">
        <v>1605</v>
      </c>
      <c r="B607" t="s">
        <v>653</v>
      </c>
      <c r="C607" t="s">
        <v>28</v>
      </c>
      <c r="D607" t="s">
        <v>116</v>
      </c>
      <c r="E607">
        <v>0</v>
      </c>
      <c r="G607">
        <f t="shared" si="18"/>
        <v>0</v>
      </c>
      <c r="H607" s="3">
        <v>0.47</v>
      </c>
      <c r="I607">
        <f t="shared" si="19"/>
        <v>0</v>
      </c>
      <c r="J607" s="1">
        <v>45661</v>
      </c>
      <c r="K607" t="s">
        <v>2517</v>
      </c>
      <c r="L607" t="s">
        <v>16</v>
      </c>
      <c r="M607">
        <v>-339.59</v>
      </c>
    </row>
    <row r="608" spans="1:13" x14ac:dyDescent="0.25">
      <c r="A608">
        <v>1606</v>
      </c>
      <c r="B608" t="s">
        <v>654</v>
      </c>
      <c r="C608" t="s">
        <v>31</v>
      </c>
      <c r="D608" t="s">
        <v>78</v>
      </c>
      <c r="E608">
        <v>6</v>
      </c>
      <c r="G608">
        <f t="shared" si="18"/>
        <v>0</v>
      </c>
      <c r="I608">
        <f t="shared" si="19"/>
        <v>0</v>
      </c>
      <c r="J608" s="1">
        <v>45694</v>
      </c>
      <c r="K608" t="s">
        <v>15</v>
      </c>
      <c r="L608" t="s">
        <v>16</v>
      </c>
      <c r="M608">
        <v>-527.17999999999995</v>
      </c>
    </row>
    <row r="609" spans="1:13" x14ac:dyDescent="0.25">
      <c r="A609">
        <v>1607</v>
      </c>
      <c r="B609" t="s">
        <v>655</v>
      </c>
      <c r="C609" t="s">
        <v>25</v>
      </c>
      <c r="D609" t="s">
        <v>26</v>
      </c>
      <c r="E609">
        <v>2</v>
      </c>
      <c r="F609">
        <v>4941.2700000000004</v>
      </c>
      <c r="G609">
        <f t="shared" si="18"/>
        <v>9882.5400000000009</v>
      </c>
      <c r="I609">
        <f t="shared" si="19"/>
        <v>9882.5400000000009</v>
      </c>
      <c r="J609" s="1">
        <v>45207</v>
      </c>
      <c r="K609" t="s">
        <v>15</v>
      </c>
      <c r="L609" t="s">
        <v>16</v>
      </c>
      <c r="M609">
        <v>515.05999999999995</v>
      </c>
    </row>
    <row r="610" spans="1:13" x14ac:dyDescent="0.25">
      <c r="A610">
        <v>1608</v>
      </c>
      <c r="B610" t="s">
        <v>656</v>
      </c>
      <c r="C610" t="s">
        <v>25</v>
      </c>
      <c r="D610" t="s">
        <v>62</v>
      </c>
      <c r="E610">
        <v>3</v>
      </c>
      <c r="F610">
        <v>3536.61</v>
      </c>
      <c r="G610">
        <f t="shared" si="18"/>
        <v>10609.83</v>
      </c>
      <c r="H610" s="3">
        <v>0.79</v>
      </c>
      <c r="I610">
        <f t="shared" si="19"/>
        <v>2228.0642999999995</v>
      </c>
      <c r="J610" s="1">
        <v>45708</v>
      </c>
      <c r="K610" t="s">
        <v>22</v>
      </c>
      <c r="L610" t="s">
        <v>16</v>
      </c>
      <c r="M610">
        <v>-55.01</v>
      </c>
    </row>
    <row r="611" spans="1:13" x14ac:dyDescent="0.25">
      <c r="A611">
        <v>1609</v>
      </c>
      <c r="B611" t="s">
        <v>657</v>
      </c>
      <c r="C611" t="s">
        <v>25</v>
      </c>
      <c r="D611" t="s">
        <v>26</v>
      </c>
      <c r="E611">
        <v>4</v>
      </c>
      <c r="G611">
        <f t="shared" si="18"/>
        <v>0</v>
      </c>
      <c r="I611">
        <f t="shared" si="19"/>
        <v>0</v>
      </c>
      <c r="J611" s="1">
        <v>45855</v>
      </c>
      <c r="K611" t="s">
        <v>2517</v>
      </c>
      <c r="L611" t="s">
        <v>16</v>
      </c>
      <c r="M611">
        <v>-939.39</v>
      </c>
    </row>
    <row r="612" spans="1:13" x14ac:dyDescent="0.25">
      <c r="A612">
        <v>1610</v>
      </c>
      <c r="B612" t="s">
        <v>658</v>
      </c>
      <c r="C612" t="s">
        <v>13</v>
      </c>
      <c r="D612" t="s">
        <v>47</v>
      </c>
      <c r="E612">
        <v>5</v>
      </c>
      <c r="G612">
        <f t="shared" si="18"/>
        <v>0</v>
      </c>
      <c r="I612">
        <f t="shared" si="19"/>
        <v>0</v>
      </c>
      <c r="J612" s="1">
        <v>45806</v>
      </c>
      <c r="K612" t="s">
        <v>2517</v>
      </c>
      <c r="L612" t="s">
        <v>23</v>
      </c>
      <c r="M612">
        <v>-361.65</v>
      </c>
    </row>
    <row r="613" spans="1:13" x14ac:dyDescent="0.25">
      <c r="A613">
        <v>1611</v>
      </c>
      <c r="B613" t="s">
        <v>659</v>
      </c>
      <c r="C613" t="s">
        <v>31</v>
      </c>
      <c r="D613" t="s">
        <v>78</v>
      </c>
      <c r="E613">
        <v>2</v>
      </c>
      <c r="G613">
        <f t="shared" si="18"/>
        <v>0</v>
      </c>
      <c r="H613" s="3">
        <v>1.07</v>
      </c>
      <c r="I613">
        <f t="shared" si="19"/>
        <v>0</v>
      </c>
      <c r="J613" s="1">
        <v>45604</v>
      </c>
      <c r="K613" t="s">
        <v>15</v>
      </c>
      <c r="L613" t="s">
        <v>16</v>
      </c>
      <c r="M613">
        <v>-351.41</v>
      </c>
    </row>
    <row r="614" spans="1:13" x14ac:dyDescent="0.25">
      <c r="A614">
        <v>1612</v>
      </c>
      <c r="B614" t="s">
        <v>660</v>
      </c>
      <c r="C614" t="s">
        <v>20</v>
      </c>
      <c r="D614" t="s">
        <v>21</v>
      </c>
      <c r="E614">
        <v>5</v>
      </c>
      <c r="F614">
        <v>1010.24</v>
      </c>
      <c r="G614">
        <f t="shared" si="18"/>
        <v>5051.2</v>
      </c>
      <c r="I614">
        <f t="shared" si="19"/>
        <v>5051.2</v>
      </c>
      <c r="J614" s="1">
        <v>45714</v>
      </c>
      <c r="K614" t="s">
        <v>44</v>
      </c>
      <c r="L614" t="s">
        <v>16</v>
      </c>
      <c r="M614">
        <v>2174.98</v>
      </c>
    </row>
    <row r="615" spans="1:13" x14ac:dyDescent="0.25">
      <c r="A615">
        <v>1613</v>
      </c>
      <c r="B615" t="s">
        <v>661</v>
      </c>
      <c r="C615" t="s">
        <v>28</v>
      </c>
      <c r="D615" t="s">
        <v>116</v>
      </c>
      <c r="E615">
        <v>1</v>
      </c>
      <c r="F615">
        <v>1575.26</v>
      </c>
      <c r="G615">
        <f t="shared" si="18"/>
        <v>1575.26</v>
      </c>
      <c r="I615">
        <f t="shared" si="19"/>
        <v>1575.26</v>
      </c>
      <c r="J615" s="1">
        <v>45665</v>
      </c>
      <c r="K615" t="s">
        <v>15</v>
      </c>
      <c r="L615" t="s">
        <v>16</v>
      </c>
      <c r="M615">
        <v>-641.72</v>
      </c>
    </row>
    <row r="616" spans="1:13" x14ac:dyDescent="0.25">
      <c r="A616">
        <v>1614</v>
      </c>
      <c r="B616" t="s">
        <v>662</v>
      </c>
      <c r="C616" t="s">
        <v>28</v>
      </c>
      <c r="D616" t="s">
        <v>40</v>
      </c>
      <c r="E616">
        <v>-1</v>
      </c>
      <c r="G616">
        <f t="shared" si="18"/>
        <v>0</v>
      </c>
      <c r="I616">
        <f t="shared" si="19"/>
        <v>0</v>
      </c>
      <c r="J616" s="1">
        <v>45764</v>
      </c>
      <c r="K616" t="s">
        <v>22</v>
      </c>
      <c r="L616" t="s">
        <v>16</v>
      </c>
      <c r="M616">
        <v>319.85000000000002</v>
      </c>
    </row>
    <row r="617" spans="1:13" x14ac:dyDescent="0.25">
      <c r="A617">
        <v>1615</v>
      </c>
      <c r="B617" t="s">
        <v>663</v>
      </c>
      <c r="C617" t="s">
        <v>36</v>
      </c>
      <c r="D617" t="s">
        <v>37</v>
      </c>
      <c r="E617">
        <v>6</v>
      </c>
      <c r="F617">
        <v>4962.7</v>
      </c>
      <c r="G617">
        <f t="shared" si="18"/>
        <v>29776.199999999997</v>
      </c>
      <c r="H617" s="3">
        <v>0.02</v>
      </c>
      <c r="I617">
        <f t="shared" si="19"/>
        <v>29180.675999999996</v>
      </c>
      <c r="J617" s="1">
        <v>45142</v>
      </c>
      <c r="K617" t="s">
        <v>2517</v>
      </c>
      <c r="L617" t="s">
        <v>16</v>
      </c>
      <c r="M617">
        <v>61.6</v>
      </c>
    </row>
    <row r="618" spans="1:13" x14ac:dyDescent="0.25">
      <c r="A618">
        <v>1616</v>
      </c>
      <c r="B618" t="s">
        <v>664</v>
      </c>
      <c r="C618" t="s">
        <v>25</v>
      </c>
      <c r="D618" t="s">
        <v>26</v>
      </c>
      <c r="E618">
        <v>2</v>
      </c>
      <c r="F618">
        <v>4443.82</v>
      </c>
      <c r="G618">
        <f t="shared" si="18"/>
        <v>8887.64</v>
      </c>
      <c r="I618">
        <f t="shared" si="19"/>
        <v>8887.64</v>
      </c>
      <c r="J618" s="1">
        <v>45212</v>
      </c>
      <c r="K618" t="s">
        <v>38</v>
      </c>
      <c r="L618" t="s">
        <v>16</v>
      </c>
      <c r="M618">
        <v>1611.45</v>
      </c>
    </row>
    <row r="619" spans="1:13" x14ac:dyDescent="0.25">
      <c r="A619">
        <v>1617</v>
      </c>
      <c r="B619" t="s">
        <v>665</v>
      </c>
      <c r="C619" t="s">
        <v>13</v>
      </c>
      <c r="D619" t="s">
        <v>34</v>
      </c>
      <c r="E619">
        <v>2</v>
      </c>
      <c r="F619">
        <v>1144.47</v>
      </c>
      <c r="G619">
        <f t="shared" si="18"/>
        <v>2288.94</v>
      </c>
      <c r="I619">
        <f t="shared" si="19"/>
        <v>2288.94</v>
      </c>
      <c r="J619" s="1">
        <v>45361</v>
      </c>
      <c r="K619" t="s">
        <v>44</v>
      </c>
      <c r="L619" t="s">
        <v>16</v>
      </c>
      <c r="M619">
        <v>-863.76</v>
      </c>
    </row>
    <row r="620" spans="1:13" x14ac:dyDescent="0.25">
      <c r="A620">
        <v>1618</v>
      </c>
      <c r="B620" t="s">
        <v>666</v>
      </c>
      <c r="C620" t="s">
        <v>36</v>
      </c>
      <c r="D620" t="s">
        <v>59</v>
      </c>
      <c r="E620">
        <v>2</v>
      </c>
      <c r="G620">
        <f t="shared" si="18"/>
        <v>0</v>
      </c>
      <c r="H620" s="3">
        <v>0.85</v>
      </c>
      <c r="I620">
        <f t="shared" si="19"/>
        <v>0</v>
      </c>
      <c r="J620" s="1">
        <v>45162</v>
      </c>
      <c r="K620" t="s">
        <v>22</v>
      </c>
      <c r="L620" t="s">
        <v>23</v>
      </c>
      <c r="M620">
        <v>2113.08</v>
      </c>
    </row>
    <row r="621" spans="1:13" x14ac:dyDescent="0.25">
      <c r="A621">
        <v>1619</v>
      </c>
      <c r="B621" t="s">
        <v>667</v>
      </c>
      <c r="C621" t="s">
        <v>13</v>
      </c>
      <c r="D621" t="s">
        <v>47</v>
      </c>
      <c r="E621">
        <v>2</v>
      </c>
      <c r="F621">
        <v>1470.99</v>
      </c>
      <c r="G621">
        <f t="shared" si="18"/>
        <v>2941.98</v>
      </c>
      <c r="H621" s="3">
        <v>0.7</v>
      </c>
      <c r="I621">
        <f t="shared" si="19"/>
        <v>882.59400000000016</v>
      </c>
      <c r="J621" s="1">
        <v>45640</v>
      </c>
      <c r="K621" t="s">
        <v>38</v>
      </c>
      <c r="L621" t="s">
        <v>23</v>
      </c>
      <c r="M621">
        <v>-668.13</v>
      </c>
    </row>
    <row r="622" spans="1:13" x14ac:dyDescent="0.25">
      <c r="A622">
        <v>1620</v>
      </c>
      <c r="B622" t="s">
        <v>668</v>
      </c>
      <c r="C622" t="s">
        <v>36</v>
      </c>
      <c r="D622" t="s">
        <v>55</v>
      </c>
      <c r="E622">
        <v>6</v>
      </c>
      <c r="G622">
        <f t="shared" si="18"/>
        <v>0</v>
      </c>
      <c r="H622" s="3">
        <v>1.17</v>
      </c>
      <c r="I622">
        <f t="shared" si="19"/>
        <v>0</v>
      </c>
      <c r="J622" s="1">
        <v>45551</v>
      </c>
      <c r="K622" t="s">
        <v>15</v>
      </c>
      <c r="L622" t="s">
        <v>16</v>
      </c>
      <c r="M622">
        <v>1796.21</v>
      </c>
    </row>
    <row r="623" spans="1:13" x14ac:dyDescent="0.25">
      <c r="A623">
        <v>1621</v>
      </c>
      <c r="B623" t="s">
        <v>669</v>
      </c>
      <c r="C623" t="s">
        <v>31</v>
      </c>
      <c r="D623" t="s">
        <v>68</v>
      </c>
      <c r="E623">
        <v>6</v>
      </c>
      <c r="F623">
        <v>639.66999999999996</v>
      </c>
      <c r="G623">
        <f t="shared" si="18"/>
        <v>3838.0199999999995</v>
      </c>
      <c r="I623">
        <f t="shared" si="19"/>
        <v>3838.0199999999995</v>
      </c>
      <c r="J623" s="1">
        <v>45563</v>
      </c>
      <c r="K623" t="s">
        <v>2517</v>
      </c>
      <c r="L623" t="s">
        <v>23</v>
      </c>
      <c r="M623">
        <v>1599.1</v>
      </c>
    </row>
    <row r="624" spans="1:13" x14ac:dyDescent="0.25">
      <c r="A624">
        <v>1622</v>
      </c>
      <c r="B624" t="s">
        <v>670</v>
      </c>
      <c r="C624" t="s">
        <v>25</v>
      </c>
      <c r="D624" t="s">
        <v>62</v>
      </c>
      <c r="E624">
        <v>1</v>
      </c>
      <c r="G624">
        <f t="shared" si="18"/>
        <v>0</v>
      </c>
      <c r="I624">
        <f t="shared" si="19"/>
        <v>0</v>
      </c>
      <c r="K624" t="s">
        <v>38</v>
      </c>
      <c r="L624" t="s">
        <v>16</v>
      </c>
      <c r="M624">
        <v>-880.92</v>
      </c>
    </row>
    <row r="625" spans="1:13" x14ac:dyDescent="0.25">
      <c r="A625">
        <v>1033</v>
      </c>
      <c r="B625" t="s">
        <v>671</v>
      </c>
      <c r="C625" t="s">
        <v>31</v>
      </c>
      <c r="D625" t="s">
        <v>68</v>
      </c>
      <c r="E625">
        <v>2</v>
      </c>
      <c r="F625">
        <v>3369.55</v>
      </c>
      <c r="G625">
        <f t="shared" si="18"/>
        <v>6739.1</v>
      </c>
      <c r="I625">
        <f t="shared" si="19"/>
        <v>6739.1</v>
      </c>
      <c r="J625" s="1">
        <v>45664</v>
      </c>
      <c r="K625" t="s">
        <v>44</v>
      </c>
      <c r="L625" t="s">
        <v>16</v>
      </c>
      <c r="M625">
        <v>1927.24</v>
      </c>
    </row>
    <row r="626" spans="1:13" x14ac:dyDescent="0.25">
      <c r="A626">
        <v>1624</v>
      </c>
      <c r="B626" t="s">
        <v>672</v>
      </c>
      <c r="C626" t="s">
        <v>13</v>
      </c>
      <c r="D626" t="s">
        <v>14</v>
      </c>
      <c r="E626">
        <v>5</v>
      </c>
      <c r="F626">
        <v>977.2</v>
      </c>
      <c r="G626">
        <f t="shared" si="18"/>
        <v>4886</v>
      </c>
      <c r="I626">
        <f t="shared" si="19"/>
        <v>4886</v>
      </c>
      <c r="K626" t="s">
        <v>44</v>
      </c>
      <c r="L626" t="s">
        <v>23</v>
      </c>
      <c r="M626">
        <v>1003.06</v>
      </c>
    </row>
    <row r="627" spans="1:13" x14ac:dyDescent="0.25">
      <c r="A627">
        <v>1625</v>
      </c>
      <c r="B627" t="s">
        <v>673</v>
      </c>
      <c r="C627" t="s">
        <v>28</v>
      </c>
      <c r="D627" t="s">
        <v>116</v>
      </c>
      <c r="E627">
        <v>0</v>
      </c>
      <c r="F627">
        <v>735.97</v>
      </c>
      <c r="G627">
        <f t="shared" si="18"/>
        <v>0</v>
      </c>
      <c r="H627" s="3">
        <v>0.26</v>
      </c>
      <c r="I627">
        <f t="shared" si="19"/>
        <v>0</v>
      </c>
      <c r="J627" s="1">
        <v>45651</v>
      </c>
      <c r="K627" t="s">
        <v>15</v>
      </c>
      <c r="L627" t="s">
        <v>16</v>
      </c>
      <c r="M627">
        <v>1690.22</v>
      </c>
    </row>
    <row r="628" spans="1:13" x14ac:dyDescent="0.25">
      <c r="A628">
        <v>1626</v>
      </c>
      <c r="B628" t="s">
        <v>674</v>
      </c>
      <c r="C628" t="s">
        <v>36</v>
      </c>
      <c r="D628" t="s">
        <v>55</v>
      </c>
      <c r="E628">
        <v>2</v>
      </c>
      <c r="F628">
        <v>4695.1499999999996</v>
      </c>
      <c r="G628">
        <f t="shared" si="18"/>
        <v>9390.2999999999993</v>
      </c>
      <c r="I628">
        <f t="shared" si="19"/>
        <v>9390.2999999999993</v>
      </c>
      <c r="K628" t="s">
        <v>44</v>
      </c>
      <c r="L628" t="s">
        <v>16</v>
      </c>
      <c r="M628">
        <v>1584.44</v>
      </c>
    </row>
    <row r="629" spans="1:13" x14ac:dyDescent="0.25">
      <c r="A629">
        <v>1004</v>
      </c>
      <c r="B629" t="s">
        <v>675</v>
      </c>
      <c r="C629" t="s">
        <v>13</v>
      </c>
      <c r="D629" t="s">
        <v>98</v>
      </c>
      <c r="E629">
        <v>6</v>
      </c>
      <c r="F629">
        <v>987.35</v>
      </c>
      <c r="G629">
        <f t="shared" si="18"/>
        <v>5924.1</v>
      </c>
      <c r="I629">
        <f t="shared" si="19"/>
        <v>5924.1</v>
      </c>
      <c r="J629" s="1">
        <v>45692</v>
      </c>
      <c r="K629" t="s">
        <v>22</v>
      </c>
      <c r="L629" t="s">
        <v>23</v>
      </c>
      <c r="M629">
        <v>-108.36</v>
      </c>
    </row>
    <row r="630" spans="1:13" x14ac:dyDescent="0.25">
      <c r="A630">
        <v>1628</v>
      </c>
      <c r="B630" t="s">
        <v>676</v>
      </c>
      <c r="C630" t="s">
        <v>36</v>
      </c>
      <c r="D630" t="s">
        <v>87</v>
      </c>
      <c r="E630">
        <v>1</v>
      </c>
      <c r="F630">
        <v>3345.58</v>
      </c>
      <c r="G630">
        <f t="shared" si="18"/>
        <v>3345.58</v>
      </c>
      <c r="H630" s="3">
        <v>0.26</v>
      </c>
      <c r="I630">
        <f t="shared" si="19"/>
        <v>2475.7291999999998</v>
      </c>
      <c r="J630" s="1">
        <v>45397</v>
      </c>
      <c r="K630" t="s">
        <v>2517</v>
      </c>
      <c r="L630" t="s">
        <v>16</v>
      </c>
      <c r="M630">
        <v>2274.54</v>
      </c>
    </row>
    <row r="631" spans="1:13" x14ac:dyDescent="0.25">
      <c r="A631">
        <v>1629</v>
      </c>
      <c r="B631" t="s">
        <v>677</v>
      </c>
      <c r="C631" t="s">
        <v>25</v>
      </c>
      <c r="D631" t="s">
        <v>82</v>
      </c>
      <c r="E631">
        <v>2</v>
      </c>
      <c r="F631">
        <v>829.14</v>
      </c>
      <c r="G631">
        <f t="shared" si="18"/>
        <v>1658.28</v>
      </c>
      <c r="I631">
        <f t="shared" si="19"/>
        <v>1658.28</v>
      </c>
      <c r="K631" t="s">
        <v>18</v>
      </c>
      <c r="L631" t="s">
        <v>16</v>
      </c>
      <c r="M631">
        <v>2172.06</v>
      </c>
    </row>
    <row r="632" spans="1:13" x14ac:dyDescent="0.25">
      <c r="A632">
        <v>1630</v>
      </c>
      <c r="B632" t="s">
        <v>678</v>
      </c>
      <c r="C632" t="s">
        <v>13</v>
      </c>
      <c r="D632" t="s">
        <v>98</v>
      </c>
      <c r="E632">
        <v>2</v>
      </c>
      <c r="F632">
        <v>2393.14</v>
      </c>
      <c r="G632">
        <f t="shared" si="18"/>
        <v>4786.28</v>
      </c>
      <c r="H632" s="3">
        <v>1</v>
      </c>
      <c r="I632">
        <f t="shared" si="19"/>
        <v>0</v>
      </c>
      <c r="J632" s="1">
        <v>45178</v>
      </c>
      <c r="K632" t="s">
        <v>38</v>
      </c>
      <c r="L632" t="s">
        <v>16</v>
      </c>
      <c r="M632">
        <v>715.08</v>
      </c>
    </row>
    <row r="633" spans="1:13" x14ac:dyDescent="0.25">
      <c r="A633">
        <v>1631</v>
      </c>
      <c r="B633" t="s">
        <v>679</v>
      </c>
      <c r="C633" t="s">
        <v>36</v>
      </c>
      <c r="D633" t="s">
        <v>37</v>
      </c>
      <c r="E633">
        <v>2</v>
      </c>
      <c r="G633">
        <f t="shared" si="18"/>
        <v>0</v>
      </c>
      <c r="I633">
        <f t="shared" si="19"/>
        <v>0</v>
      </c>
      <c r="J633" s="1">
        <v>45821</v>
      </c>
      <c r="K633" t="s">
        <v>2517</v>
      </c>
      <c r="L633" t="s">
        <v>16</v>
      </c>
      <c r="M633">
        <v>186.7</v>
      </c>
    </row>
    <row r="634" spans="1:13" x14ac:dyDescent="0.25">
      <c r="A634">
        <v>1632</v>
      </c>
      <c r="B634" t="s">
        <v>680</v>
      </c>
      <c r="C634" t="s">
        <v>20</v>
      </c>
      <c r="D634" t="s">
        <v>76</v>
      </c>
      <c r="E634">
        <v>2</v>
      </c>
      <c r="F634">
        <v>2618.69</v>
      </c>
      <c r="G634">
        <f t="shared" si="18"/>
        <v>5237.38</v>
      </c>
      <c r="H634" s="3">
        <v>0.11</v>
      </c>
      <c r="I634">
        <f t="shared" si="19"/>
        <v>4661.2682000000004</v>
      </c>
      <c r="J634" s="1">
        <v>45621</v>
      </c>
      <c r="K634" t="s">
        <v>44</v>
      </c>
      <c r="L634" t="s">
        <v>16</v>
      </c>
      <c r="M634">
        <v>130.88999999999999</v>
      </c>
    </row>
    <row r="635" spans="1:13" x14ac:dyDescent="0.25">
      <c r="A635">
        <v>1633</v>
      </c>
      <c r="B635" t="s">
        <v>681</v>
      </c>
      <c r="C635" t="s">
        <v>20</v>
      </c>
      <c r="D635" t="s">
        <v>76</v>
      </c>
      <c r="E635">
        <v>2</v>
      </c>
      <c r="F635">
        <v>4599.41</v>
      </c>
      <c r="G635">
        <f t="shared" si="18"/>
        <v>9198.82</v>
      </c>
      <c r="I635">
        <f t="shared" si="19"/>
        <v>9198.82</v>
      </c>
      <c r="J635" s="1">
        <v>45651</v>
      </c>
      <c r="K635" t="s">
        <v>15</v>
      </c>
      <c r="L635" t="s">
        <v>23</v>
      </c>
      <c r="M635">
        <v>182.46</v>
      </c>
    </row>
    <row r="636" spans="1:13" x14ac:dyDescent="0.25">
      <c r="A636">
        <v>1634</v>
      </c>
      <c r="B636" t="s">
        <v>682</v>
      </c>
      <c r="C636" t="s">
        <v>20</v>
      </c>
      <c r="D636" t="s">
        <v>21</v>
      </c>
      <c r="E636">
        <v>2</v>
      </c>
      <c r="G636">
        <f t="shared" si="18"/>
        <v>0</v>
      </c>
      <c r="I636">
        <f t="shared" si="19"/>
        <v>0</v>
      </c>
      <c r="J636" s="1">
        <v>45748</v>
      </c>
      <c r="K636" t="s">
        <v>18</v>
      </c>
      <c r="L636" t="s">
        <v>23</v>
      </c>
      <c r="M636">
        <v>108.15</v>
      </c>
    </row>
    <row r="637" spans="1:13" x14ac:dyDescent="0.25">
      <c r="A637">
        <v>1635</v>
      </c>
      <c r="B637" t="s">
        <v>683</v>
      </c>
      <c r="C637" t="s">
        <v>28</v>
      </c>
      <c r="D637" t="s">
        <v>137</v>
      </c>
      <c r="E637">
        <v>2</v>
      </c>
      <c r="G637">
        <f t="shared" si="18"/>
        <v>0</v>
      </c>
      <c r="I637">
        <f t="shared" si="19"/>
        <v>0</v>
      </c>
      <c r="J637" s="1">
        <v>45520</v>
      </c>
      <c r="K637" t="s">
        <v>15</v>
      </c>
      <c r="L637" t="s">
        <v>16</v>
      </c>
      <c r="M637">
        <v>857.97</v>
      </c>
    </row>
    <row r="638" spans="1:13" x14ac:dyDescent="0.25">
      <c r="A638">
        <v>1636</v>
      </c>
      <c r="B638" t="s">
        <v>684</v>
      </c>
      <c r="C638" t="s">
        <v>20</v>
      </c>
      <c r="D638" t="s">
        <v>84</v>
      </c>
      <c r="E638">
        <v>-2</v>
      </c>
      <c r="G638">
        <f t="shared" si="18"/>
        <v>0</v>
      </c>
      <c r="I638">
        <f t="shared" si="19"/>
        <v>0</v>
      </c>
      <c r="J638" s="1">
        <v>45817</v>
      </c>
      <c r="K638" t="s">
        <v>44</v>
      </c>
      <c r="L638" t="s">
        <v>16</v>
      </c>
      <c r="M638">
        <v>2569.59</v>
      </c>
    </row>
    <row r="639" spans="1:13" x14ac:dyDescent="0.25">
      <c r="A639">
        <v>1637</v>
      </c>
      <c r="B639" t="s">
        <v>685</v>
      </c>
      <c r="C639" t="s">
        <v>25</v>
      </c>
      <c r="D639" t="s">
        <v>62</v>
      </c>
      <c r="E639">
        <v>2</v>
      </c>
      <c r="F639">
        <v>2644.73</v>
      </c>
      <c r="G639">
        <f t="shared" si="18"/>
        <v>5289.46</v>
      </c>
      <c r="I639">
        <f t="shared" si="19"/>
        <v>5289.46</v>
      </c>
      <c r="K639" t="s">
        <v>15</v>
      </c>
      <c r="L639" t="s">
        <v>23</v>
      </c>
      <c r="M639">
        <v>1402.25</v>
      </c>
    </row>
    <row r="640" spans="1:13" x14ac:dyDescent="0.25">
      <c r="A640">
        <v>1638</v>
      </c>
      <c r="B640" t="s">
        <v>555</v>
      </c>
      <c r="C640" t="s">
        <v>13</v>
      </c>
      <c r="D640" t="s">
        <v>34</v>
      </c>
      <c r="E640">
        <v>2</v>
      </c>
      <c r="G640">
        <f t="shared" si="18"/>
        <v>0</v>
      </c>
      <c r="H640" s="3">
        <v>0.54</v>
      </c>
      <c r="I640">
        <f t="shared" si="19"/>
        <v>0</v>
      </c>
      <c r="J640" s="1">
        <v>45758</v>
      </c>
      <c r="K640" t="s">
        <v>22</v>
      </c>
      <c r="L640" t="s">
        <v>16</v>
      </c>
      <c r="M640">
        <v>2346.2199999999998</v>
      </c>
    </row>
    <row r="641" spans="1:13" x14ac:dyDescent="0.25">
      <c r="A641">
        <v>1639</v>
      </c>
      <c r="B641" t="s">
        <v>686</v>
      </c>
      <c r="C641" t="s">
        <v>13</v>
      </c>
      <c r="D641" t="s">
        <v>34</v>
      </c>
      <c r="E641">
        <v>2</v>
      </c>
      <c r="F641">
        <v>4183.22</v>
      </c>
      <c r="G641">
        <f t="shared" si="18"/>
        <v>8366.44</v>
      </c>
      <c r="I641">
        <f t="shared" si="19"/>
        <v>8366.44</v>
      </c>
      <c r="J641" s="1">
        <v>45840</v>
      </c>
      <c r="K641" t="s">
        <v>38</v>
      </c>
      <c r="L641" t="s">
        <v>16</v>
      </c>
      <c r="M641">
        <v>532.80999999999995</v>
      </c>
    </row>
    <row r="642" spans="1:13" x14ac:dyDescent="0.25">
      <c r="A642">
        <v>1640</v>
      </c>
      <c r="B642" t="s">
        <v>687</v>
      </c>
      <c r="C642" t="s">
        <v>28</v>
      </c>
      <c r="D642" t="s">
        <v>29</v>
      </c>
      <c r="E642">
        <v>2</v>
      </c>
      <c r="G642">
        <f t="shared" si="18"/>
        <v>0</v>
      </c>
      <c r="I642">
        <f t="shared" si="19"/>
        <v>0</v>
      </c>
      <c r="J642" s="1">
        <v>45629</v>
      </c>
      <c r="K642" t="s">
        <v>44</v>
      </c>
      <c r="L642" t="s">
        <v>16</v>
      </c>
      <c r="M642">
        <v>1823.75</v>
      </c>
    </row>
    <row r="643" spans="1:13" x14ac:dyDescent="0.25">
      <c r="A643">
        <v>1641</v>
      </c>
      <c r="B643" t="s">
        <v>688</v>
      </c>
      <c r="C643" t="s">
        <v>28</v>
      </c>
      <c r="D643" t="s">
        <v>137</v>
      </c>
      <c r="E643">
        <v>2</v>
      </c>
      <c r="F643">
        <v>1278.98</v>
      </c>
      <c r="G643">
        <f t="shared" ref="G643:G706" si="20">F643*E643</f>
        <v>2557.96</v>
      </c>
      <c r="H643" s="3">
        <v>0.54</v>
      </c>
      <c r="I643">
        <f t="shared" ref="I643:I706" si="21">G643*(1-H643)</f>
        <v>1176.6615999999999</v>
      </c>
      <c r="J643" s="1">
        <v>45830</v>
      </c>
      <c r="K643" t="s">
        <v>18</v>
      </c>
      <c r="L643" t="s">
        <v>16</v>
      </c>
      <c r="M643">
        <v>34.99</v>
      </c>
    </row>
    <row r="644" spans="1:13" x14ac:dyDescent="0.25">
      <c r="A644">
        <v>1642</v>
      </c>
      <c r="B644" t="s">
        <v>689</v>
      </c>
      <c r="C644" t="s">
        <v>20</v>
      </c>
      <c r="D644" t="s">
        <v>84</v>
      </c>
      <c r="E644">
        <v>3</v>
      </c>
      <c r="G644">
        <f t="shared" si="20"/>
        <v>0</v>
      </c>
      <c r="I644">
        <f t="shared" si="21"/>
        <v>0</v>
      </c>
      <c r="J644" s="1">
        <v>45545</v>
      </c>
      <c r="K644" t="s">
        <v>2517</v>
      </c>
      <c r="L644" t="s">
        <v>16</v>
      </c>
      <c r="M644">
        <v>2906.72</v>
      </c>
    </row>
    <row r="645" spans="1:13" x14ac:dyDescent="0.25">
      <c r="A645">
        <v>1643</v>
      </c>
      <c r="B645" t="s">
        <v>690</v>
      </c>
      <c r="C645" t="s">
        <v>25</v>
      </c>
      <c r="D645" t="s">
        <v>82</v>
      </c>
      <c r="E645">
        <v>-1</v>
      </c>
      <c r="G645">
        <f t="shared" si="20"/>
        <v>0</v>
      </c>
      <c r="H645" s="3">
        <v>0.35</v>
      </c>
      <c r="I645">
        <f t="shared" si="21"/>
        <v>0</v>
      </c>
      <c r="J645" s="1">
        <v>45559</v>
      </c>
      <c r="K645" t="s">
        <v>38</v>
      </c>
      <c r="L645" t="s">
        <v>23</v>
      </c>
      <c r="M645">
        <v>2589.4299999999998</v>
      </c>
    </row>
    <row r="646" spans="1:13" x14ac:dyDescent="0.25">
      <c r="A646">
        <v>1644</v>
      </c>
      <c r="B646" t="s">
        <v>691</v>
      </c>
      <c r="C646" t="s">
        <v>36</v>
      </c>
      <c r="D646" t="s">
        <v>59</v>
      </c>
      <c r="E646">
        <v>2</v>
      </c>
      <c r="G646">
        <f t="shared" si="20"/>
        <v>0</v>
      </c>
      <c r="I646">
        <f t="shared" si="21"/>
        <v>0</v>
      </c>
      <c r="K646" t="s">
        <v>2517</v>
      </c>
      <c r="L646" t="s">
        <v>16</v>
      </c>
      <c r="M646">
        <v>1343.06</v>
      </c>
    </row>
    <row r="647" spans="1:13" x14ac:dyDescent="0.25">
      <c r="A647">
        <v>1645</v>
      </c>
      <c r="B647" t="s">
        <v>692</v>
      </c>
      <c r="C647" t="s">
        <v>31</v>
      </c>
      <c r="D647" t="s">
        <v>68</v>
      </c>
      <c r="E647">
        <v>-2</v>
      </c>
      <c r="F647">
        <v>2660.45</v>
      </c>
      <c r="G647">
        <f t="shared" si="20"/>
        <v>-5320.9</v>
      </c>
      <c r="H647" s="3">
        <v>0.22</v>
      </c>
      <c r="I647">
        <f t="shared" si="21"/>
        <v>-4150.3019999999997</v>
      </c>
      <c r="J647" s="1">
        <v>45207</v>
      </c>
      <c r="K647" t="s">
        <v>38</v>
      </c>
      <c r="L647" t="s">
        <v>23</v>
      </c>
      <c r="M647">
        <v>-825.82</v>
      </c>
    </row>
    <row r="648" spans="1:13" x14ac:dyDescent="0.25">
      <c r="A648">
        <v>1646</v>
      </c>
      <c r="B648" t="s">
        <v>693</v>
      </c>
      <c r="C648" t="s">
        <v>13</v>
      </c>
      <c r="D648" t="s">
        <v>98</v>
      </c>
      <c r="E648">
        <v>0</v>
      </c>
      <c r="F648">
        <v>3393.47</v>
      </c>
      <c r="G648">
        <f t="shared" si="20"/>
        <v>0</v>
      </c>
      <c r="H648" s="3">
        <v>0.38</v>
      </c>
      <c r="I648">
        <f t="shared" si="21"/>
        <v>0</v>
      </c>
      <c r="J648" s="1">
        <v>45695</v>
      </c>
      <c r="K648" t="s">
        <v>18</v>
      </c>
      <c r="L648" t="s">
        <v>16</v>
      </c>
      <c r="M648">
        <v>925.07</v>
      </c>
    </row>
    <row r="649" spans="1:13" x14ac:dyDescent="0.25">
      <c r="A649">
        <v>1647</v>
      </c>
      <c r="B649" t="s">
        <v>694</v>
      </c>
      <c r="C649" t="s">
        <v>25</v>
      </c>
      <c r="D649" t="s">
        <v>82</v>
      </c>
      <c r="E649">
        <v>2</v>
      </c>
      <c r="F649">
        <v>498.95</v>
      </c>
      <c r="G649">
        <f t="shared" si="20"/>
        <v>997.9</v>
      </c>
      <c r="H649" s="3">
        <v>1.19</v>
      </c>
      <c r="I649">
        <f t="shared" si="21"/>
        <v>-189.60099999999994</v>
      </c>
      <c r="J649" s="1">
        <v>45837</v>
      </c>
      <c r="K649" t="s">
        <v>22</v>
      </c>
      <c r="L649" t="s">
        <v>16</v>
      </c>
      <c r="M649">
        <v>-433.87</v>
      </c>
    </row>
    <row r="650" spans="1:13" x14ac:dyDescent="0.25">
      <c r="A650">
        <v>1648</v>
      </c>
      <c r="B650" t="s">
        <v>695</v>
      </c>
      <c r="C650" t="s">
        <v>20</v>
      </c>
      <c r="D650" t="s">
        <v>76</v>
      </c>
      <c r="E650">
        <v>2</v>
      </c>
      <c r="G650">
        <f t="shared" si="20"/>
        <v>0</v>
      </c>
      <c r="I650">
        <f t="shared" si="21"/>
        <v>0</v>
      </c>
      <c r="J650" s="1">
        <v>45746</v>
      </c>
      <c r="K650" t="s">
        <v>22</v>
      </c>
      <c r="L650" t="s">
        <v>23</v>
      </c>
      <c r="M650">
        <v>-952.5</v>
      </c>
    </row>
    <row r="651" spans="1:13" x14ac:dyDescent="0.25">
      <c r="A651">
        <v>1649</v>
      </c>
      <c r="B651" t="s">
        <v>696</v>
      </c>
      <c r="C651" t="s">
        <v>25</v>
      </c>
      <c r="D651" t="s">
        <v>82</v>
      </c>
      <c r="E651">
        <v>2</v>
      </c>
      <c r="G651">
        <f t="shared" si="20"/>
        <v>0</v>
      </c>
      <c r="H651" s="3">
        <v>0.06</v>
      </c>
      <c r="I651">
        <f t="shared" si="21"/>
        <v>0</v>
      </c>
      <c r="J651" s="1">
        <v>45666</v>
      </c>
      <c r="K651" t="s">
        <v>2517</v>
      </c>
      <c r="L651" t="s">
        <v>23</v>
      </c>
      <c r="M651">
        <v>-640.58000000000004</v>
      </c>
    </row>
    <row r="652" spans="1:13" x14ac:dyDescent="0.25">
      <c r="A652">
        <v>1650</v>
      </c>
      <c r="B652" t="s">
        <v>697</v>
      </c>
      <c r="C652" t="s">
        <v>36</v>
      </c>
      <c r="D652" t="s">
        <v>59</v>
      </c>
      <c r="E652">
        <v>2</v>
      </c>
      <c r="G652">
        <f t="shared" si="20"/>
        <v>0</v>
      </c>
      <c r="H652" s="3">
        <v>0.96</v>
      </c>
      <c r="I652">
        <f t="shared" si="21"/>
        <v>0</v>
      </c>
      <c r="J652" s="1">
        <v>45617</v>
      </c>
      <c r="K652" t="s">
        <v>22</v>
      </c>
      <c r="L652" t="s">
        <v>16</v>
      </c>
      <c r="M652">
        <v>1943.2</v>
      </c>
    </row>
    <row r="653" spans="1:13" x14ac:dyDescent="0.25">
      <c r="A653">
        <v>1651</v>
      </c>
      <c r="B653" t="s">
        <v>698</v>
      </c>
      <c r="C653" t="s">
        <v>25</v>
      </c>
      <c r="D653" t="s">
        <v>51</v>
      </c>
      <c r="E653">
        <v>3</v>
      </c>
      <c r="G653">
        <f t="shared" si="20"/>
        <v>0</v>
      </c>
      <c r="H653" s="3">
        <v>0.05</v>
      </c>
      <c r="I653">
        <f t="shared" si="21"/>
        <v>0</v>
      </c>
      <c r="K653" t="s">
        <v>22</v>
      </c>
      <c r="L653" t="s">
        <v>16</v>
      </c>
      <c r="M653">
        <v>-551.78</v>
      </c>
    </row>
    <row r="654" spans="1:13" x14ac:dyDescent="0.25">
      <c r="A654">
        <v>1652</v>
      </c>
      <c r="B654" t="s">
        <v>699</v>
      </c>
      <c r="C654" t="s">
        <v>36</v>
      </c>
      <c r="D654" t="s">
        <v>55</v>
      </c>
      <c r="E654">
        <v>2</v>
      </c>
      <c r="F654">
        <v>2375.56</v>
      </c>
      <c r="G654">
        <f t="shared" si="20"/>
        <v>4751.12</v>
      </c>
      <c r="H654" s="3">
        <v>0.59</v>
      </c>
      <c r="I654">
        <f t="shared" si="21"/>
        <v>1947.9592</v>
      </c>
      <c r="K654" t="s">
        <v>2517</v>
      </c>
      <c r="L654" t="s">
        <v>16</v>
      </c>
      <c r="M654">
        <v>2699.88</v>
      </c>
    </row>
    <row r="655" spans="1:13" x14ac:dyDescent="0.25">
      <c r="A655">
        <v>1653</v>
      </c>
      <c r="B655" t="s">
        <v>700</v>
      </c>
      <c r="C655" t="s">
        <v>20</v>
      </c>
      <c r="D655" t="s">
        <v>84</v>
      </c>
      <c r="E655">
        <v>2</v>
      </c>
      <c r="F655">
        <v>2563.6</v>
      </c>
      <c r="G655">
        <f t="shared" si="20"/>
        <v>5127.2</v>
      </c>
      <c r="H655" s="3">
        <v>0.88</v>
      </c>
      <c r="I655">
        <f t="shared" si="21"/>
        <v>615.26400000000001</v>
      </c>
      <c r="J655" s="1">
        <v>45822</v>
      </c>
      <c r="K655" t="s">
        <v>22</v>
      </c>
      <c r="L655" t="s">
        <v>23</v>
      </c>
      <c r="M655">
        <v>516.95000000000005</v>
      </c>
    </row>
    <row r="656" spans="1:13" x14ac:dyDescent="0.25">
      <c r="A656">
        <v>1654</v>
      </c>
      <c r="B656" t="s">
        <v>701</v>
      </c>
      <c r="C656" t="s">
        <v>28</v>
      </c>
      <c r="D656" t="s">
        <v>137</v>
      </c>
      <c r="E656">
        <v>1</v>
      </c>
      <c r="G656">
        <f t="shared" si="20"/>
        <v>0</v>
      </c>
      <c r="I656">
        <f t="shared" si="21"/>
        <v>0</v>
      </c>
      <c r="J656" s="1">
        <v>45523</v>
      </c>
      <c r="K656" t="s">
        <v>18</v>
      </c>
      <c r="L656" t="s">
        <v>23</v>
      </c>
      <c r="M656">
        <v>1433.43</v>
      </c>
    </row>
    <row r="657" spans="1:13" x14ac:dyDescent="0.25">
      <c r="A657">
        <v>1655</v>
      </c>
      <c r="B657" t="s">
        <v>702</v>
      </c>
      <c r="C657" t="s">
        <v>13</v>
      </c>
      <c r="D657" t="s">
        <v>34</v>
      </c>
      <c r="E657">
        <v>5</v>
      </c>
      <c r="F657">
        <v>1385.86</v>
      </c>
      <c r="G657">
        <f t="shared" si="20"/>
        <v>6929.2999999999993</v>
      </c>
      <c r="H657" s="3">
        <v>0.71</v>
      </c>
      <c r="I657">
        <f t="shared" si="21"/>
        <v>2009.4970000000001</v>
      </c>
      <c r="J657" s="1">
        <v>45809</v>
      </c>
      <c r="K657" t="s">
        <v>22</v>
      </c>
      <c r="L657" t="s">
        <v>16</v>
      </c>
      <c r="M657">
        <v>1839.94</v>
      </c>
    </row>
    <row r="658" spans="1:13" x14ac:dyDescent="0.25">
      <c r="A658">
        <v>1656</v>
      </c>
      <c r="B658" t="s">
        <v>703</v>
      </c>
      <c r="C658" t="s">
        <v>25</v>
      </c>
      <c r="D658" t="s">
        <v>62</v>
      </c>
      <c r="E658">
        <v>2</v>
      </c>
      <c r="G658">
        <f t="shared" si="20"/>
        <v>0</v>
      </c>
      <c r="I658">
        <f t="shared" si="21"/>
        <v>0</v>
      </c>
      <c r="J658" s="1">
        <v>45647</v>
      </c>
      <c r="K658" t="s">
        <v>15</v>
      </c>
      <c r="L658" t="s">
        <v>16</v>
      </c>
      <c r="M658">
        <v>1872.27</v>
      </c>
    </row>
    <row r="659" spans="1:13" x14ac:dyDescent="0.25">
      <c r="A659">
        <v>1657</v>
      </c>
      <c r="B659" t="s">
        <v>704</v>
      </c>
      <c r="C659" t="s">
        <v>13</v>
      </c>
      <c r="D659" t="s">
        <v>98</v>
      </c>
      <c r="E659">
        <v>2</v>
      </c>
      <c r="G659">
        <f t="shared" si="20"/>
        <v>0</v>
      </c>
      <c r="I659">
        <f t="shared" si="21"/>
        <v>0</v>
      </c>
      <c r="J659" s="1">
        <v>45520</v>
      </c>
      <c r="K659" t="s">
        <v>38</v>
      </c>
      <c r="L659" t="s">
        <v>23</v>
      </c>
      <c r="M659">
        <v>2507.9299999999998</v>
      </c>
    </row>
    <row r="660" spans="1:13" x14ac:dyDescent="0.25">
      <c r="A660">
        <v>1658</v>
      </c>
      <c r="B660" t="s">
        <v>705</v>
      </c>
      <c r="C660" t="s">
        <v>20</v>
      </c>
      <c r="D660" t="s">
        <v>21</v>
      </c>
      <c r="E660">
        <v>2</v>
      </c>
      <c r="G660">
        <f t="shared" si="20"/>
        <v>0</v>
      </c>
      <c r="I660">
        <f t="shared" si="21"/>
        <v>0</v>
      </c>
      <c r="J660" s="1">
        <v>45750</v>
      </c>
      <c r="K660" t="s">
        <v>38</v>
      </c>
      <c r="L660" t="s">
        <v>16</v>
      </c>
      <c r="M660">
        <v>2996.16</v>
      </c>
    </row>
    <row r="661" spans="1:13" x14ac:dyDescent="0.25">
      <c r="A661">
        <v>1659</v>
      </c>
      <c r="B661" t="s">
        <v>706</v>
      </c>
      <c r="C661" t="s">
        <v>25</v>
      </c>
      <c r="D661" t="s">
        <v>51</v>
      </c>
      <c r="E661">
        <v>2</v>
      </c>
      <c r="F661">
        <v>1014.86</v>
      </c>
      <c r="G661">
        <f t="shared" si="20"/>
        <v>2029.72</v>
      </c>
      <c r="H661" s="3">
        <v>0.31</v>
      </c>
      <c r="I661">
        <f t="shared" si="21"/>
        <v>1400.5067999999999</v>
      </c>
      <c r="K661" t="s">
        <v>44</v>
      </c>
      <c r="L661" t="s">
        <v>16</v>
      </c>
      <c r="M661">
        <v>-379.55</v>
      </c>
    </row>
    <row r="662" spans="1:13" x14ac:dyDescent="0.25">
      <c r="A662">
        <v>1660</v>
      </c>
      <c r="B662" t="s">
        <v>707</v>
      </c>
      <c r="C662" t="s">
        <v>13</v>
      </c>
      <c r="D662" t="s">
        <v>14</v>
      </c>
      <c r="E662">
        <v>2</v>
      </c>
      <c r="G662">
        <f t="shared" si="20"/>
        <v>0</v>
      </c>
      <c r="H662" s="3">
        <v>1.1000000000000001</v>
      </c>
      <c r="I662">
        <f t="shared" si="21"/>
        <v>0</v>
      </c>
      <c r="J662" s="1">
        <v>45737</v>
      </c>
      <c r="K662" t="s">
        <v>22</v>
      </c>
      <c r="L662" t="s">
        <v>23</v>
      </c>
      <c r="M662">
        <v>2345.37</v>
      </c>
    </row>
    <row r="663" spans="1:13" x14ac:dyDescent="0.25">
      <c r="A663">
        <v>1661</v>
      </c>
      <c r="B663" t="s">
        <v>708</v>
      </c>
      <c r="C663" t="s">
        <v>25</v>
      </c>
      <c r="D663" t="s">
        <v>82</v>
      </c>
      <c r="E663">
        <v>-2</v>
      </c>
      <c r="G663">
        <f t="shared" si="20"/>
        <v>0</v>
      </c>
      <c r="I663">
        <f t="shared" si="21"/>
        <v>0</v>
      </c>
      <c r="J663" s="1">
        <v>45633</v>
      </c>
      <c r="K663" t="s">
        <v>38</v>
      </c>
      <c r="L663" t="s">
        <v>16</v>
      </c>
      <c r="M663">
        <v>49.2</v>
      </c>
    </row>
    <row r="664" spans="1:13" x14ac:dyDescent="0.25">
      <c r="A664">
        <v>1662</v>
      </c>
      <c r="B664" t="s">
        <v>709</v>
      </c>
      <c r="C664" t="s">
        <v>28</v>
      </c>
      <c r="D664" t="s">
        <v>29</v>
      </c>
      <c r="E664">
        <v>6</v>
      </c>
      <c r="G664">
        <f t="shared" si="20"/>
        <v>0</v>
      </c>
      <c r="H664" s="3">
        <v>0.96</v>
      </c>
      <c r="I664">
        <f t="shared" si="21"/>
        <v>0</v>
      </c>
      <c r="K664" t="s">
        <v>18</v>
      </c>
      <c r="L664" t="s">
        <v>16</v>
      </c>
      <c r="M664">
        <v>665.51</v>
      </c>
    </row>
    <row r="665" spans="1:13" x14ac:dyDescent="0.25">
      <c r="A665">
        <v>1663</v>
      </c>
      <c r="B665" t="s">
        <v>710</v>
      </c>
      <c r="C665" t="s">
        <v>25</v>
      </c>
      <c r="D665" t="s">
        <v>26</v>
      </c>
      <c r="E665">
        <v>3</v>
      </c>
      <c r="G665">
        <f t="shared" si="20"/>
        <v>0</v>
      </c>
      <c r="I665">
        <f t="shared" si="21"/>
        <v>0</v>
      </c>
      <c r="J665" s="1">
        <v>45514</v>
      </c>
      <c r="K665" t="s">
        <v>38</v>
      </c>
      <c r="L665" t="s">
        <v>16</v>
      </c>
      <c r="M665">
        <v>2091.5300000000002</v>
      </c>
    </row>
    <row r="666" spans="1:13" x14ac:dyDescent="0.25">
      <c r="A666">
        <v>1664</v>
      </c>
      <c r="B666" t="s">
        <v>711</v>
      </c>
      <c r="C666" t="s">
        <v>25</v>
      </c>
      <c r="D666" t="s">
        <v>82</v>
      </c>
      <c r="E666">
        <v>-1</v>
      </c>
      <c r="G666">
        <f t="shared" si="20"/>
        <v>0</v>
      </c>
      <c r="I666">
        <f t="shared" si="21"/>
        <v>0</v>
      </c>
      <c r="J666" s="1">
        <v>45797</v>
      </c>
      <c r="K666" t="s">
        <v>2517</v>
      </c>
      <c r="L666" t="s">
        <v>16</v>
      </c>
      <c r="M666">
        <v>844.94</v>
      </c>
    </row>
    <row r="667" spans="1:13" x14ac:dyDescent="0.25">
      <c r="A667">
        <v>1665</v>
      </c>
      <c r="B667" t="s">
        <v>712</v>
      </c>
      <c r="C667" t="s">
        <v>31</v>
      </c>
      <c r="D667" t="s">
        <v>32</v>
      </c>
      <c r="E667">
        <v>2</v>
      </c>
      <c r="F667">
        <v>4504.03</v>
      </c>
      <c r="G667">
        <f t="shared" si="20"/>
        <v>9008.06</v>
      </c>
      <c r="I667">
        <f t="shared" si="21"/>
        <v>9008.06</v>
      </c>
      <c r="J667" s="1">
        <v>45739</v>
      </c>
      <c r="K667" t="s">
        <v>15</v>
      </c>
      <c r="L667" t="s">
        <v>16</v>
      </c>
      <c r="M667">
        <v>1488.95</v>
      </c>
    </row>
    <row r="668" spans="1:13" x14ac:dyDescent="0.25">
      <c r="A668">
        <v>1666</v>
      </c>
      <c r="B668" t="s">
        <v>713</v>
      </c>
      <c r="C668" t="s">
        <v>13</v>
      </c>
      <c r="D668" t="s">
        <v>47</v>
      </c>
      <c r="E668">
        <v>2</v>
      </c>
      <c r="F668">
        <v>973.63</v>
      </c>
      <c r="G668">
        <f t="shared" si="20"/>
        <v>1947.26</v>
      </c>
      <c r="I668">
        <f t="shared" si="21"/>
        <v>1947.26</v>
      </c>
      <c r="J668" s="1">
        <v>45609</v>
      </c>
      <c r="K668" t="s">
        <v>15</v>
      </c>
      <c r="L668" t="s">
        <v>16</v>
      </c>
      <c r="M668">
        <v>-148.66999999999999</v>
      </c>
    </row>
    <row r="669" spans="1:13" x14ac:dyDescent="0.25">
      <c r="A669">
        <v>1667</v>
      </c>
      <c r="B669" t="s">
        <v>714</v>
      </c>
      <c r="C669" t="s">
        <v>25</v>
      </c>
      <c r="D669" t="s">
        <v>51</v>
      </c>
      <c r="E669">
        <v>2</v>
      </c>
      <c r="F669">
        <v>4021</v>
      </c>
      <c r="G669">
        <f t="shared" si="20"/>
        <v>8042</v>
      </c>
      <c r="I669">
        <f t="shared" si="21"/>
        <v>8042</v>
      </c>
      <c r="J669" s="1">
        <v>45598</v>
      </c>
      <c r="K669" t="s">
        <v>22</v>
      </c>
      <c r="L669" t="s">
        <v>23</v>
      </c>
      <c r="M669">
        <v>2323.66</v>
      </c>
    </row>
    <row r="670" spans="1:13" x14ac:dyDescent="0.25">
      <c r="A670">
        <v>1668</v>
      </c>
      <c r="B670" t="s">
        <v>715</v>
      </c>
      <c r="C670" t="s">
        <v>13</v>
      </c>
      <c r="D670" t="s">
        <v>34</v>
      </c>
      <c r="E670">
        <v>2</v>
      </c>
      <c r="F670">
        <v>2534.08</v>
      </c>
      <c r="G670">
        <f t="shared" si="20"/>
        <v>5068.16</v>
      </c>
      <c r="I670">
        <f t="shared" si="21"/>
        <v>5068.16</v>
      </c>
      <c r="J670" s="1">
        <v>45587</v>
      </c>
      <c r="K670" t="s">
        <v>2517</v>
      </c>
      <c r="L670" t="s">
        <v>16</v>
      </c>
      <c r="M670">
        <v>941.2</v>
      </c>
    </row>
    <row r="671" spans="1:13" x14ac:dyDescent="0.25">
      <c r="A671">
        <v>1669</v>
      </c>
      <c r="B671" t="s">
        <v>716</v>
      </c>
      <c r="C671" t="s">
        <v>25</v>
      </c>
      <c r="D671" t="s">
        <v>82</v>
      </c>
      <c r="E671">
        <v>0</v>
      </c>
      <c r="F671">
        <v>1838.63</v>
      </c>
      <c r="G671">
        <f t="shared" si="20"/>
        <v>0</v>
      </c>
      <c r="I671">
        <f t="shared" si="21"/>
        <v>0</v>
      </c>
      <c r="K671" t="s">
        <v>44</v>
      </c>
      <c r="L671" t="s">
        <v>16</v>
      </c>
      <c r="M671">
        <v>-524.25</v>
      </c>
    </row>
    <row r="672" spans="1:13" x14ac:dyDescent="0.25">
      <c r="A672">
        <v>1670</v>
      </c>
      <c r="B672" t="s">
        <v>717</v>
      </c>
      <c r="C672" t="s">
        <v>31</v>
      </c>
      <c r="D672" t="s">
        <v>68</v>
      </c>
      <c r="E672">
        <v>2</v>
      </c>
      <c r="G672">
        <f t="shared" si="20"/>
        <v>0</v>
      </c>
      <c r="H672" s="3">
        <v>0.69</v>
      </c>
      <c r="I672">
        <f t="shared" si="21"/>
        <v>0</v>
      </c>
      <c r="J672" s="1">
        <v>45518</v>
      </c>
      <c r="K672" t="s">
        <v>2517</v>
      </c>
      <c r="L672" t="s">
        <v>23</v>
      </c>
      <c r="M672">
        <v>462.22</v>
      </c>
    </row>
    <row r="673" spans="1:13" x14ac:dyDescent="0.25">
      <c r="A673">
        <v>1671</v>
      </c>
      <c r="B673" t="s">
        <v>718</v>
      </c>
      <c r="C673" t="s">
        <v>13</v>
      </c>
      <c r="D673" t="s">
        <v>14</v>
      </c>
      <c r="E673">
        <v>2</v>
      </c>
      <c r="F673">
        <v>4417.34</v>
      </c>
      <c r="G673">
        <f t="shared" si="20"/>
        <v>8834.68</v>
      </c>
      <c r="I673">
        <f t="shared" si="21"/>
        <v>8834.68</v>
      </c>
      <c r="J673" s="1">
        <v>45626</v>
      </c>
      <c r="K673" t="s">
        <v>18</v>
      </c>
      <c r="L673" t="s">
        <v>23</v>
      </c>
      <c r="M673">
        <v>-72.28</v>
      </c>
    </row>
    <row r="674" spans="1:13" x14ac:dyDescent="0.25">
      <c r="A674">
        <v>1672</v>
      </c>
      <c r="B674" t="s">
        <v>719</v>
      </c>
      <c r="C674" t="s">
        <v>28</v>
      </c>
      <c r="D674" t="s">
        <v>29</v>
      </c>
      <c r="E674">
        <v>5</v>
      </c>
      <c r="G674">
        <f t="shared" si="20"/>
        <v>0</v>
      </c>
      <c r="I674">
        <f t="shared" si="21"/>
        <v>0</v>
      </c>
      <c r="K674" t="s">
        <v>15</v>
      </c>
      <c r="L674" t="s">
        <v>23</v>
      </c>
      <c r="M674">
        <v>-587.27</v>
      </c>
    </row>
    <row r="675" spans="1:13" x14ac:dyDescent="0.25">
      <c r="A675">
        <v>1673</v>
      </c>
      <c r="B675" t="s">
        <v>720</v>
      </c>
      <c r="C675" t="s">
        <v>28</v>
      </c>
      <c r="D675" t="s">
        <v>116</v>
      </c>
      <c r="E675">
        <v>2</v>
      </c>
      <c r="F675">
        <v>3992.21</v>
      </c>
      <c r="G675">
        <f t="shared" si="20"/>
        <v>7984.42</v>
      </c>
      <c r="H675" s="3">
        <v>0.67</v>
      </c>
      <c r="I675">
        <f t="shared" si="21"/>
        <v>2634.8585999999996</v>
      </c>
      <c r="K675" t="s">
        <v>22</v>
      </c>
      <c r="L675" t="s">
        <v>16</v>
      </c>
      <c r="M675">
        <v>617.12</v>
      </c>
    </row>
    <row r="676" spans="1:13" x14ac:dyDescent="0.25">
      <c r="A676">
        <v>1674</v>
      </c>
      <c r="B676" t="s">
        <v>721</v>
      </c>
      <c r="C676" t="s">
        <v>13</v>
      </c>
      <c r="D676" t="s">
        <v>47</v>
      </c>
      <c r="E676">
        <v>2</v>
      </c>
      <c r="G676">
        <f t="shared" si="20"/>
        <v>0</v>
      </c>
      <c r="H676" s="3">
        <v>0.19</v>
      </c>
      <c r="I676">
        <f t="shared" si="21"/>
        <v>0</v>
      </c>
      <c r="J676" s="1">
        <v>45781</v>
      </c>
      <c r="K676" t="s">
        <v>38</v>
      </c>
      <c r="L676" t="s">
        <v>16</v>
      </c>
      <c r="M676">
        <v>-680.26</v>
      </c>
    </row>
    <row r="677" spans="1:13" x14ac:dyDescent="0.25">
      <c r="A677">
        <v>1675</v>
      </c>
      <c r="B677" t="s">
        <v>722</v>
      </c>
      <c r="C677" t="s">
        <v>36</v>
      </c>
      <c r="D677" t="s">
        <v>37</v>
      </c>
      <c r="E677">
        <v>2</v>
      </c>
      <c r="G677">
        <f t="shared" si="20"/>
        <v>0</v>
      </c>
      <c r="I677">
        <f t="shared" si="21"/>
        <v>0</v>
      </c>
      <c r="J677" s="1">
        <v>45778</v>
      </c>
      <c r="K677" t="s">
        <v>22</v>
      </c>
      <c r="L677" t="s">
        <v>16</v>
      </c>
      <c r="M677">
        <v>340.43</v>
      </c>
    </row>
    <row r="678" spans="1:13" x14ac:dyDescent="0.25">
      <c r="A678">
        <v>1676</v>
      </c>
      <c r="B678" t="s">
        <v>723</v>
      </c>
      <c r="C678" t="s">
        <v>36</v>
      </c>
      <c r="D678" t="s">
        <v>55</v>
      </c>
      <c r="E678">
        <v>0</v>
      </c>
      <c r="F678">
        <v>4351.82</v>
      </c>
      <c r="G678">
        <f t="shared" si="20"/>
        <v>0</v>
      </c>
      <c r="I678">
        <f t="shared" si="21"/>
        <v>0</v>
      </c>
      <c r="K678" t="s">
        <v>38</v>
      </c>
      <c r="L678" t="s">
        <v>16</v>
      </c>
      <c r="M678">
        <v>1818.14</v>
      </c>
    </row>
    <row r="679" spans="1:13" x14ac:dyDescent="0.25">
      <c r="A679">
        <v>1677</v>
      </c>
      <c r="B679" t="s">
        <v>724</v>
      </c>
      <c r="C679" t="s">
        <v>20</v>
      </c>
      <c r="D679" t="s">
        <v>76</v>
      </c>
      <c r="E679">
        <v>2</v>
      </c>
      <c r="F679">
        <v>4639.8599999999997</v>
      </c>
      <c r="G679">
        <f t="shared" si="20"/>
        <v>9279.7199999999993</v>
      </c>
      <c r="H679" s="3">
        <v>0.69</v>
      </c>
      <c r="I679">
        <f t="shared" si="21"/>
        <v>2876.7132000000001</v>
      </c>
      <c r="J679" s="1">
        <v>45209</v>
      </c>
      <c r="K679" t="s">
        <v>2517</v>
      </c>
      <c r="L679" t="s">
        <v>16</v>
      </c>
      <c r="M679">
        <v>1323.79</v>
      </c>
    </row>
    <row r="680" spans="1:13" x14ac:dyDescent="0.25">
      <c r="A680">
        <v>1048</v>
      </c>
      <c r="B680" t="s">
        <v>725</v>
      </c>
      <c r="C680" t="s">
        <v>28</v>
      </c>
      <c r="D680" t="s">
        <v>116</v>
      </c>
      <c r="E680">
        <v>4</v>
      </c>
      <c r="F680">
        <v>1429.93</v>
      </c>
      <c r="G680">
        <f t="shared" si="20"/>
        <v>5719.72</v>
      </c>
      <c r="I680">
        <f t="shared" si="21"/>
        <v>5719.72</v>
      </c>
      <c r="J680" s="1">
        <v>45610</v>
      </c>
      <c r="K680" t="s">
        <v>18</v>
      </c>
      <c r="L680" t="s">
        <v>23</v>
      </c>
      <c r="M680">
        <v>1844.84</v>
      </c>
    </row>
    <row r="681" spans="1:13" x14ac:dyDescent="0.25">
      <c r="A681">
        <v>1679</v>
      </c>
      <c r="B681" t="s">
        <v>726</v>
      </c>
      <c r="C681" t="s">
        <v>31</v>
      </c>
      <c r="D681" t="s">
        <v>68</v>
      </c>
      <c r="E681">
        <v>1</v>
      </c>
      <c r="F681">
        <v>4198.5</v>
      </c>
      <c r="G681">
        <f t="shared" si="20"/>
        <v>4198.5</v>
      </c>
      <c r="I681">
        <f t="shared" si="21"/>
        <v>4198.5</v>
      </c>
      <c r="J681" s="1">
        <v>45494</v>
      </c>
      <c r="K681" t="s">
        <v>44</v>
      </c>
      <c r="L681" t="s">
        <v>16</v>
      </c>
      <c r="M681">
        <v>2518.86</v>
      </c>
    </row>
    <row r="682" spans="1:13" x14ac:dyDescent="0.25">
      <c r="A682">
        <v>1680</v>
      </c>
      <c r="B682" t="s">
        <v>727</v>
      </c>
      <c r="C682" t="s">
        <v>13</v>
      </c>
      <c r="D682" t="s">
        <v>47</v>
      </c>
      <c r="E682">
        <v>2</v>
      </c>
      <c r="G682">
        <f t="shared" si="20"/>
        <v>0</v>
      </c>
      <c r="I682">
        <f t="shared" si="21"/>
        <v>0</v>
      </c>
      <c r="J682" s="1">
        <v>45561</v>
      </c>
      <c r="K682" t="s">
        <v>18</v>
      </c>
      <c r="L682" t="s">
        <v>23</v>
      </c>
      <c r="M682">
        <v>2873.92</v>
      </c>
    </row>
    <row r="683" spans="1:13" x14ac:dyDescent="0.25">
      <c r="A683">
        <v>1681</v>
      </c>
      <c r="B683" t="s">
        <v>728</v>
      </c>
      <c r="C683" t="s">
        <v>36</v>
      </c>
      <c r="D683" t="s">
        <v>55</v>
      </c>
      <c r="E683">
        <v>2</v>
      </c>
      <c r="G683">
        <f t="shared" si="20"/>
        <v>0</v>
      </c>
      <c r="H683" s="3">
        <v>0.26</v>
      </c>
      <c r="I683">
        <f t="shared" si="21"/>
        <v>0</v>
      </c>
      <c r="J683" s="1">
        <v>45337</v>
      </c>
      <c r="K683" t="s">
        <v>18</v>
      </c>
      <c r="L683" t="s">
        <v>23</v>
      </c>
      <c r="M683">
        <v>-579.16</v>
      </c>
    </row>
    <row r="684" spans="1:13" x14ac:dyDescent="0.25">
      <c r="A684">
        <v>1682</v>
      </c>
      <c r="B684" t="s">
        <v>729</v>
      </c>
      <c r="C684" t="s">
        <v>28</v>
      </c>
      <c r="D684" t="s">
        <v>40</v>
      </c>
      <c r="E684">
        <v>5</v>
      </c>
      <c r="F684">
        <v>4307.08</v>
      </c>
      <c r="G684">
        <f t="shared" si="20"/>
        <v>21535.4</v>
      </c>
      <c r="H684" s="3">
        <v>1.26</v>
      </c>
      <c r="I684">
        <f t="shared" si="21"/>
        <v>-5599.2040000000006</v>
      </c>
      <c r="J684" s="1">
        <v>45654</v>
      </c>
      <c r="K684" t="s">
        <v>15</v>
      </c>
      <c r="L684" t="s">
        <v>16</v>
      </c>
      <c r="M684">
        <v>961.46</v>
      </c>
    </row>
    <row r="685" spans="1:13" x14ac:dyDescent="0.25">
      <c r="A685">
        <v>1683</v>
      </c>
      <c r="B685" t="s">
        <v>730</v>
      </c>
      <c r="C685" t="s">
        <v>13</v>
      </c>
      <c r="D685" t="s">
        <v>98</v>
      </c>
      <c r="E685">
        <v>2</v>
      </c>
      <c r="F685">
        <v>1743.64</v>
      </c>
      <c r="G685">
        <f t="shared" si="20"/>
        <v>3487.28</v>
      </c>
      <c r="I685">
        <f t="shared" si="21"/>
        <v>3487.28</v>
      </c>
      <c r="K685" t="s">
        <v>44</v>
      </c>
      <c r="L685" t="s">
        <v>16</v>
      </c>
      <c r="M685">
        <v>32.33</v>
      </c>
    </row>
    <row r="686" spans="1:13" x14ac:dyDescent="0.25">
      <c r="A686">
        <v>1684</v>
      </c>
      <c r="B686" t="s">
        <v>731</v>
      </c>
      <c r="C686" t="s">
        <v>36</v>
      </c>
      <c r="D686" t="s">
        <v>55</v>
      </c>
      <c r="E686">
        <v>-2</v>
      </c>
      <c r="F686">
        <v>3537.97</v>
      </c>
      <c r="G686">
        <f t="shared" si="20"/>
        <v>-7075.94</v>
      </c>
      <c r="H686" s="3">
        <v>0.26</v>
      </c>
      <c r="I686">
        <f t="shared" si="21"/>
        <v>-5236.1956</v>
      </c>
      <c r="J686" s="1">
        <v>45509</v>
      </c>
      <c r="K686" t="s">
        <v>38</v>
      </c>
      <c r="L686" t="s">
        <v>16</v>
      </c>
      <c r="M686">
        <v>1385.75</v>
      </c>
    </row>
    <row r="687" spans="1:13" x14ac:dyDescent="0.25">
      <c r="A687">
        <v>1685</v>
      </c>
      <c r="B687" t="s">
        <v>732</v>
      </c>
      <c r="C687" t="s">
        <v>36</v>
      </c>
      <c r="D687" t="s">
        <v>87</v>
      </c>
      <c r="E687">
        <v>4</v>
      </c>
      <c r="G687">
        <f t="shared" si="20"/>
        <v>0</v>
      </c>
      <c r="I687">
        <f t="shared" si="21"/>
        <v>0</v>
      </c>
      <c r="K687" t="s">
        <v>2517</v>
      </c>
      <c r="L687" t="s">
        <v>23</v>
      </c>
      <c r="M687">
        <v>1108.04</v>
      </c>
    </row>
    <row r="688" spans="1:13" x14ac:dyDescent="0.25">
      <c r="A688">
        <v>1686</v>
      </c>
      <c r="B688" t="s">
        <v>733</v>
      </c>
      <c r="C688" t="s">
        <v>13</v>
      </c>
      <c r="D688" t="s">
        <v>34</v>
      </c>
      <c r="E688">
        <v>1</v>
      </c>
      <c r="G688">
        <f t="shared" si="20"/>
        <v>0</v>
      </c>
      <c r="H688" s="3">
        <v>0.06</v>
      </c>
      <c r="I688">
        <f t="shared" si="21"/>
        <v>0</v>
      </c>
      <c r="K688" t="s">
        <v>44</v>
      </c>
      <c r="L688" t="s">
        <v>16</v>
      </c>
      <c r="M688">
        <v>718.58</v>
      </c>
    </row>
    <row r="689" spans="1:13" x14ac:dyDescent="0.25">
      <c r="A689">
        <v>1687</v>
      </c>
      <c r="B689" t="s">
        <v>734</v>
      </c>
      <c r="C689" t="s">
        <v>20</v>
      </c>
      <c r="D689" t="s">
        <v>84</v>
      </c>
      <c r="E689">
        <v>2</v>
      </c>
      <c r="G689">
        <f t="shared" si="20"/>
        <v>0</v>
      </c>
      <c r="I689">
        <f t="shared" si="21"/>
        <v>0</v>
      </c>
      <c r="J689" s="1">
        <v>45850</v>
      </c>
      <c r="K689" t="s">
        <v>2517</v>
      </c>
      <c r="L689" t="s">
        <v>16</v>
      </c>
      <c r="M689">
        <v>1132.23</v>
      </c>
    </row>
    <row r="690" spans="1:13" x14ac:dyDescent="0.25">
      <c r="A690">
        <v>1688</v>
      </c>
      <c r="B690" t="s">
        <v>735</v>
      </c>
      <c r="C690" t="s">
        <v>28</v>
      </c>
      <c r="D690" t="s">
        <v>116</v>
      </c>
      <c r="E690">
        <v>2</v>
      </c>
      <c r="F690">
        <v>4177.8599999999997</v>
      </c>
      <c r="G690">
        <f t="shared" si="20"/>
        <v>8355.7199999999993</v>
      </c>
      <c r="I690">
        <f t="shared" si="21"/>
        <v>8355.7199999999993</v>
      </c>
      <c r="K690" t="s">
        <v>2517</v>
      </c>
      <c r="L690" t="s">
        <v>16</v>
      </c>
      <c r="M690">
        <v>2610.69</v>
      </c>
    </row>
    <row r="691" spans="1:13" x14ac:dyDescent="0.25">
      <c r="A691">
        <v>1689</v>
      </c>
      <c r="B691" t="s">
        <v>736</v>
      </c>
      <c r="C691" t="s">
        <v>31</v>
      </c>
      <c r="D691" t="s">
        <v>42</v>
      </c>
      <c r="E691">
        <v>2</v>
      </c>
      <c r="F691">
        <v>1193.48</v>
      </c>
      <c r="G691">
        <f t="shared" si="20"/>
        <v>2386.96</v>
      </c>
      <c r="I691">
        <f t="shared" si="21"/>
        <v>2386.96</v>
      </c>
      <c r="K691" t="s">
        <v>44</v>
      </c>
      <c r="L691" t="s">
        <v>16</v>
      </c>
      <c r="M691">
        <v>2629.51</v>
      </c>
    </row>
    <row r="692" spans="1:13" x14ac:dyDescent="0.25">
      <c r="A692">
        <v>1690</v>
      </c>
      <c r="B692" t="s">
        <v>737</v>
      </c>
      <c r="C692" t="s">
        <v>20</v>
      </c>
      <c r="D692" t="s">
        <v>21</v>
      </c>
      <c r="E692">
        <v>5</v>
      </c>
      <c r="F692">
        <v>1941.39</v>
      </c>
      <c r="G692">
        <f t="shared" si="20"/>
        <v>9706.9500000000007</v>
      </c>
      <c r="H692" s="3">
        <v>0.54</v>
      </c>
      <c r="I692">
        <f t="shared" si="21"/>
        <v>4465.1970000000001</v>
      </c>
      <c r="J692" s="1">
        <v>45720</v>
      </c>
      <c r="K692" t="s">
        <v>15</v>
      </c>
      <c r="L692" t="s">
        <v>16</v>
      </c>
      <c r="M692">
        <v>206.95</v>
      </c>
    </row>
    <row r="693" spans="1:13" x14ac:dyDescent="0.25">
      <c r="A693">
        <v>1691</v>
      </c>
      <c r="B693" t="s">
        <v>738</v>
      </c>
      <c r="C693" t="s">
        <v>25</v>
      </c>
      <c r="D693" t="s">
        <v>82</v>
      </c>
      <c r="E693">
        <v>6</v>
      </c>
      <c r="F693">
        <v>2878.51</v>
      </c>
      <c r="G693">
        <f t="shared" si="20"/>
        <v>17271.060000000001</v>
      </c>
      <c r="I693">
        <f t="shared" si="21"/>
        <v>17271.060000000001</v>
      </c>
      <c r="J693" s="1">
        <v>45765</v>
      </c>
      <c r="K693" t="s">
        <v>22</v>
      </c>
      <c r="L693" t="s">
        <v>16</v>
      </c>
      <c r="M693">
        <v>2503.5100000000002</v>
      </c>
    </row>
    <row r="694" spans="1:13" x14ac:dyDescent="0.25">
      <c r="A694">
        <v>1692</v>
      </c>
      <c r="B694" t="s">
        <v>739</v>
      </c>
      <c r="C694" t="s">
        <v>31</v>
      </c>
      <c r="D694" t="s">
        <v>42</v>
      </c>
      <c r="E694">
        <v>2</v>
      </c>
      <c r="F694">
        <v>2509.38</v>
      </c>
      <c r="G694">
        <f t="shared" si="20"/>
        <v>5018.76</v>
      </c>
      <c r="H694" s="3">
        <v>0.67</v>
      </c>
      <c r="I694">
        <f t="shared" si="21"/>
        <v>1656.1907999999999</v>
      </c>
      <c r="J694" s="1">
        <v>45567</v>
      </c>
      <c r="K694" t="s">
        <v>18</v>
      </c>
      <c r="L694" t="s">
        <v>16</v>
      </c>
      <c r="M694">
        <v>39.25</v>
      </c>
    </row>
    <row r="695" spans="1:13" x14ac:dyDescent="0.25">
      <c r="A695">
        <v>1693</v>
      </c>
      <c r="B695" t="s">
        <v>740</v>
      </c>
      <c r="C695" t="s">
        <v>20</v>
      </c>
      <c r="D695" t="s">
        <v>118</v>
      </c>
      <c r="E695">
        <v>1</v>
      </c>
      <c r="G695">
        <f t="shared" si="20"/>
        <v>0</v>
      </c>
      <c r="I695">
        <f t="shared" si="21"/>
        <v>0</v>
      </c>
      <c r="J695" s="1">
        <v>45562</v>
      </c>
      <c r="K695" t="s">
        <v>38</v>
      </c>
      <c r="L695" t="s">
        <v>16</v>
      </c>
      <c r="M695">
        <v>2028.4</v>
      </c>
    </row>
    <row r="696" spans="1:13" x14ac:dyDescent="0.25">
      <c r="A696">
        <v>1694</v>
      </c>
      <c r="B696" t="s">
        <v>741</v>
      </c>
      <c r="C696" t="s">
        <v>13</v>
      </c>
      <c r="D696" t="s">
        <v>34</v>
      </c>
      <c r="E696">
        <v>2</v>
      </c>
      <c r="G696">
        <f t="shared" si="20"/>
        <v>0</v>
      </c>
      <c r="I696">
        <f t="shared" si="21"/>
        <v>0</v>
      </c>
      <c r="J696" s="1">
        <v>45693</v>
      </c>
      <c r="K696" t="s">
        <v>2517</v>
      </c>
      <c r="L696" t="s">
        <v>23</v>
      </c>
      <c r="M696">
        <v>264.60000000000002</v>
      </c>
    </row>
    <row r="697" spans="1:13" x14ac:dyDescent="0.25">
      <c r="A697">
        <v>1695</v>
      </c>
      <c r="B697" t="s">
        <v>742</v>
      </c>
      <c r="C697" t="s">
        <v>20</v>
      </c>
      <c r="D697" t="s">
        <v>118</v>
      </c>
      <c r="E697">
        <v>2</v>
      </c>
      <c r="F697">
        <v>3785.14</v>
      </c>
      <c r="G697">
        <f t="shared" si="20"/>
        <v>7570.28</v>
      </c>
      <c r="I697">
        <f t="shared" si="21"/>
        <v>7570.28</v>
      </c>
      <c r="K697" t="s">
        <v>22</v>
      </c>
      <c r="L697" t="s">
        <v>16</v>
      </c>
      <c r="M697">
        <v>-982.7</v>
      </c>
    </row>
    <row r="698" spans="1:13" x14ac:dyDescent="0.25">
      <c r="A698">
        <v>1696</v>
      </c>
      <c r="B698" t="s">
        <v>743</v>
      </c>
      <c r="C698" t="s">
        <v>25</v>
      </c>
      <c r="D698" t="s">
        <v>51</v>
      </c>
      <c r="E698">
        <v>2</v>
      </c>
      <c r="F698">
        <v>532.47</v>
      </c>
      <c r="G698">
        <f t="shared" si="20"/>
        <v>1064.94</v>
      </c>
      <c r="I698">
        <f t="shared" si="21"/>
        <v>1064.94</v>
      </c>
      <c r="K698" t="s">
        <v>22</v>
      </c>
      <c r="L698" t="s">
        <v>23</v>
      </c>
      <c r="M698">
        <v>666.49</v>
      </c>
    </row>
    <row r="699" spans="1:13" x14ac:dyDescent="0.25">
      <c r="A699">
        <v>1697</v>
      </c>
      <c r="B699" t="s">
        <v>744</v>
      </c>
      <c r="C699" t="s">
        <v>28</v>
      </c>
      <c r="D699" t="s">
        <v>29</v>
      </c>
      <c r="E699">
        <v>2</v>
      </c>
      <c r="F699">
        <v>1758.97</v>
      </c>
      <c r="G699">
        <f t="shared" si="20"/>
        <v>3517.94</v>
      </c>
      <c r="I699">
        <f t="shared" si="21"/>
        <v>3517.94</v>
      </c>
      <c r="J699" s="1">
        <v>45700</v>
      </c>
      <c r="K699" t="s">
        <v>15</v>
      </c>
      <c r="L699" t="s">
        <v>16</v>
      </c>
      <c r="M699">
        <v>2026.97</v>
      </c>
    </row>
    <row r="700" spans="1:13" x14ac:dyDescent="0.25">
      <c r="A700">
        <v>1698</v>
      </c>
      <c r="B700" t="s">
        <v>745</v>
      </c>
      <c r="C700" t="s">
        <v>25</v>
      </c>
      <c r="D700" t="s">
        <v>26</v>
      </c>
      <c r="E700">
        <v>2</v>
      </c>
      <c r="F700">
        <v>2111.87</v>
      </c>
      <c r="G700">
        <f t="shared" si="20"/>
        <v>4223.74</v>
      </c>
      <c r="I700">
        <f t="shared" si="21"/>
        <v>4223.74</v>
      </c>
      <c r="J700" s="1">
        <v>45502</v>
      </c>
      <c r="K700" t="s">
        <v>2517</v>
      </c>
      <c r="L700" t="s">
        <v>16</v>
      </c>
      <c r="M700">
        <v>-621</v>
      </c>
    </row>
    <row r="701" spans="1:13" x14ac:dyDescent="0.25">
      <c r="A701">
        <v>1699</v>
      </c>
      <c r="B701" t="s">
        <v>746</v>
      </c>
      <c r="C701" t="s">
        <v>25</v>
      </c>
      <c r="D701" t="s">
        <v>51</v>
      </c>
      <c r="E701">
        <v>6</v>
      </c>
      <c r="F701">
        <v>701.16</v>
      </c>
      <c r="G701">
        <f t="shared" si="20"/>
        <v>4206.96</v>
      </c>
      <c r="I701">
        <f t="shared" si="21"/>
        <v>4206.96</v>
      </c>
      <c r="J701" s="1">
        <v>45697</v>
      </c>
      <c r="K701" t="s">
        <v>15</v>
      </c>
      <c r="L701" t="s">
        <v>16</v>
      </c>
      <c r="M701">
        <v>2632.17</v>
      </c>
    </row>
    <row r="702" spans="1:13" x14ac:dyDescent="0.25">
      <c r="A702">
        <v>1700</v>
      </c>
      <c r="B702" t="s">
        <v>747</v>
      </c>
      <c r="C702" t="s">
        <v>31</v>
      </c>
      <c r="D702" t="s">
        <v>42</v>
      </c>
      <c r="E702">
        <v>2</v>
      </c>
      <c r="F702">
        <v>3332.06</v>
      </c>
      <c r="G702">
        <f t="shared" si="20"/>
        <v>6664.12</v>
      </c>
      <c r="H702" s="3">
        <v>0.47</v>
      </c>
      <c r="I702">
        <f t="shared" si="21"/>
        <v>3531.9836</v>
      </c>
      <c r="J702" s="1">
        <v>45593</v>
      </c>
      <c r="K702" t="s">
        <v>22</v>
      </c>
      <c r="L702" t="s">
        <v>16</v>
      </c>
      <c r="M702">
        <v>1969.67</v>
      </c>
    </row>
    <row r="703" spans="1:13" x14ac:dyDescent="0.25">
      <c r="A703">
        <v>1701</v>
      </c>
      <c r="B703" t="s">
        <v>748</v>
      </c>
      <c r="C703" t="s">
        <v>36</v>
      </c>
      <c r="D703" t="s">
        <v>59</v>
      </c>
      <c r="E703">
        <v>2</v>
      </c>
      <c r="F703">
        <v>3402.47</v>
      </c>
      <c r="G703">
        <f t="shared" si="20"/>
        <v>6804.94</v>
      </c>
      <c r="H703" s="3">
        <v>1.05</v>
      </c>
      <c r="I703">
        <f t="shared" si="21"/>
        <v>-340.2470000000003</v>
      </c>
      <c r="K703" t="s">
        <v>18</v>
      </c>
      <c r="L703" t="s">
        <v>16</v>
      </c>
      <c r="M703">
        <v>1713.45</v>
      </c>
    </row>
    <row r="704" spans="1:13" x14ac:dyDescent="0.25">
      <c r="A704">
        <v>1702</v>
      </c>
      <c r="B704" t="s">
        <v>749</v>
      </c>
      <c r="C704" t="s">
        <v>25</v>
      </c>
      <c r="D704" t="s">
        <v>51</v>
      </c>
      <c r="E704">
        <v>2</v>
      </c>
      <c r="F704">
        <v>792.36</v>
      </c>
      <c r="G704">
        <f t="shared" si="20"/>
        <v>1584.72</v>
      </c>
      <c r="I704">
        <f t="shared" si="21"/>
        <v>1584.72</v>
      </c>
      <c r="J704" s="1">
        <v>45745</v>
      </c>
      <c r="K704" t="s">
        <v>18</v>
      </c>
      <c r="L704" t="s">
        <v>16</v>
      </c>
      <c r="M704">
        <v>990.35</v>
      </c>
    </row>
    <row r="705" spans="1:13" x14ac:dyDescent="0.25">
      <c r="A705">
        <v>1703</v>
      </c>
      <c r="B705" t="s">
        <v>750</v>
      </c>
      <c r="C705" t="s">
        <v>13</v>
      </c>
      <c r="D705" t="s">
        <v>14</v>
      </c>
      <c r="E705">
        <v>2</v>
      </c>
      <c r="G705">
        <f t="shared" si="20"/>
        <v>0</v>
      </c>
      <c r="H705" s="3">
        <v>0.92</v>
      </c>
      <c r="I705">
        <f t="shared" si="21"/>
        <v>0</v>
      </c>
      <c r="J705" s="1">
        <v>45687</v>
      </c>
      <c r="K705" t="s">
        <v>44</v>
      </c>
      <c r="L705" t="s">
        <v>23</v>
      </c>
      <c r="M705">
        <v>-96.41</v>
      </c>
    </row>
    <row r="706" spans="1:13" x14ac:dyDescent="0.25">
      <c r="A706">
        <v>1704</v>
      </c>
      <c r="B706" t="s">
        <v>751</v>
      </c>
      <c r="C706" t="s">
        <v>31</v>
      </c>
      <c r="D706" t="s">
        <v>68</v>
      </c>
      <c r="E706">
        <v>2</v>
      </c>
      <c r="G706">
        <f t="shared" si="20"/>
        <v>0</v>
      </c>
      <c r="H706" s="3">
        <v>0.47</v>
      </c>
      <c r="I706">
        <f t="shared" si="21"/>
        <v>0</v>
      </c>
      <c r="J706" s="1">
        <v>45556</v>
      </c>
      <c r="K706" t="s">
        <v>38</v>
      </c>
      <c r="L706" t="s">
        <v>23</v>
      </c>
      <c r="M706">
        <v>2611.36</v>
      </c>
    </row>
    <row r="707" spans="1:13" x14ac:dyDescent="0.25">
      <c r="A707">
        <v>1705</v>
      </c>
      <c r="B707" t="s">
        <v>752</v>
      </c>
      <c r="C707" t="s">
        <v>25</v>
      </c>
      <c r="D707" t="s">
        <v>51</v>
      </c>
      <c r="E707">
        <v>-2</v>
      </c>
      <c r="F707">
        <v>4170.76</v>
      </c>
      <c r="G707">
        <f t="shared" ref="G707:G770" si="22">F707*E707</f>
        <v>-8341.52</v>
      </c>
      <c r="I707">
        <f t="shared" ref="I707:I770" si="23">G707*(1-H707)</f>
        <v>-8341.52</v>
      </c>
      <c r="J707" s="1">
        <v>45789</v>
      </c>
      <c r="K707" t="s">
        <v>38</v>
      </c>
      <c r="L707" t="s">
        <v>16</v>
      </c>
      <c r="M707">
        <v>826.76</v>
      </c>
    </row>
    <row r="708" spans="1:13" x14ac:dyDescent="0.25">
      <c r="A708">
        <v>1706</v>
      </c>
      <c r="B708" t="s">
        <v>753</v>
      </c>
      <c r="C708" t="s">
        <v>20</v>
      </c>
      <c r="D708" t="s">
        <v>84</v>
      </c>
      <c r="E708">
        <v>5</v>
      </c>
      <c r="F708">
        <v>4827.8900000000003</v>
      </c>
      <c r="G708">
        <f t="shared" si="22"/>
        <v>24139.45</v>
      </c>
      <c r="H708" s="3">
        <v>0.84</v>
      </c>
      <c r="I708">
        <f t="shared" si="23"/>
        <v>3862.3120000000008</v>
      </c>
      <c r="K708" t="s">
        <v>18</v>
      </c>
      <c r="L708" t="s">
        <v>16</v>
      </c>
      <c r="M708">
        <v>2824.1</v>
      </c>
    </row>
    <row r="709" spans="1:13" x14ac:dyDescent="0.25">
      <c r="A709">
        <v>1707</v>
      </c>
      <c r="B709" t="s">
        <v>754</v>
      </c>
      <c r="C709" t="s">
        <v>20</v>
      </c>
      <c r="D709" t="s">
        <v>21</v>
      </c>
      <c r="E709">
        <v>6</v>
      </c>
      <c r="G709">
        <f t="shared" si="22"/>
        <v>0</v>
      </c>
      <c r="I709">
        <f t="shared" si="23"/>
        <v>0</v>
      </c>
      <c r="K709" t="s">
        <v>22</v>
      </c>
      <c r="L709" t="s">
        <v>23</v>
      </c>
      <c r="M709">
        <v>1903.2</v>
      </c>
    </row>
    <row r="710" spans="1:13" x14ac:dyDescent="0.25">
      <c r="A710">
        <v>1708</v>
      </c>
      <c r="B710" t="s">
        <v>755</v>
      </c>
      <c r="C710" t="s">
        <v>28</v>
      </c>
      <c r="D710" t="s">
        <v>40</v>
      </c>
      <c r="E710">
        <v>0</v>
      </c>
      <c r="G710">
        <f t="shared" si="22"/>
        <v>0</v>
      </c>
      <c r="H710" s="3">
        <v>0.55000000000000004</v>
      </c>
      <c r="I710">
        <f t="shared" si="23"/>
        <v>0</v>
      </c>
      <c r="J710" s="1">
        <v>45813</v>
      </c>
      <c r="K710" t="s">
        <v>15</v>
      </c>
      <c r="L710" t="s">
        <v>16</v>
      </c>
      <c r="M710">
        <v>1400.39</v>
      </c>
    </row>
    <row r="711" spans="1:13" x14ac:dyDescent="0.25">
      <c r="A711">
        <v>1709</v>
      </c>
      <c r="B711" t="s">
        <v>756</v>
      </c>
      <c r="C711" t="s">
        <v>20</v>
      </c>
      <c r="D711" t="s">
        <v>84</v>
      </c>
      <c r="E711">
        <v>5</v>
      </c>
      <c r="F711">
        <v>1717.79</v>
      </c>
      <c r="G711">
        <f t="shared" si="22"/>
        <v>8588.9500000000007</v>
      </c>
      <c r="I711">
        <f t="shared" si="23"/>
        <v>8588.9500000000007</v>
      </c>
      <c r="J711" s="1">
        <v>45563</v>
      </c>
      <c r="K711" t="s">
        <v>18</v>
      </c>
      <c r="L711" t="s">
        <v>23</v>
      </c>
      <c r="M711">
        <v>2264.16</v>
      </c>
    </row>
    <row r="712" spans="1:13" x14ac:dyDescent="0.25">
      <c r="A712">
        <v>1710</v>
      </c>
      <c r="B712" t="s">
        <v>757</v>
      </c>
      <c r="C712" t="s">
        <v>28</v>
      </c>
      <c r="D712" t="s">
        <v>116</v>
      </c>
      <c r="E712">
        <v>-1</v>
      </c>
      <c r="G712">
        <f t="shared" si="22"/>
        <v>0</v>
      </c>
      <c r="H712" s="3">
        <v>0.45</v>
      </c>
      <c r="I712">
        <f t="shared" si="23"/>
        <v>0</v>
      </c>
      <c r="J712" s="1">
        <v>45576</v>
      </c>
      <c r="K712" t="s">
        <v>18</v>
      </c>
      <c r="L712" t="s">
        <v>16</v>
      </c>
      <c r="M712">
        <v>-333.46</v>
      </c>
    </row>
    <row r="713" spans="1:13" x14ac:dyDescent="0.25">
      <c r="A713">
        <v>1711</v>
      </c>
      <c r="B713" t="s">
        <v>758</v>
      </c>
      <c r="C713" t="s">
        <v>28</v>
      </c>
      <c r="D713" t="s">
        <v>116</v>
      </c>
      <c r="E713">
        <v>2</v>
      </c>
      <c r="F713">
        <v>2685.92</v>
      </c>
      <c r="G713">
        <f t="shared" si="22"/>
        <v>5371.84</v>
      </c>
      <c r="I713">
        <f t="shared" si="23"/>
        <v>5371.84</v>
      </c>
      <c r="J713" s="1">
        <v>45585</v>
      </c>
      <c r="K713" t="s">
        <v>44</v>
      </c>
      <c r="L713" t="s">
        <v>23</v>
      </c>
      <c r="M713">
        <v>2804.29</v>
      </c>
    </row>
    <row r="714" spans="1:13" x14ac:dyDescent="0.25">
      <c r="A714">
        <v>1712</v>
      </c>
      <c r="B714" t="s">
        <v>759</v>
      </c>
      <c r="C714" t="s">
        <v>28</v>
      </c>
      <c r="D714" t="s">
        <v>29</v>
      </c>
      <c r="E714">
        <v>-1</v>
      </c>
      <c r="F714">
        <v>2386.58</v>
      </c>
      <c r="G714">
        <f t="shared" si="22"/>
        <v>-2386.58</v>
      </c>
      <c r="I714">
        <f t="shared" si="23"/>
        <v>-2386.58</v>
      </c>
      <c r="J714" s="1">
        <v>45518</v>
      </c>
      <c r="K714" t="s">
        <v>44</v>
      </c>
      <c r="L714" t="s">
        <v>23</v>
      </c>
      <c r="M714">
        <v>1879.59</v>
      </c>
    </row>
    <row r="715" spans="1:13" x14ac:dyDescent="0.25">
      <c r="A715">
        <v>1713</v>
      </c>
      <c r="B715" t="s">
        <v>760</v>
      </c>
      <c r="C715" t="s">
        <v>31</v>
      </c>
      <c r="D715" t="s">
        <v>78</v>
      </c>
      <c r="E715">
        <v>2</v>
      </c>
      <c r="G715">
        <f t="shared" si="22"/>
        <v>0</v>
      </c>
      <c r="I715">
        <f t="shared" si="23"/>
        <v>0</v>
      </c>
      <c r="J715" s="1">
        <v>45597</v>
      </c>
      <c r="K715" t="s">
        <v>44</v>
      </c>
      <c r="L715" t="s">
        <v>16</v>
      </c>
      <c r="M715">
        <v>832.34</v>
      </c>
    </row>
    <row r="716" spans="1:13" x14ac:dyDescent="0.25">
      <c r="A716">
        <v>1714</v>
      </c>
      <c r="B716" t="s">
        <v>761</v>
      </c>
      <c r="C716" t="s">
        <v>31</v>
      </c>
      <c r="D716" t="s">
        <v>78</v>
      </c>
      <c r="E716">
        <v>2</v>
      </c>
      <c r="G716">
        <f t="shared" si="22"/>
        <v>0</v>
      </c>
      <c r="I716">
        <f t="shared" si="23"/>
        <v>0</v>
      </c>
      <c r="K716" t="s">
        <v>2517</v>
      </c>
      <c r="L716" t="s">
        <v>16</v>
      </c>
      <c r="M716">
        <v>-746.03</v>
      </c>
    </row>
    <row r="717" spans="1:13" x14ac:dyDescent="0.25">
      <c r="A717">
        <v>1715</v>
      </c>
      <c r="B717" t="s">
        <v>762</v>
      </c>
      <c r="C717" t="s">
        <v>28</v>
      </c>
      <c r="D717" t="s">
        <v>116</v>
      </c>
      <c r="E717">
        <v>2</v>
      </c>
      <c r="F717">
        <v>3863.51</v>
      </c>
      <c r="G717">
        <f t="shared" si="22"/>
        <v>7727.02</v>
      </c>
      <c r="I717">
        <f t="shared" si="23"/>
        <v>7727.02</v>
      </c>
      <c r="J717" s="1">
        <v>45796</v>
      </c>
      <c r="K717" t="s">
        <v>22</v>
      </c>
      <c r="L717" t="s">
        <v>16</v>
      </c>
      <c r="M717">
        <v>-830.55</v>
      </c>
    </row>
    <row r="718" spans="1:13" x14ac:dyDescent="0.25">
      <c r="A718">
        <v>1716</v>
      </c>
      <c r="B718" t="s">
        <v>763</v>
      </c>
      <c r="C718" t="s">
        <v>36</v>
      </c>
      <c r="D718" t="s">
        <v>37</v>
      </c>
      <c r="E718">
        <v>2</v>
      </c>
      <c r="F718">
        <v>980.17</v>
      </c>
      <c r="G718">
        <f t="shared" si="22"/>
        <v>1960.34</v>
      </c>
      <c r="I718">
        <f t="shared" si="23"/>
        <v>1960.34</v>
      </c>
      <c r="J718" s="1">
        <v>45496</v>
      </c>
      <c r="K718" t="s">
        <v>22</v>
      </c>
      <c r="L718" t="s">
        <v>23</v>
      </c>
      <c r="M718">
        <v>275.05</v>
      </c>
    </row>
    <row r="719" spans="1:13" x14ac:dyDescent="0.25">
      <c r="A719">
        <v>1717</v>
      </c>
      <c r="B719" t="s">
        <v>764</v>
      </c>
      <c r="C719" t="s">
        <v>31</v>
      </c>
      <c r="D719" t="s">
        <v>32</v>
      </c>
      <c r="E719">
        <v>4</v>
      </c>
      <c r="F719">
        <v>1279.2</v>
      </c>
      <c r="G719">
        <f t="shared" si="22"/>
        <v>5116.8</v>
      </c>
      <c r="H719" s="3">
        <v>0.27</v>
      </c>
      <c r="I719">
        <f t="shared" si="23"/>
        <v>3735.2640000000001</v>
      </c>
      <c r="J719" s="1">
        <v>45611</v>
      </c>
      <c r="K719" t="s">
        <v>15</v>
      </c>
      <c r="L719" t="s">
        <v>16</v>
      </c>
      <c r="M719">
        <v>453.7</v>
      </c>
    </row>
    <row r="720" spans="1:13" x14ac:dyDescent="0.25">
      <c r="A720">
        <v>1718</v>
      </c>
      <c r="B720" t="s">
        <v>765</v>
      </c>
      <c r="C720" t="s">
        <v>20</v>
      </c>
      <c r="D720" t="s">
        <v>84</v>
      </c>
      <c r="E720">
        <v>5</v>
      </c>
      <c r="F720">
        <v>3988.99</v>
      </c>
      <c r="G720">
        <f t="shared" si="22"/>
        <v>19944.949999999997</v>
      </c>
      <c r="I720">
        <f t="shared" si="23"/>
        <v>19944.949999999997</v>
      </c>
      <c r="J720" s="1">
        <v>45802</v>
      </c>
      <c r="K720" t="s">
        <v>2517</v>
      </c>
      <c r="L720" t="s">
        <v>16</v>
      </c>
      <c r="M720">
        <v>1430.08</v>
      </c>
    </row>
    <row r="721" spans="1:13" x14ac:dyDescent="0.25">
      <c r="A721">
        <v>1719</v>
      </c>
      <c r="B721" t="s">
        <v>766</v>
      </c>
      <c r="C721" t="s">
        <v>13</v>
      </c>
      <c r="D721" t="s">
        <v>34</v>
      </c>
      <c r="E721">
        <v>3</v>
      </c>
      <c r="F721">
        <v>4407.79</v>
      </c>
      <c r="G721">
        <f t="shared" si="22"/>
        <v>13223.369999999999</v>
      </c>
      <c r="H721" s="3">
        <v>0.64</v>
      </c>
      <c r="I721">
        <f t="shared" si="23"/>
        <v>4760.4131999999991</v>
      </c>
      <c r="J721" s="1">
        <v>45731</v>
      </c>
      <c r="K721" t="s">
        <v>15</v>
      </c>
      <c r="L721" t="s">
        <v>23</v>
      </c>
      <c r="M721">
        <v>1150.06</v>
      </c>
    </row>
    <row r="722" spans="1:13" x14ac:dyDescent="0.25">
      <c r="A722">
        <v>1720</v>
      </c>
      <c r="B722" t="s">
        <v>767</v>
      </c>
      <c r="C722" t="s">
        <v>20</v>
      </c>
      <c r="D722" t="s">
        <v>118</v>
      </c>
      <c r="E722">
        <v>3</v>
      </c>
      <c r="F722">
        <v>3667.54</v>
      </c>
      <c r="G722">
        <f t="shared" si="22"/>
        <v>11002.619999999999</v>
      </c>
      <c r="H722" s="3">
        <v>0.56999999999999995</v>
      </c>
      <c r="I722">
        <f t="shared" si="23"/>
        <v>4731.1266000000005</v>
      </c>
      <c r="J722" s="1">
        <v>45138</v>
      </c>
      <c r="K722" t="s">
        <v>18</v>
      </c>
      <c r="L722" t="s">
        <v>23</v>
      </c>
      <c r="M722">
        <v>459.43</v>
      </c>
    </row>
    <row r="723" spans="1:13" x14ac:dyDescent="0.25">
      <c r="A723">
        <v>1721</v>
      </c>
      <c r="B723" t="s">
        <v>768</v>
      </c>
      <c r="C723" t="s">
        <v>36</v>
      </c>
      <c r="D723" t="s">
        <v>59</v>
      </c>
      <c r="E723">
        <v>2</v>
      </c>
      <c r="G723">
        <f t="shared" si="22"/>
        <v>0</v>
      </c>
      <c r="I723">
        <f t="shared" si="23"/>
        <v>0</v>
      </c>
      <c r="J723" s="1">
        <v>45575</v>
      </c>
      <c r="K723" t="s">
        <v>15</v>
      </c>
      <c r="L723" t="s">
        <v>16</v>
      </c>
      <c r="M723">
        <v>788.55</v>
      </c>
    </row>
    <row r="724" spans="1:13" x14ac:dyDescent="0.25">
      <c r="A724">
        <v>1722</v>
      </c>
      <c r="B724" t="s">
        <v>769</v>
      </c>
      <c r="C724" t="s">
        <v>20</v>
      </c>
      <c r="D724" t="s">
        <v>76</v>
      </c>
      <c r="E724">
        <v>2</v>
      </c>
      <c r="G724">
        <f t="shared" si="22"/>
        <v>0</v>
      </c>
      <c r="H724" s="3">
        <v>0.85</v>
      </c>
      <c r="I724">
        <f t="shared" si="23"/>
        <v>0</v>
      </c>
      <c r="K724" t="s">
        <v>22</v>
      </c>
      <c r="L724" t="s">
        <v>16</v>
      </c>
      <c r="M724">
        <v>1010.08</v>
      </c>
    </row>
    <row r="725" spans="1:13" x14ac:dyDescent="0.25">
      <c r="A725">
        <v>1723</v>
      </c>
      <c r="B725" t="s">
        <v>770</v>
      </c>
      <c r="C725" t="s">
        <v>36</v>
      </c>
      <c r="D725" t="s">
        <v>87</v>
      </c>
      <c r="E725">
        <v>4</v>
      </c>
      <c r="G725">
        <f t="shared" si="22"/>
        <v>0</v>
      </c>
      <c r="H725" s="3">
        <v>0.2</v>
      </c>
      <c r="I725">
        <f t="shared" si="23"/>
        <v>0</v>
      </c>
      <c r="J725" s="1">
        <v>45827</v>
      </c>
      <c r="K725" t="s">
        <v>18</v>
      </c>
      <c r="L725" t="s">
        <v>23</v>
      </c>
      <c r="M725">
        <v>351.59</v>
      </c>
    </row>
    <row r="726" spans="1:13" x14ac:dyDescent="0.25">
      <c r="A726">
        <v>1724</v>
      </c>
      <c r="B726" t="s">
        <v>771</v>
      </c>
      <c r="C726" t="s">
        <v>13</v>
      </c>
      <c r="D726" t="s">
        <v>98</v>
      </c>
      <c r="E726">
        <v>2</v>
      </c>
      <c r="F726">
        <v>2047.6</v>
      </c>
      <c r="G726">
        <f t="shared" si="22"/>
        <v>4095.2</v>
      </c>
      <c r="H726" s="3">
        <v>0.92</v>
      </c>
      <c r="I726">
        <f t="shared" si="23"/>
        <v>327.61599999999981</v>
      </c>
      <c r="J726" s="1">
        <v>45556</v>
      </c>
      <c r="K726" t="s">
        <v>38</v>
      </c>
      <c r="L726" t="s">
        <v>23</v>
      </c>
      <c r="M726">
        <v>123.78</v>
      </c>
    </row>
    <row r="727" spans="1:13" x14ac:dyDescent="0.25">
      <c r="A727">
        <v>1725</v>
      </c>
      <c r="B727" t="s">
        <v>772</v>
      </c>
      <c r="C727" t="s">
        <v>36</v>
      </c>
      <c r="D727" t="s">
        <v>55</v>
      </c>
      <c r="E727">
        <v>3</v>
      </c>
      <c r="F727">
        <v>671.5</v>
      </c>
      <c r="G727">
        <f t="shared" si="22"/>
        <v>2014.5</v>
      </c>
      <c r="I727">
        <f t="shared" si="23"/>
        <v>2014.5</v>
      </c>
      <c r="J727" s="1">
        <v>45517</v>
      </c>
      <c r="K727" t="s">
        <v>2517</v>
      </c>
      <c r="L727" t="s">
        <v>23</v>
      </c>
      <c r="M727">
        <v>1938.72</v>
      </c>
    </row>
    <row r="728" spans="1:13" x14ac:dyDescent="0.25">
      <c r="A728">
        <v>1726</v>
      </c>
      <c r="B728" t="s">
        <v>773</v>
      </c>
      <c r="C728" t="s">
        <v>36</v>
      </c>
      <c r="D728" t="s">
        <v>87</v>
      </c>
      <c r="E728">
        <v>5</v>
      </c>
      <c r="F728">
        <v>1363.51</v>
      </c>
      <c r="G728">
        <f t="shared" si="22"/>
        <v>6817.55</v>
      </c>
      <c r="H728" s="3">
        <v>1.26</v>
      </c>
      <c r="I728">
        <f t="shared" si="23"/>
        <v>-1772.5630000000001</v>
      </c>
      <c r="J728" s="1">
        <v>45691</v>
      </c>
      <c r="K728" t="s">
        <v>38</v>
      </c>
      <c r="L728" t="s">
        <v>16</v>
      </c>
      <c r="M728">
        <v>2854.74</v>
      </c>
    </row>
    <row r="729" spans="1:13" x14ac:dyDescent="0.25">
      <c r="A729">
        <v>1727</v>
      </c>
      <c r="B729" t="s">
        <v>774</v>
      </c>
      <c r="C729" t="s">
        <v>28</v>
      </c>
      <c r="D729" t="s">
        <v>116</v>
      </c>
      <c r="E729">
        <v>5</v>
      </c>
      <c r="G729">
        <f t="shared" si="22"/>
        <v>0</v>
      </c>
      <c r="H729" s="3">
        <v>0.76</v>
      </c>
      <c r="I729">
        <f t="shared" si="23"/>
        <v>0</v>
      </c>
      <c r="K729" t="s">
        <v>22</v>
      </c>
      <c r="L729" t="s">
        <v>16</v>
      </c>
      <c r="M729">
        <v>1252.83</v>
      </c>
    </row>
    <row r="730" spans="1:13" x14ac:dyDescent="0.25">
      <c r="A730">
        <v>1728</v>
      </c>
      <c r="B730" t="s">
        <v>775</v>
      </c>
      <c r="C730" t="s">
        <v>25</v>
      </c>
      <c r="D730" t="s">
        <v>26</v>
      </c>
      <c r="E730">
        <v>1</v>
      </c>
      <c r="F730">
        <v>733.15</v>
      </c>
      <c r="G730">
        <f t="shared" si="22"/>
        <v>733.15</v>
      </c>
      <c r="H730" s="3">
        <v>0.27</v>
      </c>
      <c r="I730">
        <f t="shared" si="23"/>
        <v>535.19949999999994</v>
      </c>
      <c r="J730" s="1">
        <v>45682</v>
      </c>
      <c r="K730" t="s">
        <v>18</v>
      </c>
      <c r="L730" t="s">
        <v>23</v>
      </c>
      <c r="M730">
        <v>273.12</v>
      </c>
    </row>
    <row r="731" spans="1:13" x14ac:dyDescent="0.25">
      <c r="A731">
        <v>1729</v>
      </c>
      <c r="B731" t="s">
        <v>776</v>
      </c>
      <c r="C731" t="s">
        <v>13</v>
      </c>
      <c r="D731" t="s">
        <v>34</v>
      </c>
      <c r="E731">
        <v>2</v>
      </c>
      <c r="F731">
        <v>416.58</v>
      </c>
      <c r="G731">
        <f t="shared" si="22"/>
        <v>833.16</v>
      </c>
      <c r="I731">
        <f t="shared" si="23"/>
        <v>833.16</v>
      </c>
      <c r="K731" t="s">
        <v>38</v>
      </c>
      <c r="L731" t="s">
        <v>23</v>
      </c>
      <c r="M731">
        <v>-765.44</v>
      </c>
    </row>
    <row r="732" spans="1:13" x14ac:dyDescent="0.25">
      <c r="A732">
        <v>1730</v>
      </c>
      <c r="B732" t="s">
        <v>777</v>
      </c>
      <c r="C732" t="s">
        <v>36</v>
      </c>
      <c r="D732" t="s">
        <v>59</v>
      </c>
      <c r="E732">
        <v>0</v>
      </c>
      <c r="F732">
        <v>3933.55</v>
      </c>
      <c r="G732">
        <f t="shared" si="22"/>
        <v>0</v>
      </c>
      <c r="I732">
        <f t="shared" si="23"/>
        <v>0</v>
      </c>
      <c r="J732" s="1">
        <v>45666</v>
      </c>
      <c r="K732" t="s">
        <v>38</v>
      </c>
      <c r="L732" t="s">
        <v>16</v>
      </c>
      <c r="M732">
        <v>2728.66</v>
      </c>
    </row>
    <row r="733" spans="1:13" x14ac:dyDescent="0.25">
      <c r="A733">
        <v>1731</v>
      </c>
      <c r="B733" t="s">
        <v>778</v>
      </c>
      <c r="C733" t="s">
        <v>20</v>
      </c>
      <c r="D733" t="s">
        <v>118</v>
      </c>
      <c r="E733">
        <v>2</v>
      </c>
      <c r="G733">
        <f t="shared" si="22"/>
        <v>0</v>
      </c>
      <c r="H733" s="3">
        <v>1</v>
      </c>
      <c r="I733">
        <f t="shared" si="23"/>
        <v>0</v>
      </c>
      <c r="J733" s="1">
        <v>45532</v>
      </c>
      <c r="K733" t="s">
        <v>22</v>
      </c>
      <c r="L733" t="s">
        <v>16</v>
      </c>
      <c r="M733">
        <v>2108.61</v>
      </c>
    </row>
    <row r="734" spans="1:13" x14ac:dyDescent="0.25">
      <c r="A734">
        <v>1732</v>
      </c>
      <c r="B734" t="s">
        <v>779</v>
      </c>
      <c r="C734" t="s">
        <v>36</v>
      </c>
      <c r="D734" t="s">
        <v>59</v>
      </c>
      <c r="E734">
        <v>5</v>
      </c>
      <c r="F734">
        <v>4982.68</v>
      </c>
      <c r="G734">
        <f t="shared" si="22"/>
        <v>24913.4</v>
      </c>
      <c r="I734">
        <f t="shared" si="23"/>
        <v>24913.4</v>
      </c>
      <c r="J734" s="1">
        <v>45236</v>
      </c>
      <c r="K734" t="s">
        <v>22</v>
      </c>
      <c r="L734" t="s">
        <v>23</v>
      </c>
      <c r="M734">
        <v>2239.42</v>
      </c>
    </row>
    <row r="735" spans="1:13" x14ac:dyDescent="0.25">
      <c r="A735">
        <v>1733</v>
      </c>
      <c r="B735" t="s">
        <v>780</v>
      </c>
      <c r="C735" t="s">
        <v>20</v>
      </c>
      <c r="D735" t="s">
        <v>76</v>
      </c>
      <c r="E735">
        <v>-2</v>
      </c>
      <c r="F735">
        <v>721.25</v>
      </c>
      <c r="G735">
        <f t="shared" si="22"/>
        <v>-1442.5</v>
      </c>
      <c r="I735">
        <f t="shared" si="23"/>
        <v>-1442.5</v>
      </c>
      <c r="J735" s="1">
        <v>45686</v>
      </c>
      <c r="K735" t="s">
        <v>15</v>
      </c>
      <c r="L735" t="s">
        <v>16</v>
      </c>
      <c r="M735">
        <v>-936.38</v>
      </c>
    </row>
    <row r="736" spans="1:13" x14ac:dyDescent="0.25">
      <c r="A736">
        <v>1734</v>
      </c>
      <c r="B736" t="s">
        <v>781</v>
      </c>
      <c r="C736" t="s">
        <v>20</v>
      </c>
      <c r="D736" t="s">
        <v>118</v>
      </c>
      <c r="E736">
        <v>0</v>
      </c>
      <c r="G736">
        <f t="shared" si="22"/>
        <v>0</v>
      </c>
      <c r="I736">
        <f t="shared" si="23"/>
        <v>0</v>
      </c>
      <c r="J736" s="1">
        <v>45687</v>
      </c>
      <c r="K736" t="s">
        <v>2517</v>
      </c>
      <c r="L736" t="s">
        <v>16</v>
      </c>
      <c r="M736">
        <v>-461.7</v>
      </c>
    </row>
    <row r="737" spans="1:13" x14ac:dyDescent="0.25">
      <c r="A737">
        <v>1735</v>
      </c>
      <c r="B737" t="s">
        <v>782</v>
      </c>
      <c r="C737" t="s">
        <v>20</v>
      </c>
      <c r="D737" t="s">
        <v>21</v>
      </c>
      <c r="E737">
        <v>4</v>
      </c>
      <c r="G737">
        <f t="shared" si="22"/>
        <v>0</v>
      </c>
      <c r="H737" s="3">
        <v>1.06</v>
      </c>
      <c r="I737">
        <f t="shared" si="23"/>
        <v>0</v>
      </c>
      <c r="J737" s="1">
        <v>45654</v>
      </c>
      <c r="K737" t="s">
        <v>22</v>
      </c>
      <c r="L737" t="s">
        <v>16</v>
      </c>
      <c r="M737">
        <v>2607.4299999999998</v>
      </c>
    </row>
    <row r="738" spans="1:13" x14ac:dyDescent="0.25">
      <c r="A738">
        <v>1736</v>
      </c>
      <c r="B738" t="s">
        <v>783</v>
      </c>
      <c r="C738" t="s">
        <v>20</v>
      </c>
      <c r="D738" t="s">
        <v>21</v>
      </c>
      <c r="E738">
        <v>2</v>
      </c>
      <c r="F738">
        <v>1144.47</v>
      </c>
      <c r="G738">
        <f t="shared" si="22"/>
        <v>2288.94</v>
      </c>
      <c r="H738" s="3">
        <v>0.09</v>
      </c>
      <c r="I738">
        <f t="shared" si="23"/>
        <v>2082.9354000000003</v>
      </c>
      <c r="J738" s="1">
        <v>45511</v>
      </c>
      <c r="K738" t="s">
        <v>38</v>
      </c>
      <c r="L738" t="s">
        <v>23</v>
      </c>
      <c r="M738">
        <v>1236.6199999999999</v>
      </c>
    </row>
    <row r="739" spans="1:13" x14ac:dyDescent="0.25">
      <c r="A739">
        <v>1737</v>
      </c>
      <c r="B739" t="s">
        <v>784</v>
      </c>
      <c r="C739" t="s">
        <v>36</v>
      </c>
      <c r="D739" t="s">
        <v>37</v>
      </c>
      <c r="E739">
        <v>5</v>
      </c>
      <c r="F739">
        <v>2220.4699999999998</v>
      </c>
      <c r="G739">
        <f t="shared" si="22"/>
        <v>11102.349999999999</v>
      </c>
      <c r="I739">
        <f t="shared" si="23"/>
        <v>11102.349999999999</v>
      </c>
      <c r="K739" t="s">
        <v>44</v>
      </c>
      <c r="L739" t="s">
        <v>16</v>
      </c>
      <c r="M739">
        <v>-156.87</v>
      </c>
    </row>
    <row r="740" spans="1:13" x14ac:dyDescent="0.25">
      <c r="A740">
        <v>1738</v>
      </c>
      <c r="B740" t="s">
        <v>785</v>
      </c>
      <c r="C740" t="s">
        <v>31</v>
      </c>
      <c r="D740" t="s">
        <v>68</v>
      </c>
      <c r="E740">
        <v>2</v>
      </c>
      <c r="F740">
        <v>1171.19</v>
      </c>
      <c r="G740">
        <f t="shared" si="22"/>
        <v>2342.38</v>
      </c>
      <c r="I740">
        <f t="shared" si="23"/>
        <v>2342.38</v>
      </c>
      <c r="J740" s="1">
        <v>45698</v>
      </c>
      <c r="K740" t="s">
        <v>18</v>
      </c>
      <c r="L740" t="s">
        <v>16</v>
      </c>
      <c r="M740">
        <v>2205.44</v>
      </c>
    </row>
    <row r="741" spans="1:13" x14ac:dyDescent="0.25">
      <c r="A741">
        <v>1739</v>
      </c>
      <c r="B741" t="s">
        <v>786</v>
      </c>
      <c r="C741" t="s">
        <v>20</v>
      </c>
      <c r="D741" t="s">
        <v>84</v>
      </c>
      <c r="E741">
        <v>3</v>
      </c>
      <c r="F741">
        <v>963.18</v>
      </c>
      <c r="G741">
        <f t="shared" si="22"/>
        <v>2889.54</v>
      </c>
      <c r="I741">
        <f t="shared" si="23"/>
        <v>2889.54</v>
      </c>
      <c r="J741" s="1">
        <v>45658</v>
      </c>
      <c r="K741" t="s">
        <v>22</v>
      </c>
      <c r="L741" t="s">
        <v>23</v>
      </c>
      <c r="M741">
        <v>-114.6</v>
      </c>
    </row>
    <row r="742" spans="1:13" x14ac:dyDescent="0.25">
      <c r="A742">
        <v>1740</v>
      </c>
      <c r="B742" t="s">
        <v>787</v>
      </c>
      <c r="C742" t="s">
        <v>13</v>
      </c>
      <c r="D742" t="s">
        <v>14</v>
      </c>
      <c r="E742">
        <v>2</v>
      </c>
      <c r="G742">
        <f t="shared" si="22"/>
        <v>0</v>
      </c>
      <c r="I742">
        <f t="shared" si="23"/>
        <v>0</v>
      </c>
      <c r="J742" s="1">
        <v>45832</v>
      </c>
      <c r="K742" t="s">
        <v>18</v>
      </c>
      <c r="L742" t="s">
        <v>23</v>
      </c>
      <c r="M742">
        <v>796.49</v>
      </c>
    </row>
    <row r="743" spans="1:13" x14ac:dyDescent="0.25">
      <c r="A743">
        <v>1741</v>
      </c>
      <c r="B743" t="s">
        <v>788</v>
      </c>
      <c r="C743" t="s">
        <v>31</v>
      </c>
      <c r="D743" t="s">
        <v>78</v>
      </c>
      <c r="E743">
        <v>1</v>
      </c>
      <c r="F743">
        <v>1762.56</v>
      </c>
      <c r="G743">
        <f t="shared" si="22"/>
        <v>1762.56</v>
      </c>
      <c r="H743" s="3">
        <v>0.98</v>
      </c>
      <c r="I743">
        <f t="shared" si="23"/>
        <v>35.251200000000033</v>
      </c>
      <c r="J743" s="1">
        <v>45304</v>
      </c>
      <c r="K743" t="s">
        <v>18</v>
      </c>
      <c r="L743" t="s">
        <v>23</v>
      </c>
      <c r="M743">
        <v>1217.93</v>
      </c>
    </row>
    <row r="744" spans="1:13" x14ac:dyDescent="0.25">
      <c r="A744">
        <v>1742</v>
      </c>
      <c r="B744" t="s">
        <v>789</v>
      </c>
      <c r="C744" t="s">
        <v>13</v>
      </c>
      <c r="D744" t="s">
        <v>98</v>
      </c>
      <c r="E744">
        <v>2</v>
      </c>
      <c r="G744">
        <f t="shared" si="22"/>
        <v>0</v>
      </c>
      <c r="H744" s="3">
        <v>0.03</v>
      </c>
      <c r="I744">
        <f t="shared" si="23"/>
        <v>0</v>
      </c>
      <c r="K744" t="s">
        <v>38</v>
      </c>
      <c r="L744" t="s">
        <v>16</v>
      </c>
      <c r="M744">
        <v>-222.56</v>
      </c>
    </row>
    <row r="745" spans="1:13" x14ac:dyDescent="0.25">
      <c r="A745">
        <v>1743</v>
      </c>
      <c r="B745" t="s">
        <v>790</v>
      </c>
      <c r="C745" t="s">
        <v>31</v>
      </c>
      <c r="D745" t="s">
        <v>32</v>
      </c>
      <c r="E745">
        <v>2</v>
      </c>
      <c r="G745">
        <f t="shared" si="22"/>
        <v>0</v>
      </c>
      <c r="I745">
        <f t="shared" si="23"/>
        <v>0</v>
      </c>
      <c r="J745" s="1">
        <v>45782</v>
      </c>
      <c r="K745" t="s">
        <v>44</v>
      </c>
      <c r="L745" t="s">
        <v>16</v>
      </c>
      <c r="M745">
        <v>1490.6</v>
      </c>
    </row>
    <row r="746" spans="1:13" x14ac:dyDescent="0.25">
      <c r="A746">
        <v>1744</v>
      </c>
      <c r="B746" t="s">
        <v>791</v>
      </c>
      <c r="C746" t="s">
        <v>25</v>
      </c>
      <c r="D746" t="s">
        <v>82</v>
      </c>
      <c r="E746">
        <v>2</v>
      </c>
      <c r="G746">
        <f t="shared" si="22"/>
        <v>0</v>
      </c>
      <c r="I746">
        <f t="shared" si="23"/>
        <v>0</v>
      </c>
      <c r="J746" s="1">
        <v>45389</v>
      </c>
      <c r="K746" t="s">
        <v>22</v>
      </c>
      <c r="L746" t="s">
        <v>16</v>
      </c>
      <c r="M746">
        <v>1939.6</v>
      </c>
    </row>
    <row r="747" spans="1:13" x14ac:dyDescent="0.25">
      <c r="A747">
        <v>1745</v>
      </c>
      <c r="B747" t="s">
        <v>792</v>
      </c>
      <c r="C747" t="s">
        <v>31</v>
      </c>
      <c r="D747" t="s">
        <v>78</v>
      </c>
      <c r="E747">
        <v>4</v>
      </c>
      <c r="G747">
        <f t="shared" si="22"/>
        <v>0</v>
      </c>
      <c r="H747" s="3">
        <v>0.43</v>
      </c>
      <c r="I747">
        <f t="shared" si="23"/>
        <v>0</v>
      </c>
      <c r="J747" s="1">
        <v>45490</v>
      </c>
      <c r="K747" t="s">
        <v>38</v>
      </c>
      <c r="L747" t="s">
        <v>16</v>
      </c>
      <c r="M747">
        <v>723.22</v>
      </c>
    </row>
    <row r="748" spans="1:13" x14ac:dyDescent="0.25">
      <c r="A748">
        <v>1746</v>
      </c>
      <c r="B748" t="s">
        <v>793</v>
      </c>
      <c r="C748" t="s">
        <v>13</v>
      </c>
      <c r="D748" t="s">
        <v>14</v>
      </c>
      <c r="E748">
        <v>2</v>
      </c>
      <c r="G748">
        <f t="shared" si="22"/>
        <v>0</v>
      </c>
      <c r="H748" s="3">
        <v>0.37</v>
      </c>
      <c r="I748">
        <f t="shared" si="23"/>
        <v>0</v>
      </c>
      <c r="J748" s="1">
        <v>45176</v>
      </c>
      <c r="K748" t="s">
        <v>38</v>
      </c>
      <c r="L748" t="s">
        <v>16</v>
      </c>
      <c r="M748">
        <v>2037.45</v>
      </c>
    </row>
    <row r="749" spans="1:13" x14ac:dyDescent="0.25">
      <c r="A749">
        <v>1747</v>
      </c>
      <c r="B749" t="s">
        <v>794</v>
      </c>
      <c r="C749" t="s">
        <v>31</v>
      </c>
      <c r="D749" t="s">
        <v>42</v>
      </c>
      <c r="E749">
        <v>2</v>
      </c>
      <c r="F749">
        <v>405.37</v>
      </c>
      <c r="G749">
        <f t="shared" si="22"/>
        <v>810.74</v>
      </c>
      <c r="I749">
        <f t="shared" si="23"/>
        <v>810.74</v>
      </c>
      <c r="K749" t="s">
        <v>44</v>
      </c>
      <c r="L749" t="s">
        <v>16</v>
      </c>
      <c r="M749">
        <v>375.4</v>
      </c>
    </row>
    <row r="750" spans="1:13" x14ac:dyDescent="0.25">
      <c r="A750">
        <v>1748</v>
      </c>
      <c r="B750" t="s">
        <v>795</v>
      </c>
      <c r="C750" t="s">
        <v>36</v>
      </c>
      <c r="D750" t="s">
        <v>59</v>
      </c>
      <c r="E750">
        <v>2</v>
      </c>
      <c r="G750">
        <f t="shared" si="22"/>
        <v>0</v>
      </c>
      <c r="I750">
        <f t="shared" si="23"/>
        <v>0</v>
      </c>
      <c r="J750" s="1">
        <v>45547</v>
      </c>
      <c r="K750" t="s">
        <v>18</v>
      </c>
      <c r="L750" t="s">
        <v>23</v>
      </c>
      <c r="M750">
        <v>1687.82</v>
      </c>
    </row>
    <row r="751" spans="1:13" x14ac:dyDescent="0.25">
      <c r="A751">
        <v>1749</v>
      </c>
      <c r="B751" t="s">
        <v>228</v>
      </c>
      <c r="C751" t="s">
        <v>25</v>
      </c>
      <c r="D751" t="s">
        <v>26</v>
      </c>
      <c r="E751">
        <v>2</v>
      </c>
      <c r="F751">
        <v>4499.3900000000003</v>
      </c>
      <c r="G751">
        <f t="shared" si="22"/>
        <v>8998.7800000000007</v>
      </c>
      <c r="I751">
        <f t="shared" si="23"/>
        <v>8998.7800000000007</v>
      </c>
      <c r="J751" s="1">
        <v>45743</v>
      </c>
      <c r="K751" t="s">
        <v>15</v>
      </c>
      <c r="L751" t="s">
        <v>16</v>
      </c>
      <c r="M751">
        <v>17.489999999999998</v>
      </c>
    </row>
    <row r="752" spans="1:13" x14ac:dyDescent="0.25">
      <c r="A752">
        <v>1750</v>
      </c>
      <c r="B752" t="s">
        <v>796</v>
      </c>
      <c r="C752" t="s">
        <v>36</v>
      </c>
      <c r="D752" t="s">
        <v>55</v>
      </c>
      <c r="E752">
        <v>2</v>
      </c>
      <c r="F752">
        <v>2653.9</v>
      </c>
      <c r="G752">
        <f t="shared" si="22"/>
        <v>5307.8</v>
      </c>
      <c r="H752" s="3">
        <v>0.56000000000000005</v>
      </c>
      <c r="I752">
        <f t="shared" si="23"/>
        <v>2335.4319999999998</v>
      </c>
      <c r="J752" s="1">
        <v>45853</v>
      </c>
      <c r="K752" t="s">
        <v>38</v>
      </c>
      <c r="L752" t="s">
        <v>23</v>
      </c>
      <c r="M752">
        <v>2394.02</v>
      </c>
    </row>
    <row r="753" spans="1:13" x14ac:dyDescent="0.25">
      <c r="A753">
        <v>1751</v>
      </c>
      <c r="B753" t="s">
        <v>797</v>
      </c>
      <c r="C753" t="s">
        <v>20</v>
      </c>
      <c r="D753" t="s">
        <v>21</v>
      </c>
      <c r="E753">
        <v>2</v>
      </c>
      <c r="G753">
        <f t="shared" si="22"/>
        <v>0</v>
      </c>
      <c r="I753">
        <f t="shared" si="23"/>
        <v>0</v>
      </c>
      <c r="K753" t="s">
        <v>44</v>
      </c>
      <c r="L753" t="s">
        <v>16</v>
      </c>
      <c r="M753">
        <v>59.73</v>
      </c>
    </row>
    <row r="754" spans="1:13" x14ac:dyDescent="0.25">
      <c r="A754">
        <v>1752</v>
      </c>
      <c r="B754" t="s">
        <v>798</v>
      </c>
      <c r="C754" t="s">
        <v>13</v>
      </c>
      <c r="D754" t="s">
        <v>14</v>
      </c>
      <c r="E754">
        <v>5</v>
      </c>
      <c r="F754">
        <v>2177.1999999999998</v>
      </c>
      <c r="G754">
        <f t="shared" si="22"/>
        <v>10886</v>
      </c>
      <c r="I754">
        <f t="shared" si="23"/>
        <v>10886</v>
      </c>
      <c r="K754" t="s">
        <v>44</v>
      </c>
      <c r="L754" t="s">
        <v>23</v>
      </c>
      <c r="M754">
        <v>-341.7</v>
      </c>
    </row>
    <row r="755" spans="1:13" x14ac:dyDescent="0.25">
      <c r="A755">
        <v>1753</v>
      </c>
      <c r="B755" t="s">
        <v>799</v>
      </c>
      <c r="C755" t="s">
        <v>20</v>
      </c>
      <c r="D755" t="s">
        <v>21</v>
      </c>
      <c r="E755">
        <v>-2</v>
      </c>
      <c r="G755">
        <f t="shared" si="22"/>
        <v>0</v>
      </c>
      <c r="I755">
        <f t="shared" si="23"/>
        <v>0</v>
      </c>
      <c r="J755" s="1">
        <v>45137</v>
      </c>
      <c r="K755" t="s">
        <v>18</v>
      </c>
      <c r="L755" t="s">
        <v>16</v>
      </c>
      <c r="M755">
        <v>1848.5</v>
      </c>
    </row>
    <row r="756" spans="1:13" x14ac:dyDescent="0.25">
      <c r="A756">
        <v>1754</v>
      </c>
      <c r="B756" t="s">
        <v>475</v>
      </c>
      <c r="C756" t="s">
        <v>28</v>
      </c>
      <c r="D756" t="s">
        <v>137</v>
      </c>
      <c r="E756">
        <v>2</v>
      </c>
      <c r="G756">
        <f t="shared" si="22"/>
        <v>0</v>
      </c>
      <c r="H756" s="3">
        <v>0.56999999999999995</v>
      </c>
      <c r="I756">
        <f t="shared" si="23"/>
        <v>0</v>
      </c>
      <c r="J756" s="1">
        <v>45727</v>
      </c>
      <c r="K756" t="s">
        <v>15</v>
      </c>
      <c r="L756" t="s">
        <v>16</v>
      </c>
      <c r="M756">
        <v>1945.55</v>
      </c>
    </row>
    <row r="757" spans="1:13" x14ac:dyDescent="0.25">
      <c r="A757">
        <v>1755</v>
      </c>
      <c r="B757" t="s">
        <v>800</v>
      </c>
      <c r="C757" t="s">
        <v>25</v>
      </c>
      <c r="D757" t="s">
        <v>51</v>
      </c>
      <c r="E757">
        <v>2</v>
      </c>
      <c r="G757">
        <f t="shared" si="22"/>
        <v>0</v>
      </c>
      <c r="H757" s="3">
        <v>0.76</v>
      </c>
      <c r="I757">
        <f t="shared" si="23"/>
        <v>0</v>
      </c>
      <c r="K757" t="s">
        <v>2517</v>
      </c>
      <c r="L757" t="s">
        <v>23</v>
      </c>
      <c r="M757">
        <v>-255.22</v>
      </c>
    </row>
    <row r="758" spans="1:13" x14ac:dyDescent="0.25">
      <c r="A758">
        <v>1756</v>
      </c>
      <c r="B758" t="s">
        <v>801</v>
      </c>
      <c r="C758" t="s">
        <v>25</v>
      </c>
      <c r="D758" t="s">
        <v>26</v>
      </c>
      <c r="E758">
        <v>5</v>
      </c>
      <c r="G758">
        <f t="shared" si="22"/>
        <v>0</v>
      </c>
      <c r="I758">
        <f t="shared" si="23"/>
        <v>0</v>
      </c>
      <c r="J758" s="1">
        <v>45672</v>
      </c>
      <c r="K758" t="s">
        <v>22</v>
      </c>
      <c r="L758" t="s">
        <v>16</v>
      </c>
      <c r="M758">
        <v>1627.12</v>
      </c>
    </row>
    <row r="759" spans="1:13" x14ac:dyDescent="0.25">
      <c r="A759">
        <v>1757</v>
      </c>
      <c r="B759" t="s">
        <v>802</v>
      </c>
      <c r="C759" t="s">
        <v>13</v>
      </c>
      <c r="D759" t="s">
        <v>14</v>
      </c>
      <c r="E759">
        <v>2</v>
      </c>
      <c r="F759">
        <v>3405.13</v>
      </c>
      <c r="G759">
        <f t="shared" si="22"/>
        <v>6810.26</v>
      </c>
      <c r="H759" s="3">
        <v>0.91</v>
      </c>
      <c r="I759">
        <f t="shared" si="23"/>
        <v>612.92339999999979</v>
      </c>
      <c r="K759" t="s">
        <v>38</v>
      </c>
      <c r="L759" t="s">
        <v>16</v>
      </c>
      <c r="M759">
        <v>1804.47</v>
      </c>
    </row>
    <row r="760" spans="1:13" x14ac:dyDescent="0.25">
      <c r="A760">
        <v>1758</v>
      </c>
      <c r="B760" t="s">
        <v>803</v>
      </c>
      <c r="C760" t="s">
        <v>25</v>
      </c>
      <c r="D760" t="s">
        <v>51</v>
      </c>
      <c r="E760">
        <v>2</v>
      </c>
      <c r="F760">
        <v>1307.6400000000001</v>
      </c>
      <c r="G760">
        <f t="shared" si="22"/>
        <v>2615.2800000000002</v>
      </c>
      <c r="H760" s="3">
        <v>0.18</v>
      </c>
      <c r="I760">
        <f t="shared" si="23"/>
        <v>2144.5296000000003</v>
      </c>
      <c r="J760" s="1">
        <v>45722</v>
      </c>
      <c r="K760" t="s">
        <v>22</v>
      </c>
      <c r="L760" t="s">
        <v>23</v>
      </c>
      <c r="M760">
        <v>-122.33</v>
      </c>
    </row>
    <row r="761" spans="1:13" x14ac:dyDescent="0.25">
      <c r="A761">
        <v>1759</v>
      </c>
      <c r="B761" t="s">
        <v>804</v>
      </c>
      <c r="C761" t="s">
        <v>31</v>
      </c>
      <c r="D761" t="s">
        <v>32</v>
      </c>
      <c r="E761">
        <v>0</v>
      </c>
      <c r="G761">
        <f t="shared" si="22"/>
        <v>0</v>
      </c>
      <c r="I761">
        <f t="shared" si="23"/>
        <v>0</v>
      </c>
      <c r="J761" s="1">
        <v>45654</v>
      </c>
      <c r="K761" t="s">
        <v>18</v>
      </c>
      <c r="L761" t="s">
        <v>16</v>
      </c>
      <c r="M761">
        <v>-278.64999999999998</v>
      </c>
    </row>
    <row r="762" spans="1:13" x14ac:dyDescent="0.25">
      <c r="A762">
        <v>1760</v>
      </c>
      <c r="B762" t="s">
        <v>805</v>
      </c>
      <c r="C762" t="s">
        <v>28</v>
      </c>
      <c r="D762" t="s">
        <v>116</v>
      </c>
      <c r="E762">
        <v>3</v>
      </c>
      <c r="F762">
        <v>4326.6000000000004</v>
      </c>
      <c r="G762">
        <f t="shared" si="22"/>
        <v>12979.800000000001</v>
      </c>
      <c r="I762">
        <f t="shared" si="23"/>
        <v>12979.800000000001</v>
      </c>
      <c r="J762" s="1">
        <v>45663</v>
      </c>
      <c r="K762" t="s">
        <v>18</v>
      </c>
      <c r="L762" t="s">
        <v>23</v>
      </c>
      <c r="M762">
        <v>1495.82</v>
      </c>
    </row>
    <row r="763" spans="1:13" x14ac:dyDescent="0.25">
      <c r="A763">
        <v>1761</v>
      </c>
      <c r="B763" t="s">
        <v>806</v>
      </c>
      <c r="C763" t="s">
        <v>20</v>
      </c>
      <c r="D763" t="s">
        <v>118</v>
      </c>
      <c r="E763">
        <v>3</v>
      </c>
      <c r="G763">
        <f t="shared" si="22"/>
        <v>0</v>
      </c>
      <c r="H763" s="3">
        <v>0.37</v>
      </c>
      <c r="I763">
        <f t="shared" si="23"/>
        <v>0</v>
      </c>
      <c r="J763" s="1">
        <v>45540</v>
      </c>
      <c r="K763" t="s">
        <v>22</v>
      </c>
      <c r="L763" t="s">
        <v>23</v>
      </c>
      <c r="M763">
        <v>2989.57</v>
      </c>
    </row>
    <row r="764" spans="1:13" x14ac:dyDescent="0.25">
      <c r="A764">
        <v>1762</v>
      </c>
      <c r="B764" t="s">
        <v>807</v>
      </c>
      <c r="C764" t="s">
        <v>20</v>
      </c>
      <c r="D764" t="s">
        <v>21</v>
      </c>
      <c r="E764">
        <v>2</v>
      </c>
      <c r="F764">
        <v>1364.9</v>
      </c>
      <c r="G764">
        <f t="shared" si="22"/>
        <v>2729.8</v>
      </c>
      <c r="H764" s="3">
        <v>0.17</v>
      </c>
      <c r="I764">
        <f t="shared" si="23"/>
        <v>2265.7339999999999</v>
      </c>
      <c r="J764" s="1">
        <v>45604</v>
      </c>
      <c r="K764" t="s">
        <v>15</v>
      </c>
      <c r="L764" t="s">
        <v>16</v>
      </c>
      <c r="M764">
        <v>1591.99</v>
      </c>
    </row>
    <row r="765" spans="1:13" x14ac:dyDescent="0.25">
      <c r="A765">
        <v>1763</v>
      </c>
      <c r="B765" t="s">
        <v>808</v>
      </c>
      <c r="C765" t="s">
        <v>25</v>
      </c>
      <c r="D765" t="s">
        <v>62</v>
      </c>
      <c r="E765">
        <v>2</v>
      </c>
      <c r="F765">
        <v>1874.56</v>
      </c>
      <c r="G765">
        <f t="shared" si="22"/>
        <v>3749.12</v>
      </c>
      <c r="I765">
        <f t="shared" si="23"/>
        <v>3749.12</v>
      </c>
      <c r="K765" t="s">
        <v>44</v>
      </c>
      <c r="L765" t="s">
        <v>16</v>
      </c>
      <c r="M765">
        <v>1906.32</v>
      </c>
    </row>
    <row r="766" spans="1:13" x14ac:dyDescent="0.25">
      <c r="A766">
        <v>1029</v>
      </c>
      <c r="B766" t="s">
        <v>809</v>
      </c>
      <c r="C766" t="s">
        <v>20</v>
      </c>
      <c r="D766" t="s">
        <v>76</v>
      </c>
      <c r="E766">
        <v>3</v>
      </c>
      <c r="F766">
        <v>4343.12</v>
      </c>
      <c r="G766">
        <f t="shared" si="22"/>
        <v>13029.36</v>
      </c>
      <c r="I766">
        <f t="shared" si="23"/>
        <v>13029.36</v>
      </c>
      <c r="J766" s="1">
        <v>45825</v>
      </c>
      <c r="K766" t="s">
        <v>2517</v>
      </c>
      <c r="L766" t="s">
        <v>16</v>
      </c>
      <c r="M766">
        <v>2997.11</v>
      </c>
    </row>
    <row r="767" spans="1:13" x14ac:dyDescent="0.25">
      <c r="A767">
        <v>1765</v>
      </c>
      <c r="B767" t="s">
        <v>810</v>
      </c>
      <c r="C767" t="s">
        <v>13</v>
      </c>
      <c r="D767" t="s">
        <v>47</v>
      </c>
      <c r="E767">
        <v>6</v>
      </c>
      <c r="F767">
        <v>1016.5</v>
      </c>
      <c r="G767">
        <f t="shared" si="22"/>
        <v>6099</v>
      </c>
      <c r="I767">
        <f t="shared" si="23"/>
        <v>6099</v>
      </c>
      <c r="J767" s="1">
        <v>45709</v>
      </c>
      <c r="K767" t="s">
        <v>22</v>
      </c>
      <c r="L767" t="s">
        <v>16</v>
      </c>
      <c r="M767">
        <v>-420.11</v>
      </c>
    </row>
    <row r="768" spans="1:13" x14ac:dyDescent="0.25">
      <c r="A768">
        <v>1766</v>
      </c>
      <c r="B768" t="s">
        <v>811</v>
      </c>
      <c r="C768" t="s">
        <v>20</v>
      </c>
      <c r="D768" t="s">
        <v>84</v>
      </c>
      <c r="E768">
        <v>0</v>
      </c>
      <c r="F768">
        <v>3589.19</v>
      </c>
      <c r="G768">
        <f t="shared" si="22"/>
        <v>0</v>
      </c>
      <c r="I768">
        <f t="shared" si="23"/>
        <v>0</v>
      </c>
      <c r="J768" s="1">
        <v>45838</v>
      </c>
      <c r="K768" t="s">
        <v>22</v>
      </c>
      <c r="L768" t="s">
        <v>16</v>
      </c>
      <c r="M768">
        <v>1880.22</v>
      </c>
    </row>
    <row r="769" spans="1:13" x14ac:dyDescent="0.25">
      <c r="A769">
        <v>1767</v>
      </c>
      <c r="B769" t="s">
        <v>812</v>
      </c>
      <c r="C769" t="s">
        <v>36</v>
      </c>
      <c r="D769" t="s">
        <v>55</v>
      </c>
      <c r="E769">
        <v>2</v>
      </c>
      <c r="F769">
        <v>2151.92</v>
      </c>
      <c r="G769">
        <f t="shared" si="22"/>
        <v>4303.84</v>
      </c>
      <c r="I769">
        <f t="shared" si="23"/>
        <v>4303.84</v>
      </c>
      <c r="J769" s="1">
        <v>45850</v>
      </c>
      <c r="K769" t="s">
        <v>22</v>
      </c>
      <c r="L769" t="s">
        <v>23</v>
      </c>
      <c r="M769">
        <v>2383.83</v>
      </c>
    </row>
    <row r="770" spans="1:13" x14ac:dyDescent="0.25">
      <c r="A770">
        <v>1768</v>
      </c>
      <c r="B770" t="s">
        <v>813</v>
      </c>
      <c r="C770" t="s">
        <v>25</v>
      </c>
      <c r="D770" t="s">
        <v>62</v>
      </c>
      <c r="E770">
        <v>5</v>
      </c>
      <c r="F770">
        <v>3548.22</v>
      </c>
      <c r="G770">
        <f t="shared" si="22"/>
        <v>17741.099999999999</v>
      </c>
      <c r="I770">
        <f t="shared" si="23"/>
        <v>17741.099999999999</v>
      </c>
      <c r="J770" s="1">
        <v>45133</v>
      </c>
      <c r="K770" t="s">
        <v>22</v>
      </c>
      <c r="L770" t="s">
        <v>23</v>
      </c>
      <c r="M770">
        <v>2960.22</v>
      </c>
    </row>
    <row r="771" spans="1:13" x14ac:dyDescent="0.25">
      <c r="A771">
        <v>1769</v>
      </c>
      <c r="B771" t="s">
        <v>814</v>
      </c>
      <c r="C771" t="s">
        <v>20</v>
      </c>
      <c r="D771" t="s">
        <v>118</v>
      </c>
      <c r="E771">
        <v>2</v>
      </c>
      <c r="G771">
        <f t="shared" ref="G771:G834" si="24">F771*E771</f>
        <v>0</v>
      </c>
      <c r="H771" s="3">
        <v>1</v>
      </c>
      <c r="I771">
        <f t="shared" ref="I771:I834" si="25">G771*(1-H771)</f>
        <v>0</v>
      </c>
      <c r="J771" s="1">
        <v>45626</v>
      </c>
      <c r="K771" t="s">
        <v>15</v>
      </c>
      <c r="L771" t="s">
        <v>16</v>
      </c>
      <c r="M771">
        <v>989.57</v>
      </c>
    </row>
    <row r="772" spans="1:13" x14ac:dyDescent="0.25">
      <c r="A772">
        <v>1770</v>
      </c>
      <c r="B772" t="s">
        <v>815</v>
      </c>
      <c r="C772" t="s">
        <v>36</v>
      </c>
      <c r="D772" t="s">
        <v>55</v>
      </c>
      <c r="E772">
        <v>0</v>
      </c>
      <c r="G772">
        <f t="shared" si="24"/>
        <v>0</v>
      </c>
      <c r="I772">
        <f t="shared" si="25"/>
        <v>0</v>
      </c>
      <c r="J772" s="1">
        <v>45197</v>
      </c>
      <c r="K772" t="s">
        <v>44</v>
      </c>
      <c r="L772" t="s">
        <v>16</v>
      </c>
      <c r="M772">
        <v>2366.9699999999998</v>
      </c>
    </row>
    <row r="773" spans="1:13" x14ac:dyDescent="0.25">
      <c r="A773">
        <v>1771</v>
      </c>
      <c r="B773" t="s">
        <v>816</v>
      </c>
      <c r="C773" t="s">
        <v>25</v>
      </c>
      <c r="D773" t="s">
        <v>62</v>
      </c>
      <c r="E773">
        <v>-1</v>
      </c>
      <c r="F773">
        <v>730.48</v>
      </c>
      <c r="G773">
        <f t="shared" si="24"/>
        <v>-730.48</v>
      </c>
      <c r="I773">
        <f t="shared" si="25"/>
        <v>-730.48</v>
      </c>
      <c r="J773" s="1">
        <v>45664</v>
      </c>
      <c r="K773" t="s">
        <v>2517</v>
      </c>
      <c r="L773" t="s">
        <v>16</v>
      </c>
      <c r="M773">
        <v>-162.02000000000001</v>
      </c>
    </row>
    <row r="774" spans="1:13" x14ac:dyDescent="0.25">
      <c r="A774">
        <v>1772</v>
      </c>
      <c r="B774" t="s">
        <v>817</v>
      </c>
      <c r="C774" t="s">
        <v>13</v>
      </c>
      <c r="D774" t="s">
        <v>34</v>
      </c>
      <c r="E774">
        <v>2</v>
      </c>
      <c r="G774">
        <f t="shared" si="24"/>
        <v>0</v>
      </c>
      <c r="H774" s="3">
        <v>0.38</v>
      </c>
      <c r="I774">
        <f t="shared" si="25"/>
        <v>0</v>
      </c>
      <c r="J774" s="1">
        <v>45816</v>
      </c>
      <c r="K774" t="s">
        <v>18</v>
      </c>
      <c r="L774" t="s">
        <v>16</v>
      </c>
      <c r="M774">
        <v>545.03</v>
      </c>
    </row>
    <row r="775" spans="1:13" x14ac:dyDescent="0.25">
      <c r="A775">
        <v>1773</v>
      </c>
      <c r="B775" t="s">
        <v>818</v>
      </c>
      <c r="C775" t="s">
        <v>28</v>
      </c>
      <c r="D775" t="s">
        <v>116</v>
      </c>
      <c r="E775">
        <v>2</v>
      </c>
      <c r="F775">
        <v>444.82</v>
      </c>
      <c r="G775">
        <f t="shared" si="24"/>
        <v>889.64</v>
      </c>
      <c r="H775" s="3">
        <v>0.51</v>
      </c>
      <c r="I775">
        <f t="shared" si="25"/>
        <v>435.92359999999996</v>
      </c>
      <c r="K775" t="s">
        <v>2517</v>
      </c>
      <c r="L775" t="s">
        <v>16</v>
      </c>
      <c r="M775">
        <v>1838.59</v>
      </c>
    </row>
    <row r="776" spans="1:13" x14ac:dyDescent="0.25">
      <c r="A776">
        <v>1774</v>
      </c>
      <c r="B776" t="s">
        <v>819</v>
      </c>
      <c r="C776" t="s">
        <v>28</v>
      </c>
      <c r="D776" t="s">
        <v>40</v>
      </c>
      <c r="E776">
        <v>3</v>
      </c>
      <c r="F776">
        <v>4137.43</v>
      </c>
      <c r="G776">
        <f t="shared" si="24"/>
        <v>12412.29</v>
      </c>
      <c r="I776">
        <f t="shared" si="25"/>
        <v>12412.29</v>
      </c>
      <c r="J776" s="1">
        <v>45777</v>
      </c>
      <c r="K776" t="s">
        <v>18</v>
      </c>
      <c r="L776" t="s">
        <v>16</v>
      </c>
      <c r="M776">
        <v>895.53</v>
      </c>
    </row>
    <row r="777" spans="1:13" x14ac:dyDescent="0.25">
      <c r="A777">
        <v>1775</v>
      </c>
      <c r="B777" t="s">
        <v>820</v>
      </c>
      <c r="C777" t="s">
        <v>31</v>
      </c>
      <c r="D777" t="s">
        <v>78</v>
      </c>
      <c r="E777">
        <v>2</v>
      </c>
      <c r="G777">
        <f t="shared" si="24"/>
        <v>0</v>
      </c>
      <c r="H777" s="3">
        <v>1.01</v>
      </c>
      <c r="I777">
        <f t="shared" si="25"/>
        <v>0</v>
      </c>
      <c r="K777" t="s">
        <v>18</v>
      </c>
      <c r="L777" t="s">
        <v>16</v>
      </c>
      <c r="M777">
        <v>2275.5500000000002</v>
      </c>
    </row>
    <row r="778" spans="1:13" x14ac:dyDescent="0.25">
      <c r="A778">
        <v>1776</v>
      </c>
      <c r="B778" t="s">
        <v>821</v>
      </c>
      <c r="C778" t="s">
        <v>25</v>
      </c>
      <c r="D778" t="s">
        <v>82</v>
      </c>
      <c r="E778">
        <v>4</v>
      </c>
      <c r="F778">
        <v>4684.9799999999996</v>
      </c>
      <c r="G778">
        <f t="shared" si="24"/>
        <v>18739.919999999998</v>
      </c>
      <c r="I778">
        <f t="shared" si="25"/>
        <v>18739.919999999998</v>
      </c>
      <c r="K778" t="s">
        <v>44</v>
      </c>
      <c r="L778" t="s">
        <v>16</v>
      </c>
      <c r="M778">
        <v>-360.88</v>
      </c>
    </row>
    <row r="779" spans="1:13" x14ac:dyDescent="0.25">
      <c r="A779">
        <v>1777</v>
      </c>
      <c r="B779" t="s">
        <v>822</v>
      </c>
      <c r="C779" t="s">
        <v>36</v>
      </c>
      <c r="D779" t="s">
        <v>59</v>
      </c>
      <c r="E779">
        <v>2</v>
      </c>
      <c r="G779">
        <f t="shared" si="24"/>
        <v>0</v>
      </c>
      <c r="I779">
        <f t="shared" si="25"/>
        <v>0</v>
      </c>
      <c r="J779" s="1">
        <v>45401</v>
      </c>
      <c r="K779" t="s">
        <v>15</v>
      </c>
      <c r="L779" t="s">
        <v>23</v>
      </c>
      <c r="M779">
        <v>1292.0899999999999</v>
      </c>
    </row>
    <row r="780" spans="1:13" x14ac:dyDescent="0.25">
      <c r="A780">
        <v>1778</v>
      </c>
      <c r="B780" t="s">
        <v>823</v>
      </c>
      <c r="C780" t="s">
        <v>31</v>
      </c>
      <c r="D780" t="s">
        <v>32</v>
      </c>
      <c r="E780">
        <v>5</v>
      </c>
      <c r="F780">
        <v>2716.57</v>
      </c>
      <c r="G780">
        <f t="shared" si="24"/>
        <v>13582.85</v>
      </c>
      <c r="I780">
        <f t="shared" si="25"/>
        <v>13582.85</v>
      </c>
      <c r="J780" s="1">
        <v>45569</v>
      </c>
      <c r="K780" t="s">
        <v>22</v>
      </c>
      <c r="L780" t="s">
        <v>16</v>
      </c>
      <c r="M780">
        <v>2059.98</v>
      </c>
    </row>
    <row r="781" spans="1:13" x14ac:dyDescent="0.25">
      <c r="A781">
        <v>1779</v>
      </c>
      <c r="B781" t="s">
        <v>86</v>
      </c>
      <c r="C781" t="s">
        <v>13</v>
      </c>
      <c r="D781" t="s">
        <v>34</v>
      </c>
      <c r="E781">
        <v>2</v>
      </c>
      <c r="G781">
        <f t="shared" si="24"/>
        <v>0</v>
      </c>
      <c r="I781">
        <f t="shared" si="25"/>
        <v>0</v>
      </c>
      <c r="J781" s="1">
        <v>45568</v>
      </c>
      <c r="K781" t="s">
        <v>2517</v>
      </c>
      <c r="L781" t="s">
        <v>16</v>
      </c>
      <c r="M781">
        <v>1861.39</v>
      </c>
    </row>
    <row r="782" spans="1:13" x14ac:dyDescent="0.25">
      <c r="A782">
        <v>1780</v>
      </c>
      <c r="B782" t="s">
        <v>824</v>
      </c>
      <c r="C782" t="s">
        <v>20</v>
      </c>
      <c r="D782" t="s">
        <v>118</v>
      </c>
      <c r="E782">
        <v>2</v>
      </c>
      <c r="G782">
        <f t="shared" si="24"/>
        <v>0</v>
      </c>
      <c r="I782">
        <f t="shared" si="25"/>
        <v>0</v>
      </c>
      <c r="J782" s="1">
        <v>45829</v>
      </c>
      <c r="K782" t="s">
        <v>15</v>
      </c>
      <c r="L782" t="s">
        <v>23</v>
      </c>
      <c r="M782">
        <v>2756.02</v>
      </c>
    </row>
    <row r="783" spans="1:13" x14ac:dyDescent="0.25">
      <c r="A783">
        <v>1781</v>
      </c>
      <c r="B783" t="s">
        <v>825</v>
      </c>
      <c r="C783" t="s">
        <v>36</v>
      </c>
      <c r="D783" t="s">
        <v>37</v>
      </c>
      <c r="E783">
        <v>2</v>
      </c>
      <c r="G783">
        <f t="shared" si="24"/>
        <v>0</v>
      </c>
      <c r="I783">
        <f t="shared" si="25"/>
        <v>0</v>
      </c>
      <c r="J783" s="1">
        <v>45710</v>
      </c>
      <c r="K783" t="s">
        <v>22</v>
      </c>
      <c r="L783" t="s">
        <v>16</v>
      </c>
      <c r="M783">
        <v>213.46</v>
      </c>
    </row>
    <row r="784" spans="1:13" x14ac:dyDescent="0.25">
      <c r="A784">
        <v>1782</v>
      </c>
      <c r="B784" t="s">
        <v>826</v>
      </c>
      <c r="C784" t="s">
        <v>20</v>
      </c>
      <c r="D784" t="s">
        <v>84</v>
      </c>
      <c r="E784">
        <v>6</v>
      </c>
      <c r="G784">
        <f t="shared" si="24"/>
        <v>0</v>
      </c>
      <c r="I784">
        <f t="shared" si="25"/>
        <v>0</v>
      </c>
      <c r="J784" s="1">
        <v>45350</v>
      </c>
      <c r="K784" t="s">
        <v>22</v>
      </c>
      <c r="L784" t="s">
        <v>23</v>
      </c>
      <c r="M784">
        <v>1802.32</v>
      </c>
    </row>
    <row r="785" spans="1:13" x14ac:dyDescent="0.25">
      <c r="A785">
        <v>1783</v>
      </c>
      <c r="B785" t="s">
        <v>827</v>
      </c>
      <c r="C785" t="s">
        <v>20</v>
      </c>
      <c r="D785" t="s">
        <v>84</v>
      </c>
      <c r="E785">
        <v>2</v>
      </c>
      <c r="G785">
        <f t="shared" si="24"/>
        <v>0</v>
      </c>
      <c r="H785" s="3">
        <v>0.93</v>
      </c>
      <c r="I785">
        <f t="shared" si="25"/>
        <v>0</v>
      </c>
      <c r="J785" s="1">
        <v>45505</v>
      </c>
      <c r="K785" t="s">
        <v>2517</v>
      </c>
      <c r="L785" t="s">
        <v>16</v>
      </c>
      <c r="M785">
        <v>34.35</v>
      </c>
    </row>
    <row r="786" spans="1:13" x14ac:dyDescent="0.25">
      <c r="A786">
        <v>1784</v>
      </c>
      <c r="B786" t="s">
        <v>828</v>
      </c>
      <c r="C786" t="s">
        <v>31</v>
      </c>
      <c r="D786" t="s">
        <v>32</v>
      </c>
      <c r="E786">
        <v>4</v>
      </c>
      <c r="F786">
        <v>2068.0500000000002</v>
      </c>
      <c r="G786">
        <f t="shared" si="24"/>
        <v>8272.2000000000007</v>
      </c>
      <c r="I786">
        <f t="shared" si="25"/>
        <v>8272.2000000000007</v>
      </c>
      <c r="J786" s="1">
        <v>45573</v>
      </c>
      <c r="K786" t="s">
        <v>22</v>
      </c>
      <c r="L786" t="s">
        <v>16</v>
      </c>
      <c r="M786">
        <v>-379.91</v>
      </c>
    </row>
    <row r="787" spans="1:13" x14ac:dyDescent="0.25">
      <c r="A787">
        <v>1785</v>
      </c>
      <c r="B787" t="s">
        <v>829</v>
      </c>
      <c r="C787" t="s">
        <v>31</v>
      </c>
      <c r="D787" t="s">
        <v>42</v>
      </c>
      <c r="E787">
        <v>3</v>
      </c>
      <c r="F787">
        <v>4103</v>
      </c>
      <c r="G787">
        <f t="shared" si="24"/>
        <v>12309</v>
      </c>
      <c r="I787">
        <f t="shared" si="25"/>
        <v>12309</v>
      </c>
      <c r="J787" s="1">
        <v>45804</v>
      </c>
      <c r="K787" t="s">
        <v>2517</v>
      </c>
      <c r="L787" t="s">
        <v>16</v>
      </c>
      <c r="M787">
        <v>567.89</v>
      </c>
    </row>
    <row r="788" spans="1:13" x14ac:dyDescent="0.25">
      <c r="A788">
        <v>1786</v>
      </c>
      <c r="B788" t="s">
        <v>830</v>
      </c>
      <c r="C788" t="s">
        <v>25</v>
      </c>
      <c r="D788" t="s">
        <v>51</v>
      </c>
      <c r="E788">
        <v>2</v>
      </c>
      <c r="G788">
        <f t="shared" si="24"/>
        <v>0</v>
      </c>
      <c r="H788" s="3">
        <v>1.1100000000000001</v>
      </c>
      <c r="I788">
        <f t="shared" si="25"/>
        <v>0</v>
      </c>
      <c r="J788" s="1">
        <v>45743</v>
      </c>
      <c r="K788" t="s">
        <v>44</v>
      </c>
      <c r="L788" t="s">
        <v>16</v>
      </c>
      <c r="M788">
        <v>1462.24</v>
      </c>
    </row>
    <row r="789" spans="1:13" x14ac:dyDescent="0.25">
      <c r="A789">
        <v>1787</v>
      </c>
      <c r="B789" t="s">
        <v>831</v>
      </c>
      <c r="C789" t="s">
        <v>28</v>
      </c>
      <c r="D789" t="s">
        <v>137</v>
      </c>
      <c r="E789">
        <v>6</v>
      </c>
      <c r="G789">
        <f t="shared" si="24"/>
        <v>0</v>
      </c>
      <c r="I789">
        <f t="shared" si="25"/>
        <v>0</v>
      </c>
      <c r="J789" s="1">
        <v>45612</v>
      </c>
      <c r="K789" t="s">
        <v>15</v>
      </c>
      <c r="L789" t="s">
        <v>16</v>
      </c>
      <c r="M789">
        <v>1294</v>
      </c>
    </row>
    <row r="790" spans="1:13" x14ac:dyDescent="0.25">
      <c r="A790">
        <v>1014</v>
      </c>
      <c r="B790" t="s">
        <v>832</v>
      </c>
      <c r="C790" t="s">
        <v>13</v>
      </c>
      <c r="D790" t="s">
        <v>14</v>
      </c>
      <c r="E790">
        <v>5</v>
      </c>
      <c r="F790">
        <v>2951.4</v>
      </c>
      <c r="G790">
        <f t="shared" si="24"/>
        <v>14757</v>
      </c>
      <c r="I790">
        <f t="shared" si="25"/>
        <v>14757</v>
      </c>
      <c r="J790" s="1">
        <v>45609</v>
      </c>
      <c r="K790" t="s">
        <v>15</v>
      </c>
      <c r="L790" t="s">
        <v>16</v>
      </c>
      <c r="M790">
        <v>2811.87</v>
      </c>
    </row>
    <row r="791" spans="1:13" x14ac:dyDescent="0.25">
      <c r="A791">
        <v>1789</v>
      </c>
      <c r="B791" t="s">
        <v>833</v>
      </c>
      <c r="C791" t="s">
        <v>20</v>
      </c>
      <c r="D791" t="s">
        <v>76</v>
      </c>
      <c r="E791">
        <v>2</v>
      </c>
      <c r="F791">
        <v>1433.92</v>
      </c>
      <c r="G791">
        <f t="shared" si="24"/>
        <v>2867.84</v>
      </c>
      <c r="H791" s="3">
        <v>0.11</v>
      </c>
      <c r="I791">
        <f t="shared" si="25"/>
        <v>2552.3776000000003</v>
      </c>
      <c r="J791" s="1">
        <v>45771</v>
      </c>
      <c r="K791" t="s">
        <v>2517</v>
      </c>
      <c r="L791" t="s">
        <v>16</v>
      </c>
      <c r="M791">
        <v>315.07</v>
      </c>
    </row>
    <row r="792" spans="1:13" x14ac:dyDescent="0.25">
      <c r="A792">
        <v>1790</v>
      </c>
      <c r="B792" t="s">
        <v>834</v>
      </c>
      <c r="C792" t="s">
        <v>20</v>
      </c>
      <c r="D792" t="s">
        <v>76</v>
      </c>
      <c r="E792">
        <v>1</v>
      </c>
      <c r="F792">
        <v>3268.42</v>
      </c>
      <c r="G792">
        <f t="shared" si="24"/>
        <v>3268.42</v>
      </c>
      <c r="I792">
        <f t="shared" si="25"/>
        <v>3268.42</v>
      </c>
      <c r="J792" s="1">
        <v>45793</v>
      </c>
      <c r="K792" t="s">
        <v>15</v>
      </c>
      <c r="L792" t="s">
        <v>16</v>
      </c>
      <c r="M792">
        <v>259.67</v>
      </c>
    </row>
    <row r="793" spans="1:13" x14ac:dyDescent="0.25">
      <c r="A793">
        <v>1791</v>
      </c>
      <c r="B793" t="s">
        <v>835</v>
      </c>
      <c r="C793" t="s">
        <v>36</v>
      </c>
      <c r="D793" t="s">
        <v>37</v>
      </c>
      <c r="E793">
        <v>2</v>
      </c>
      <c r="F793">
        <v>2123.69</v>
      </c>
      <c r="G793">
        <f t="shared" si="24"/>
        <v>4247.38</v>
      </c>
      <c r="H793" s="3">
        <v>0.69</v>
      </c>
      <c r="I793">
        <f t="shared" si="25"/>
        <v>1316.6878000000002</v>
      </c>
      <c r="J793" s="1">
        <v>45655</v>
      </c>
      <c r="K793" t="s">
        <v>38</v>
      </c>
      <c r="L793" t="s">
        <v>16</v>
      </c>
      <c r="M793">
        <v>2894.66</v>
      </c>
    </row>
    <row r="794" spans="1:13" x14ac:dyDescent="0.25">
      <c r="A794">
        <v>1792</v>
      </c>
      <c r="B794" t="s">
        <v>836</v>
      </c>
      <c r="C794" t="s">
        <v>13</v>
      </c>
      <c r="D794" t="s">
        <v>34</v>
      </c>
      <c r="E794">
        <v>2</v>
      </c>
      <c r="G794">
        <f t="shared" si="24"/>
        <v>0</v>
      </c>
      <c r="H794" s="3">
        <v>0.83</v>
      </c>
      <c r="I794">
        <f t="shared" si="25"/>
        <v>0</v>
      </c>
      <c r="J794" s="1">
        <v>45696</v>
      </c>
      <c r="K794" t="s">
        <v>22</v>
      </c>
      <c r="L794" t="s">
        <v>23</v>
      </c>
      <c r="M794">
        <v>-116.82</v>
      </c>
    </row>
    <row r="795" spans="1:13" x14ac:dyDescent="0.25">
      <c r="A795">
        <v>1793</v>
      </c>
      <c r="B795" t="s">
        <v>837</v>
      </c>
      <c r="C795" t="s">
        <v>36</v>
      </c>
      <c r="D795" t="s">
        <v>55</v>
      </c>
      <c r="E795">
        <v>5</v>
      </c>
      <c r="F795">
        <v>1887.84</v>
      </c>
      <c r="G795">
        <f t="shared" si="24"/>
        <v>9439.1999999999989</v>
      </c>
      <c r="I795">
        <f t="shared" si="25"/>
        <v>9439.1999999999989</v>
      </c>
      <c r="J795" s="1">
        <v>45525</v>
      </c>
      <c r="K795" t="s">
        <v>18</v>
      </c>
      <c r="L795" t="s">
        <v>16</v>
      </c>
      <c r="M795">
        <v>1275.03</v>
      </c>
    </row>
    <row r="796" spans="1:13" x14ac:dyDescent="0.25">
      <c r="A796">
        <v>1794</v>
      </c>
      <c r="B796" t="s">
        <v>838</v>
      </c>
      <c r="C796" t="s">
        <v>20</v>
      </c>
      <c r="D796" t="s">
        <v>84</v>
      </c>
      <c r="E796">
        <v>2</v>
      </c>
      <c r="G796">
        <f t="shared" si="24"/>
        <v>0</v>
      </c>
      <c r="I796">
        <f t="shared" si="25"/>
        <v>0</v>
      </c>
      <c r="J796" s="1">
        <v>45818</v>
      </c>
      <c r="K796" t="s">
        <v>38</v>
      </c>
      <c r="L796" t="s">
        <v>23</v>
      </c>
      <c r="M796">
        <v>2115.2600000000002</v>
      </c>
    </row>
    <row r="797" spans="1:13" x14ac:dyDescent="0.25">
      <c r="A797">
        <v>1795</v>
      </c>
      <c r="B797" t="s">
        <v>839</v>
      </c>
      <c r="C797" t="s">
        <v>28</v>
      </c>
      <c r="D797" t="s">
        <v>137</v>
      </c>
      <c r="E797">
        <v>2</v>
      </c>
      <c r="G797">
        <f t="shared" si="24"/>
        <v>0</v>
      </c>
      <c r="I797">
        <f t="shared" si="25"/>
        <v>0</v>
      </c>
      <c r="J797" s="1">
        <v>45769</v>
      </c>
      <c r="K797" t="s">
        <v>2517</v>
      </c>
      <c r="L797" t="s">
        <v>16</v>
      </c>
      <c r="M797">
        <v>301.5</v>
      </c>
    </row>
    <row r="798" spans="1:13" x14ac:dyDescent="0.25">
      <c r="A798">
        <v>1796</v>
      </c>
      <c r="B798" t="s">
        <v>840</v>
      </c>
      <c r="C798" t="s">
        <v>36</v>
      </c>
      <c r="D798" t="s">
        <v>55</v>
      </c>
      <c r="E798">
        <v>-1</v>
      </c>
      <c r="G798">
        <f t="shared" si="24"/>
        <v>0</v>
      </c>
      <c r="H798" s="3">
        <v>0.94</v>
      </c>
      <c r="I798">
        <f t="shared" si="25"/>
        <v>0</v>
      </c>
      <c r="K798" t="s">
        <v>44</v>
      </c>
      <c r="L798" t="s">
        <v>16</v>
      </c>
      <c r="M798">
        <v>-851</v>
      </c>
    </row>
    <row r="799" spans="1:13" x14ac:dyDescent="0.25">
      <c r="A799">
        <v>1797</v>
      </c>
      <c r="B799" t="s">
        <v>841</v>
      </c>
      <c r="C799" t="s">
        <v>36</v>
      </c>
      <c r="D799" t="s">
        <v>37</v>
      </c>
      <c r="E799">
        <v>2</v>
      </c>
      <c r="F799">
        <v>4305.0200000000004</v>
      </c>
      <c r="G799">
        <f t="shared" si="24"/>
        <v>8610.0400000000009</v>
      </c>
      <c r="I799">
        <f t="shared" si="25"/>
        <v>8610.0400000000009</v>
      </c>
      <c r="J799" s="1">
        <v>45663</v>
      </c>
      <c r="K799" t="s">
        <v>18</v>
      </c>
      <c r="L799" t="s">
        <v>16</v>
      </c>
      <c r="M799">
        <v>2296.37</v>
      </c>
    </row>
    <row r="800" spans="1:13" x14ac:dyDescent="0.25">
      <c r="A800">
        <v>1798</v>
      </c>
      <c r="B800" t="s">
        <v>842</v>
      </c>
      <c r="C800" t="s">
        <v>25</v>
      </c>
      <c r="D800" t="s">
        <v>82</v>
      </c>
      <c r="E800">
        <v>2</v>
      </c>
      <c r="F800">
        <v>2490.16</v>
      </c>
      <c r="G800">
        <f t="shared" si="24"/>
        <v>4980.32</v>
      </c>
      <c r="I800">
        <f t="shared" si="25"/>
        <v>4980.32</v>
      </c>
      <c r="J800" s="1">
        <v>45859</v>
      </c>
      <c r="K800" t="s">
        <v>22</v>
      </c>
      <c r="L800" t="s">
        <v>16</v>
      </c>
      <c r="M800">
        <v>905.43</v>
      </c>
    </row>
    <row r="801" spans="1:13" x14ac:dyDescent="0.25">
      <c r="A801">
        <v>1799</v>
      </c>
      <c r="B801" t="s">
        <v>843</v>
      </c>
      <c r="C801" t="s">
        <v>25</v>
      </c>
      <c r="D801" t="s">
        <v>82</v>
      </c>
      <c r="E801">
        <v>2</v>
      </c>
      <c r="F801">
        <v>1101.5</v>
      </c>
      <c r="G801">
        <f t="shared" si="24"/>
        <v>2203</v>
      </c>
      <c r="H801" s="3">
        <v>0.81</v>
      </c>
      <c r="I801">
        <f t="shared" si="25"/>
        <v>418.56999999999988</v>
      </c>
      <c r="K801" t="s">
        <v>22</v>
      </c>
      <c r="L801" t="s">
        <v>16</v>
      </c>
      <c r="M801">
        <v>-967.63</v>
      </c>
    </row>
    <row r="802" spans="1:13" x14ac:dyDescent="0.25">
      <c r="A802">
        <v>1800</v>
      </c>
      <c r="B802" t="s">
        <v>844</v>
      </c>
      <c r="C802" t="s">
        <v>20</v>
      </c>
      <c r="D802" t="s">
        <v>21</v>
      </c>
      <c r="E802">
        <v>6</v>
      </c>
      <c r="G802">
        <f t="shared" si="24"/>
        <v>0</v>
      </c>
      <c r="H802" s="3">
        <v>0.93</v>
      </c>
      <c r="I802">
        <f t="shared" si="25"/>
        <v>0</v>
      </c>
      <c r="J802" s="1">
        <v>45680</v>
      </c>
      <c r="K802" t="s">
        <v>22</v>
      </c>
      <c r="L802" t="s">
        <v>23</v>
      </c>
      <c r="M802">
        <v>855.26</v>
      </c>
    </row>
    <row r="803" spans="1:13" x14ac:dyDescent="0.25">
      <c r="A803">
        <v>1801</v>
      </c>
      <c r="B803" t="s">
        <v>845</v>
      </c>
      <c r="C803" t="s">
        <v>25</v>
      </c>
      <c r="D803" t="s">
        <v>51</v>
      </c>
      <c r="E803">
        <v>-2</v>
      </c>
      <c r="G803">
        <f t="shared" si="24"/>
        <v>0</v>
      </c>
      <c r="I803">
        <f t="shared" si="25"/>
        <v>0</v>
      </c>
      <c r="J803" s="1">
        <v>45770</v>
      </c>
      <c r="K803" t="s">
        <v>38</v>
      </c>
      <c r="L803" t="s">
        <v>16</v>
      </c>
      <c r="M803">
        <v>1463.67</v>
      </c>
    </row>
    <row r="804" spans="1:13" x14ac:dyDescent="0.25">
      <c r="A804">
        <v>1802</v>
      </c>
      <c r="B804" t="s">
        <v>846</v>
      </c>
      <c r="C804" t="s">
        <v>25</v>
      </c>
      <c r="D804" t="s">
        <v>62</v>
      </c>
      <c r="E804">
        <v>-1</v>
      </c>
      <c r="G804">
        <f t="shared" si="24"/>
        <v>0</v>
      </c>
      <c r="I804">
        <f t="shared" si="25"/>
        <v>0</v>
      </c>
      <c r="J804" s="1">
        <v>45708</v>
      </c>
      <c r="K804" t="s">
        <v>15</v>
      </c>
      <c r="L804" t="s">
        <v>16</v>
      </c>
      <c r="M804">
        <v>-618.71</v>
      </c>
    </row>
    <row r="805" spans="1:13" x14ac:dyDescent="0.25">
      <c r="A805">
        <v>1803</v>
      </c>
      <c r="B805" t="s">
        <v>847</v>
      </c>
      <c r="C805" t="s">
        <v>28</v>
      </c>
      <c r="D805" t="s">
        <v>40</v>
      </c>
      <c r="E805">
        <v>2</v>
      </c>
      <c r="G805">
        <f t="shared" si="24"/>
        <v>0</v>
      </c>
      <c r="I805">
        <f t="shared" si="25"/>
        <v>0</v>
      </c>
      <c r="K805" t="s">
        <v>22</v>
      </c>
      <c r="L805" t="s">
        <v>16</v>
      </c>
      <c r="M805">
        <v>409.58</v>
      </c>
    </row>
    <row r="806" spans="1:13" x14ac:dyDescent="0.25">
      <c r="A806">
        <v>1804</v>
      </c>
      <c r="B806" t="s">
        <v>848</v>
      </c>
      <c r="C806" t="s">
        <v>36</v>
      </c>
      <c r="D806" t="s">
        <v>55</v>
      </c>
      <c r="E806">
        <v>2</v>
      </c>
      <c r="G806">
        <f t="shared" si="24"/>
        <v>0</v>
      </c>
      <c r="I806">
        <f t="shared" si="25"/>
        <v>0</v>
      </c>
      <c r="J806" s="1">
        <v>45779</v>
      </c>
      <c r="K806" t="s">
        <v>22</v>
      </c>
      <c r="L806" t="s">
        <v>16</v>
      </c>
      <c r="M806">
        <v>1896.92</v>
      </c>
    </row>
    <row r="807" spans="1:13" x14ac:dyDescent="0.25">
      <c r="A807">
        <v>1036</v>
      </c>
      <c r="B807" t="s">
        <v>849</v>
      </c>
      <c r="C807" t="s">
        <v>28</v>
      </c>
      <c r="D807" t="s">
        <v>40</v>
      </c>
      <c r="E807">
        <v>1</v>
      </c>
      <c r="F807">
        <v>1534.98</v>
      </c>
      <c r="G807">
        <f t="shared" si="24"/>
        <v>1534.98</v>
      </c>
      <c r="I807">
        <f t="shared" si="25"/>
        <v>1534.98</v>
      </c>
      <c r="J807" s="1">
        <v>45505</v>
      </c>
      <c r="K807" t="s">
        <v>38</v>
      </c>
      <c r="L807" t="s">
        <v>23</v>
      </c>
      <c r="M807">
        <v>2042.17</v>
      </c>
    </row>
    <row r="808" spans="1:13" x14ac:dyDescent="0.25">
      <c r="A808">
        <v>1806</v>
      </c>
      <c r="B808" t="s">
        <v>850</v>
      </c>
      <c r="C808" t="s">
        <v>36</v>
      </c>
      <c r="D808" t="s">
        <v>55</v>
      </c>
      <c r="E808">
        <v>1</v>
      </c>
      <c r="G808">
        <f t="shared" si="24"/>
        <v>0</v>
      </c>
      <c r="I808">
        <f t="shared" si="25"/>
        <v>0</v>
      </c>
      <c r="J808" s="1">
        <v>45695</v>
      </c>
      <c r="K808" t="s">
        <v>44</v>
      </c>
      <c r="L808" t="s">
        <v>16</v>
      </c>
      <c r="M808">
        <v>1003.57</v>
      </c>
    </row>
    <row r="809" spans="1:13" x14ac:dyDescent="0.25">
      <c r="A809">
        <v>1807</v>
      </c>
      <c r="B809" t="s">
        <v>851</v>
      </c>
      <c r="C809" t="s">
        <v>13</v>
      </c>
      <c r="D809" t="s">
        <v>34</v>
      </c>
      <c r="E809">
        <v>4</v>
      </c>
      <c r="F809">
        <v>2308.12</v>
      </c>
      <c r="G809">
        <f t="shared" si="24"/>
        <v>9232.48</v>
      </c>
      <c r="I809">
        <f t="shared" si="25"/>
        <v>9232.48</v>
      </c>
      <c r="J809" s="1">
        <v>45811</v>
      </c>
      <c r="K809" t="s">
        <v>38</v>
      </c>
      <c r="L809" t="s">
        <v>16</v>
      </c>
      <c r="M809">
        <v>362.88</v>
      </c>
    </row>
    <row r="810" spans="1:13" x14ac:dyDescent="0.25">
      <c r="A810">
        <v>1808</v>
      </c>
      <c r="B810" t="s">
        <v>471</v>
      </c>
      <c r="C810" t="s">
        <v>31</v>
      </c>
      <c r="D810" t="s">
        <v>42</v>
      </c>
      <c r="E810">
        <v>2</v>
      </c>
      <c r="F810">
        <v>4582.21</v>
      </c>
      <c r="G810">
        <f t="shared" si="24"/>
        <v>9164.42</v>
      </c>
      <c r="H810" s="3">
        <v>0.7</v>
      </c>
      <c r="I810">
        <f t="shared" si="25"/>
        <v>2749.3260000000005</v>
      </c>
      <c r="K810" t="s">
        <v>38</v>
      </c>
      <c r="L810" t="s">
        <v>23</v>
      </c>
      <c r="M810">
        <v>-67.84</v>
      </c>
    </row>
    <row r="811" spans="1:13" x14ac:dyDescent="0.25">
      <c r="A811">
        <v>1809</v>
      </c>
      <c r="B811" t="s">
        <v>852</v>
      </c>
      <c r="C811" t="s">
        <v>36</v>
      </c>
      <c r="D811" t="s">
        <v>59</v>
      </c>
      <c r="E811">
        <v>2</v>
      </c>
      <c r="F811">
        <v>3799.39</v>
      </c>
      <c r="G811">
        <f t="shared" si="24"/>
        <v>7598.78</v>
      </c>
      <c r="H811" s="3">
        <v>0.76</v>
      </c>
      <c r="I811">
        <f t="shared" si="25"/>
        <v>1823.7071999999998</v>
      </c>
      <c r="J811" s="1">
        <v>45602</v>
      </c>
      <c r="K811" t="s">
        <v>38</v>
      </c>
      <c r="L811" t="s">
        <v>16</v>
      </c>
      <c r="M811">
        <v>-599.61</v>
      </c>
    </row>
    <row r="812" spans="1:13" x14ac:dyDescent="0.25">
      <c r="A812">
        <v>1810</v>
      </c>
      <c r="B812" t="s">
        <v>853</v>
      </c>
      <c r="C812" t="s">
        <v>28</v>
      </c>
      <c r="D812" t="s">
        <v>40</v>
      </c>
      <c r="E812">
        <v>2</v>
      </c>
      <c r="G812">
        <f t="shared" si="24"/>
        <v>0</v>
      </c>
      <c r="H812" s="3">
        <v>0.39</v>
      </c>
      <c r="I812">
        <f t="shared" si="25"/>
        <v>0</v>
      </c>
      <c r="J812" s="1">
        <v>45776</v>
      </c>
      <c r="K812" t="s">
        <v>22</v>
      </c>
      <c r="L812" t="s">
        <v>23</v>
      </c>
      <c r="M812">
        <v>-148.03</v>
      </c>
    </row>
    <row r="813" spans="1:13" x14ac:dyDescent="0.25">
      <c r="A813">
        <v>1811</v>
      </c>
      <c r="B813" t="s">
        <v>854</v>
      </c>
      <c r="C813" t="s">
        <v>25</v>
      </c>
      <c r="D813" t="s">
        <v>82</v>
      </c>
      <c r="E813">
        <v>2</v>
      </c>
      <c r="G813">
        <f t="shared" si="24"/>
        <v>0</v>
      </c>
      <c r="H813" s="3">
        <v>0.99</v>
      </c>
      <c r="I813">
        <f t="shared" si="25"/>
        <v>0</v>
      </c>
      <c r="J813" s="1">
        <v>45492</v>
      </c>
      <c r="K813" t="s">
        <v>38</v>
      </c>
      <c r="L813" t="s">
        <v>16</v>
      </c>
      <c r="M813">
        <v>1662.7</v>
      </c>
    </row>
    <row r="814" spans="1:13" x14ac:dyDescent="0.25">
      <c r="A814">
        <v>1812</v>
      </c>
      <c r="B814" t="s">
        <v>855</v>
      </c>
      <c r="C814" t="s">
        <v>20</v>
      </c>
      <c r="D814" t="s">
        <v>84</v>
      </c>
      <c r="E814">
        <v>2</v>
      </c>
      <c r="G814">
        <f t="shared" si="24"/>
        <v>0</v>
      </c>
      <c r="I814">
        <f t="shared" si="25"/>
        <v>0</v>
      </c>
      <c r="J814" s="1">
        <v>45683</v>
      </c>
      <c r="K814" t="s">
        <v>15</v>
      </c>
      <c r="L814" t="s">
        <v>23</v>
      </c>
      <c r="M814">
        <v>-36.380000000000003</v>
      </c>
    </row>
    <row r="815" spans="1:13" x14ac:dyDescent="0.25">
      <c r="A815">
        <v>1813</v>
      </c>
      <c r="B815" t="s">
        <v>856</v>
      </c>
      <c r="C815" t="s">
        <v>20</v>
      </c>
      <c r="D815" t="s">
        <v>118</v>
      </c>
      <c r="E815">
        <v>0</v>
      </c>
      <c r="G815">
        <f t="shared" si="24"/>
        <v>0</v>
      </c>
      <c r="I815">
        <f t="shared" si="25"/>
        <v>0</v>
      </c>
      <c r="J815" s="1">
        <v>45851</v>
      </c>
      <c r="K815" t="s">
        <v>18</v>
      </c>
      <c r="L815" t="s">
        <v>23</v>
      </c>
      <c r="M815">
        <v>1718.02</v>
      </c>
    </row>
    <row r="816" spans="1:13" x14ac:dyDescent="0.25">
      <c r="A816">
        <v>1814</v>
      </c>
      <c r="B816" t="s">
        <v>857</v>
      </c>
      <c r="C816" t="s">
        <v>31</v>
      </c>
      <c r="D816" t="s">
        <v>42</v>
      </c>
      <c r="E816">
        <v>2</v>
      </c>
      <c r="G816">
        <f t="shared" si="24"/>
        <v>0</v>
      </c>
      <c r="I816">
        <f t="shared" si="25"/>
        <v>0</v>
      </c>
      <c r="J816" s="1">
        <v>45655</v>
      </c>
      <c r="K816" t="s">
        <v>15</v>
      </c>
      <c r="L816" t="s">
        <v>23</v>
      </c>
      <c r="M816">
        <v>2724.05</v>
      </c>
    </row>
    <row r="817" spans="1:13" x14ac:dyDescent="0.25">
      <c r="A817">
        <v>1815</v>
      </c>
      <c r="B817" t="s">
        <v>858</v>
      </c>
      <c r="C817" t="s">
        <v>36</v>
      </c>
      <c r="D817" t="s">
        <v>37</v>
      </c>
      <c r="E817">
        <v>2</v>
      </c>
      <c r="G817">
        <f t="shared" si="24"/>
        <v>0</v>
      </c>
      <c r="I817">
        <f t="shared" si="25"/>
        <v>0</v>
      </c>
      <c r="J817" s="1">
        <v>45806</v>
      </c>
      <c r="K817" t="s">
        <v>38</v>
      </c>
      <c r="L817" t="s">
        <v>16</v>
      </c>
      <c r="M817">
        <v>1057.3599999999999</v>
      </c>
    </row>
    <row r="818" spans="1:13" x14ac:dyDescent="0.25">
      <c r="A818">
        <v>1816</v>
      </c>
      <c r="B818" t="s">
        <v>859</v>
      </c>
      <c r="C818" t="s">
        <v>31</v>
      </c>
      <c r="D818" t="s">
        <v>78</v>
      </c>
      <c r="E818">
        <v>1</v>
      </c>
      <c r="F818">
        <v>1130.83</v>
      </c>
      <c r="G818">
        <f t="shared" si="24"/>
        <v>1130.83</v>
      </c>
      <c r="H818" s="3">
        <v>0.84</v>
      </c>
      <c r="I818">
        <f t="shared" si="25"/>
        <v>180.93280000000001</v>
      </c>
      <c r="J818" s="1">
        <v>45135</v>
      </c>
      <c r="K818" t="s">
        <v>2517</v>
      </c>
      <c r="L818" t="s">
        <v>16</v>
      </c>
      <c r="M818">
        <v>-804.96</v>
      </c>
    </row>
    <row r="819" spans="1:13" x14ac:dyDescent="0.25">
      <c r="A819">
        <v>1817</v>
      </c>
      <c r="B819" t="s">
        <v>860</v>
      </c>
      <c r="C819" t="s">
        <v>25</v>
      </c>
      <c r="D819" t="s">
        <v>62</v>
      </c>
      <c r="E819">
        <v>2</v>
      </c>
      <c r="F819">
        <v>2964.88</v>
      </c>
      <c r="G819">
        <f t="shared" si="24"/>
        <v>5929.76</v>
      </c>
      <c r="H819" s="3">
        <v>1.28</v>
      </c>
      <c r="I819">
        <f t="shared" si="25"/>
        <v>-1660.3328000000001</v>
      </c>
      <c r="J819" s="1">
        <v>45521</v>
      </c>
      <c r="K819" t="s">
        <v>22</v>
      </c>
      <c r="L819" t="s">
        <v>16</v>
      </c>
      <c r="M819">
        <v>591.28</v>
      </c>
    </row>
    <row r="820" spans="1:13" x14ac:dyDescent="0.25">
      <c r="A820">
        <v>1818</v>
      </c>
      <c r="B820" t="s">
        <v>861</v>
      </c>
      <c r="C820" t="s">
        <v>28</v>
      </c>
      <c r="D820" t="s">
        <v>29</v>
      </c>
      <c r="E820">
        <v>-1</v>
      </c>
      <c r="F820">
        <v>3449.33</v>
      </c>
      <c r="G820">
        <f t="shared" si="24"/>
        <v>-3449.33</v>
      </c>
      <c r="H820" s="3">
        <v>0.43</v>
      </c>
      <c r="I820">
        <f t="shared" si="25"/>
        <v>-1966.1181000000001</v>
      </c>
      <c r="K820" t="s">
        <v>15</v>
      </c>
      <c r="L820" t="s">
        <v>16</v>
      </c>
      <c r="M820">
        <v>601.45000000000005</v>
      </c>
    </row>
    <row r="821" spans="1:13" x14ac:dyDescent="0.25">
      <c r="A821">
        <v>1819</v>
      </c>
      <c r="B821" t="s">
        <v>798</v>
      </c>
      <c r="C821" t="s">
        <v>28</v>
      </c>
      <c r="D821" t="s">
        <v>116</v>
      </c>
      <c r="E821">
        <v>6</v>
      </c>
      <c r="F821">
        <v>1761.18</v>
      </c>
      <c r="G821">
        <f t="shared" si="24"/>
        <v>10567.08</v>
      </c>
      <c r="I821">
        <f t="shared" si="25"/>
        <v>10567.08</v>
      </c>
      <c r="K821" t="s">
        <v>22</v>
      </c>
      <c r="L821" t="s">
        <v>23</v>
      </c>
      <c r="M821">
        <v>2069.36</v>
      </c>
    </row>
    <row r="822" spans="1:13" x14ac:dyDescent="0.25">
      <c r="A822">
        <v>1820</v>
      </c>
      <c r="B822" t="s">
        <v>862</v>
      </c>
      <c r="C822" t="s">
        <v>31</v>
      </c>
      <c r="D822" t="s">
        <v>78</v>
      </c>
      <c r="E822">
        <v>5</v>
      </c>
      <c r="F822">
        <v>1965.04</v>
      </c>
      <c r="G822">
        <f t="shared" si="24"/>
        <v>9825.2000000000007</v>
      </c>
      <c r="I822">
        <f t="shared" si="25"/>
        <v>9825.2000000000007</v>
      </c>
      <c r="J822" s="1">
        <v>45132</v>
      </c>
      <c r="K822" t="s">
        <v>44</v>
      </c>
      <c r="L822" t="s">
        <v>16</v>
      </c>
      <c r="M822">
        <v>20.89</v>
      </c>
    </row>
    <row r="823" spans="1:13" x14ac:dyDescent="0.25">
      <c r="A823">
        <v>1821</v>
      </c>
      <c r="B823" t="s">
        <v>863</v>
      </c>
      <c r="C823" t="s">
        <v>20</v>
      </c>
      <c r="D823" t="s">
        <v>118</v>
      </c>
      <c r="E823">
        <v>2</v>
      </c>
      <c r="G823">
        <f t="shared" si="24"/>
        <v>0</v>
      </c>
      <c r="H823" s="3">
        <v>0.65</v>
      </c>
      <c r="I823">
        <f t="shared" si="25"/>
        <v>0</v>
      </c>
      <c r="K823" t="s">
        <v>18</v>
      </c>
      <c r="L823" t="s">
        <v>16</v>
      </c>
      <c r="M823">
        <v>403.42</v>
      </c>
    </row>
    <row r="824" spans="1:13" x14ac:dyDescent="0.25">
      <c r="A824">
        <v>1822</v>
      </c>
      <c r="B824" t="s">
        <v>864</v>
      </c>
      <c r="C824" t="s">
        <v>20</v>
      </c>
      <c r="D824" t="s">
        <v>76</v>
      </c>
      <c r="E824">
        <v>2</v>
      </c>
      <c r="F824">
        <v>938.86</v>
      </c>
      <c r="G824">
        <f t="shared" si="24"/>
        <v>1877.72</v>
      </c>
      <c r="H824" s="3">
        <v>0.05</v>
      </c>
      <c r="I824">
        <f t="shared" si="25"/>
        <v>1783.8339999999998</v>
      </c>
      <c r="J824" s="1">
        <v>45479</v>
      </c>
      <c r="K824" t="s">
        <v>2517</v>
      </c>
      <c r="L824" t="s">
        <v>16</v>
      </c>
      <c r="M824">
        <v>-824.79</v>
      </c>
    </row>
    <row r="825" spans="1:13" x14ac:dyDescent="0.25">
      <c r="A825">
        <v>1823</v>
      </c>
      <c r="B825" t="s">
        <v>865</v>
      </c>
      <c r="C825" t="s">
        <v>31</v>
      </c>
      <c r="D825" t="s">
        <v>42</v>
      </c>
      <c r="E825">
        <v>2</v>
      </c>
      <c r="F825">
        <v>3887.15</v>
      </c>
      <c r="G825">
        <f t="shared" si="24"/>
        <v>7774.3</v>
      </c>
      <c r="I825">
        <f t="shared" si="25"/>
        <v>7774.3</v>
      </c>
      <c r="J825" s="1">
        <v>45835</v>
      </c>
      <c r="K825" t="s">
        <v>18</v>
      </c>
      <c r="L825" t="s">
        <v>16</v>
      </c>
      <c r="M825">
        <v>2088.25</v>
      </c>
    </row>
    <row r="826" spans="1:13" x14ac:dyDescent="0.25">
      <c r="A826">
        <v>1824</v>
      </c>
      <c r="B826" t="s">
        <v>866</v>
      </c>
      <c r="C826" t="s">
        <v>28</v>
      </c>
      <c r="D826" t="s">
        <v>116</v>
      </c>
      <c r="E826">
        <v>0</v>
      </c>
      <c r="F826">
        <v>4146.2700000000004</v>
      </c>
      <c r="G826">
        <f t="shared" si="24"/>
        <v>0</v>
      </c>
      <c r="H826" s="3">
        <v>1.29</v>
      </c>
      <c r="I826">
        <f t="shared" si="25"/>
        <v>0</v>
      </c>
      <c r="J826" s="1">
        <v>45346</v>
      </c>
      <c r="K826" t="s">
        <v>2517</v>
      </c>
      <c r="L826" t="s">
        <v>23</v>
      </c>
      <c r="M826">
        <v>2397.9299999999998</v>
      </c>
    </row>
    <row r="827" spans="1:13" x14ac:dyDescent="0.25">
      <c r="A827">
        <v>1825</v>
      </c>
      <c r="B827" t="s">
        <v>867</v>
      </c>
      <c r="C827" t="s">
        <v>20</v>
      </c>
      <c r="D827" t="s">
        <v>76</v>
      </c>
      <c r="E827">
        <v>6</v>
      </c>
      <c r="F827">
        <v>982.65</v>
      </c>
      <c r="G827">
        <f t="shared" si="24"/>
        <v>5895.9</v>
      </c>
      <c r="I827">
        <f t="shared" si="25"/>
        <v>5895.9</v>
      </c>
      <c r="K827" t="s">
        <v>22</v>
      </c>
      <c r="L827" t="s">
        <v>23</v>
      </c>
      <c r="M827">
        <v>2186.63</v>
      </c>
    </row>
    <row r="828" spans="1:13" x14ac:dyDescent="0.25">
      <c r="A828">
        <v>1826</v>
      </c>
      <c r="B828" t="s">
        <v>868</v>
      </c>
      <c r="C828" t="s">
        <v>31</v>
      </c>
      <c r="D828" t="s">
        <v>32</v>
      </c>
      <c r="E828">
        <v>6</v>
      </c>
      <c r="G828">
        <f t="shared" si="24"/>
        <v>0</v>
      </c>
      <c r="I828">
        <f t="shared" si="25"/>
        <v>0</v>
      </c>
      <c r="J828" s="1">
        <v>45623</v>
      </c>
      <c r="K828" t="s">
        <v>15</v>
      </c>
      <c r="L828" t="s">
        <v>23</v>
      </c>
      <c r="M828">
        <v>413.87</v>
      </c>
    </row>
    <row r="829" spans="1:13" x14ac:dyDescent="0.25">
      <c r="A829">
        <v>1827</v>
      </c>
      <c r="B829" t="s">
        <v>869</v>
      </c>
      <c r="C829" t="s">
        <v>13</v>
      </c>
      <c r="D829" t="s">
        <v>47</v>
      </c>
      <c r="E829">
        <v>2</v>
      </c>
      <c r="F829">
        <v>3109.74</v>
      </c>
      <c r="G829">
        <f t="shared" si="24"/>
        <v>6219.48</v>
      </c>
      <c r="I829">
        <f t="shared" si="25"/>
        <v>6219.48</v>
      </c>
      <c r="K829" t="s">
        <v>22</v>
      </c>
      <c r="L829" t="s">
        <v>16</v>
      </c>
      <c r="M829">
        <v>-828.23</v>
      </c>
    </row>
    <row r="830" spans="1:13" x14ac:dyDescent="0.25">
      <c r="A830">
        <v>1828</v>
      </c>
      <c r="B830" t="s">
        <v>870</v>
      </c>
      <c r="C830" t="s">
        <v>36</v>
      </c>
      <c r="D830" t="s">
        <v>55</v>
      </c>
      <c r="E830">
        <v>2</v>
      </c>
      <c r="F830">
        <v>4427.9399999999996</v>
      </c>
      <c r="G830">
        <f t="shared" si="24"/>
        <v>8855.8799999999992</v>
      </c>
      <c r="H830" s="3">
        <v>0.25</v>
      </c>
      <c r="I830">
        <f t="shared" si="25"/>
        <v>6641.91</v>
      </c>
      <c r="J830" s="1">
        <v>45526</v>
      </c>
      <c r="K830" t="s">
        <v>22</v>
      </c>
      <c r="L830" t="s">
        <v>16</v>
      </c>
      <c r="M830">
        <v>-476.77</v>
      </c>
    </row>
    <row r="831" spans="1:13" x14ac:dyDescent="0.25">
      <c r="A831">
        <v>1829</v>
      </c>
      <c r="B831" t="s">
        <v>871</v>
      </c>
      <c r="C831" t="s">
        <v>25</v>
      </c>
      <c r="D831" t="s">
        <v>51</v>
      </c>
      <c r="E831">
        <v>2</v>
      </c>
      <c r="G831">
        <f t="shared" si="24"/>
        <v>0</v>
      </c>
      <c r="I831">
        <f t="shared" si="25"/>
        <v>0</v>
      </c>
      <c r="J831" s="1">
        <v>45351</v>
      </c>
      <c r="K831" t="s">
        <v>15</v>
      </c>
      <c r="L831" t="s">
        <v>23</v>
      </c>
      <c r="M831">
        <v>1019.58</v>
      </c>
    </row>
    <row r="832" spans="1:13" x14ac:dyDescent="0.25">
      <c r="A832">
        <v>1830</v>
      </c>
      <c r="B832" t="s">
        <v>872</v>
      </c>
      <c r="C832" t="s">
        <v>36</v>
      </c>
      <c r="D832" t="s">
        <v>37</v>
      </c>
      <c r="E832">
        <v>2</v>
      </c>
      <c r="G832">
        <f t="shared" si="24"/>
        <v>0</v>
      </c>
      <c r="I832">
        <f t="shared" si="25"/>
        <v>0</v>
      </c>
      <c r="J832" s="1">
        <v>45521</v>
      </c>
      <c r="K832" t="s">
        <v>44</v>
      </c>
      <c r="L832" t="s">
        <v>16</v>
      </c>
      <c r="M832">
        <v>602.58000000000004</v>
      </c>
    </row>
    <row r="833" spans="1:13" x14ac:dyDescent="0.25">
      <c r="A833">
        <v>1831</v>
      </c>
      <c r="B833" t="s">
        <v>873</v>
      </c>
      <c r="C833" t="s">
        <v>25</v>
      </c>
      <c r="D833" t="s">
        <v>26</v>
      </c>
      <c r="E833">
        <v>2</v>
      </c>
      <c r="F833">
        <v>895.34</v>
      </c>
      <c r="G833">
        <f t="shared" si="24"/>
        <v>1790.68</v>
      </c>
      <c r="I833">
        <f t="shared" si="25"/>
        <v>1790.68</v>
      </c>
      <c r="J833" s="1">
        <v>45520</v>
      </c>
      <c r="K833" t="s">
        <v>38</v>
      </c>
      <c r="L833" t="s">
        <v>23</v>
      </c>
      <c r="M833">
        <v>2150.1</v>
      </c>
    </row>
    <row r="834" spans="1:13" x14ac:dyDescent="0.25">
      <c r="A834">
        <v>1832</v>
      </c>
      <c r="B834" t="s">
        <v>874</v>
      </c>
      <c r="C834" t="s">
        <v>25</v>
      </c>
      <c r="D834" t="s">
        <v>26</v>
      </c>
      <c r="E834">
        <v>2</v>
      </c>
      <c r="G834">
        <f t="shared" si="24"/>
        <v>0</v>
      </c>
      <c r="H834" s="3">
        <v>0.43</v>
      </c>
      <c r="I834">
        <f t="shared" si="25"/>
        <v>0</v>
      </c>
      <c r="J834" s="1">
        <v>45546</v>
      </c>
      <c r="K834" t="s">
        <v>18</v>
      </c>
      <c r="L834" t="s">
        <v>16</v>
      </c>
      <c r="M834">
        <v>708.3</v>
      </c>
    </row>
    <row r="835" spans="1:13" x14ac:dyDescent="0.25">
      <c r="A835">
        <v>1833</v>
      </c>
      <c r="B835" t="s">
        <v>146</v>
      </c>
      <c r="C835" t="s">
        <v>36</v>
      </c>
      <c r="D835" t="s">
        <v>59</v>
      </c>
      <c r="E835">
        <v>3</v>
      </c>
      <c r="F835">
        <v>3051.77</v>
      </c>
      <c r="G835">
        <f t="shared" ref="G835:G898" si="26">F835*E835</f>
        <v>9155.31</v>
      </c>
      <c r="H835" s="3">
        <v>1.19</v>
      </c>
      <c r="I835">
        <f t="shared" ref="I835:I898" si="27">G835*(1-H835)</f>
        <v>-1739.5088999999994</v>
      </c>
      <c r="J835" s="1">
        <v>45686</v>
      </c>
      <c r="K835" t="s">
        <v>2517</v>
      </c>
      <c r="L835" t="s">
        <v>23</v>
      </c>
      <c r="M835">
        <v>2470.5500000000002</v>
      </c>
    </row>
    <row r="836" spans="1:13" x14ac:dyDescent="0.25">
      <c r="A836">
        <v>1834</v>
      </c>
      <c r="B836" t="s">
        <v>875</v>
      </c>
      <c r="C836" t="s">
        <v>20</v>
      </c>
      <c r="D836" t="s">
        <v>84</v>
      </c>
      <c r="E836">
        <v>0</v>
      </c>
      <c r="G836">
        <f t="shared" si="26"/>
        <v>0</v>
      </c>
      <c r="H836" s="3">
        <v>0.94</v>
      </c>
      <c r="I836">
        <f t="shared" si="27"/>
        <v>0</v>
      </c>
      <c r="J836" s="1">
        <v>45792</v>
      </c>
      <c r="K836" t="s">
        <v>18</v>
      </c>
      <c r="L836" t="s">
        <v>16</v>
      </c>
      <c r="M836">
        <v>-663.74</v>
      </c>
    </row>
    <row r="837" spans="1:13" x14ac:dyDescent="0.25">
      <c r="A837">
        <v>1835</v>
      </c>
      <c r="B837" t="s">
        <v>876</v>
      </c>
      <c r="C837" t="s">
        <v>13</v>
      </c>
      <c r="D837" t="s">
        <v>98</v>
      </c>
      <c r="E837">
        <v>0</v>
      </c>
      <c r="G837">
        <f t="shared" si="26"/>
        <v>0</v>
      </c>
      <c r="H837" s="3">
        <v>0.51</v>
      </c>
      <c r="I837">
        <f t="shared" si="27"/>
        <v>0</v>
      </c>
      <c r="J837" s="1">
        <v>45512</v>
      </c>
      <c r="K837" t="s">
        <v>2517</v>
      </c>
      <c r="L837" t="s">
        <v>16</v>
      </c>
      <c r="M837">
        <v>1851.02</v>
      </c>
    </row>
    <row r="838" spans="1:13" x14ac:dyDescent="0.25">
      <c r="A838">
        <v>1836</v>
      </c>
      <c r="B838" t="s">
        <v>877</v>
      </c>
      <c r="C838" t="s">
        <v>13</v>
      </c>
      <c r="D838" t="s">
        <v>47</v>
      </c>
      <c r="E838">
        <v>2</v>
      </c>
      <c r="F838">
        <v>2105.94</v>
      </c>
      <c r="G838">
        <f t="shared" si="26"/>
        <v>4211.88</v>
      </c>
      <c r="H838" s="3">
        <v>0.16</v>
      </c>
      <c r="I838">
        <f t="shared" si="27"/>
        <v>3537.9791999999998</v>
      </c>
      <c r="K838" t="s">
        <v>18</v>
      </c>
      <c r="L838" t="s">
        <v>23</v>
      </c>
      <c r="M838">
        <v>1782.55</v>
      </c>
    </row>
    <row r="839" spans="1:13" x14ac:dyDescent="0.25">
      <c r="A839">
        <v>1006</v>
      </c>
      <c r="B839" t="s">
        <v>878</v>
      </c>
      <c r="C839" t="s">
        <v>20</v>
      </c>
      <c r="D839" t="s">
        <v>118</v>
      </c>
      <c r="E839">
        <v>4</v>
      </c>
      <c r="G839">
        <f t="shared" si="26"/>
        <v>0</v>
      </c>
      <c r="I839">
        <f t="shared" si="27"/>
        <v>0</v>
      </c>
      <c r="J839" s="1">
        <v>45762</v>
      </c>
      <c r="K839" t="s">
        <v>22</v>
      </c>
      <c r="L839" t="s">
        <v>23</v>
      </c>
      <c r="M839">
        <v>1663.32</v>
      </c>
    </row>
    <row r="840" spans="1:13" x14ac:dyDescent="0.25">
      <c r="A840">
        <v>1838</v>
      </c>
      <c r="B840" t="s">
        <v>879</v>
      </c>
      <c r="C840" t="s">
        <v>36</v>
      </c>
      <c r="D840" t="s">
        <v>87</v>
      </c>
      <c r="E840">
        <v>-2</v>
      </c>
      <c r="G840">
        <f t="shared" si="26"/>
        <v>0</v>
      </c>
      <c r="I840">
        <f t="shared" si="27"/>
        <v>0</v>
      </c>
      <c r="J840" s="1">
        <v>45613</v>
      </c>
      <c r="K840" t="s">
        <v>44</v>
      </c>
      <c r="L840" t="s">
        <v>16</v>
      </c>
      <c r="M840">
        <v>1657.14</v>
      </c>
    </row>
    <row r="841" spans="1:13" x14ac:dyDescent="0.25">
      <c r="A841">
        <v>1839</v>
      </c>
      <c r="B841" t="s">
        <v>880</v>
      </c>
      <c r="C841" t="s">
        <v>31</v>
      </c>
      <c r="D841" t="s">
        <v>68</v>
      </c>
      <c r="E841">
        <v>2</v>
      </c>
      <c r="F841">
        <v>2067.64</v>
      </c>
      <c r="G841">
        <f t="shared" si="26"/>
        <v>4135.28</v>
      </c>
      <c r="I841">
        <f t="shared" si="27"/>
        <v>4135.28</v>
      </c>
      <c r="K841" t="s">
        <v>38</v>
      </c>
      <c r="L841" t="s">
        <v>23</v>
      </c>
      <c r="M841">
        <v>-276.17</v>
      </c>
    </row>
    <row r="842" spans="1:13" x14ac:dyDescent="0.25">
      <c r="A842">
        <v>1840</v>
      </c>
      <c r="B842" t="s">
        <v>881</v>
      </c>
      <c r="C842" t="s">
        <v>28</v>
      </c>
      <c r="D842" t="s">
        <v>116</v>
      </c>
      <c r="E842">
        <v>0</v>
      </c>
      <c r="F842">
        <v>1462.1</v>
      </c>
      <c r="G842">
        <f t="shared" si="26"/>
        <v>0</v>
      </c>
      <c r="H842" s="3">
        <v>0.3</v>
      </c>
      <c r="I842">
        <f t="shared" si="27"/>
        <v>0</v>
      </c>
      <c r="J842" s="1">
        <v>45496</v>
      </c>
      <c r="K842" t="s">
        <v>18</v>
      </c>
      <c r="L842" t="s">
        <v>23</v>
      </c>
      <c r="M842">
        <v>59.79</v>
      </c>
    </row>
    <row r="843" spans="1:13" x14ac:dyDescent="0.25">
      <c r="A843">
        <v>1841</v>
      </c>
      <c r="B843" t="s">
        <v>882</v>
      </c>
      <c r="C843" t="s">
        <v>20</v>
      </c>
      <c r="D843" t="s">
        <v>21</v>
      </c>
      <c r="E843">
        <v>2</v>
      </c>
      <c r="G843">
        <f t="shared" si="26"/>
        <v>0</v>
      </c>
      <c r="I843">
        <f t="shared" si="27"/>
        <v>0</v>
      </c>
      <c r="J843" s="1">
        <v>45747</v>
      </c>
      <c r="K843" t="s">
        <v>15</v>
      </c>
      <c r="L843" t="s">
        <v>16</v>
      </c>
      <c r="M843">
        <v>-780.96</v>
      </c>
    </row>
    <row r="844" spans="1:13" x14ac:dyDescent="0.25">
      <c r="A844">
        <v>1842</v>
      </c>
      <c r="B844" t="s">
        <v>883</v>
      </c>
      <c r="C844" t="s">
        <v>20</v>
      </c>
      <c r="D844" t="s">
        <v>118</v>
      </c>
      <c r="E844">
        <v>2</v>
      </c>
      <c r="G844">
        <f t="shared" si="26"/>
        <v>0</v>
      </c>
      <c r="H844" s="3">
        <v>0.11</v>
      </c>
      <c r="I844">
        <f t="shared" si="27"/>
        <v>0</v>
      </c>
      <c r="J844" s="1">
        <v>45726</v>
      </c>
      <c r="K844" t="s">
        <v>2517</v>
      </c>
      <c r="L844" t="s">
        <v>16</v>
      </c>
      <c r="M844">
        <v>2041.06</v>
      </c>
    </row>
    <row r="845" spans="1:13" x14ac:dyDescent="0.25">
      <c r="A845">
        <v>1843</v>
      </c>
      <c r="B845" t="s">
        <v>884</v>
      </c>
      <c r="C845" t="s">
        <v>36</v>
      </c>
      <c r="D845" t="s">
        <v>37</v>
      </c>
      <c r="E845">
        <v>-2</v>
      </c>
      <c r="G845">
        <f t="shared" si="26"/>
        <v>0</v>
      </c>
      <c r="H845" s="3">
        <v>0.06</v>
      </c>
      <c r="I845">
        <f t="shared" si="27"/>
        <v>0</v>
      </c>
      <c r="J845" s="1">
        <v>45816</v>
      </c>
      <c r="K845" t="s">
        <v>2517</v>
      </c>
      <c r="L845" t="s">
        <v>23</v>
      </c>
      <c r="M845">
        <v>406.45</v>
      </c>
    </row>
    <row r="846" spans="1:13" x14ac:dyDescent="0.25">
      <c r="A846">
        <v>1844</v>
      </c>
      <c r="B846" t="s">
        <v>885</v>
      </c>
      <c r="C846" t="s">
        <v>28</v>
      </c>
      <c r="D846" t="s">
        <v>40</v>
      </c>
      <c r="E846">
        <v>2</v>
      </c>
      <c r="G846">
        <f t="shared" si="26"/>
        <v>0</v>
      </c>
      <c r="I846">
        <f t="shared" si="27"/>
        <v>0</v>
      </c>
      <c r="J846" s="1">
        <v>45842</v>
      </c>
      <c r="K846" t="s">
        <v>15</v>
      </c>
      <c r="L846" t="s">
        <v>16</v>
      </c>
      <c r="M846">
        <v>1910.76</v>
      </c>
    </row>
    <row r="847" spans="1:13" x14ac:dyDescent="0.25">
      <c r="A847">
        <v>1845</v>
      </c>
      <c r="B847" t="s">
        <v>886</v>
      </c>
      <c r="C847" t="s">
        <v>31</v>
      </c>
      <c r="D847" t="s">
        <v>32</v>
      </c>
      <c r="E847">
        <v>2</v>
      </c>
      <c r="G847">
        <f t="shared" si="26"/>
        <v>0</v>
      </c>
      <c r="H847" s="3">
        <v>0.12</v>
      </c>
      <c r="I847">
        <f t="shared" si="27"/>
        <v>0</v>
      </c>
      <c r="J847" s="1">
        <v>45690</v>
      </c>
      <c r="K847" t="s">
        <v>44</v>
      </c>
      <c r="L847" t="s">
        <v>16</v>
      </c>
      <c r="M847">
        <v>1013.64</v>
      </c>
    </row>
    <row r="848" spans="1:13" x14ac:dyDescent="0.25">
      <c r="A848">
        <v>1846</v>
      </c>
      <c r="B848" t="s">
        <v>887</v>
      </c>
      <c r="C848" t="s">
        <v>28</v>
      </c>
      <c r="D848" t="s">
        <v>40</v>
      </c>
      <c r="E848">
        <v>-1</v>
      </c>
      <c r="F848">
        <v>694.71</v>
      </c>
      <c r="G848">
        <f t="shared" si="26"/>
        <v>-694.71</v>
      </c>
      <c r="I848">
        <f t="shared" si="27"/>
        <v>-694.71</v>
      </c>
      <c r="J848" s="1">
        <v>45683</v>
      </c>
      <c r="K848" t="s">
        <v>18</v>
      </c>
      <c r="L848" t="s">
        <v>23</v>
      </c>
      <c r="M848">
        <v>2991.27</v>
      </c>
    </row>
    <row r="849" spans="1:13" x14ac:dyDescent="0.25">
      <c r="A849">
        <v>1847</v>
      </c>
      <c r="B849" t="s">
        <v>888</v>
      </c>
      <c r="C849" t="s">
        <v>36</v>
      </c>
      <c r="D849" t="s">
        <v>87</v>
      </c>
      <c r="E849">
        <v>2</v>
      </c>
      <c r="F849">
        <v>1334.66</v>
      </c>
      <c r="G849">
        <f t="shared" si="26"/>
        <v>2669.32</v>
      </c>
      <c r="H849" s="3">
        <v>1.29</v>
      </c>
      <c r="I849">
        <f t="shared" si="27"/>
        <v>-774.10280000000012</v>
      </c>
      <c r="J849" s="1">
        <v>45793</v>
      </c>
      <c r="K849" t="s">
        <v>38</v>
      </c>
      <c r="L849" t="s">
        <v>16</v>
      </c>
      <c r="M849">
        <v>2897.72</v>
      </c>
    </row>
    <row r="850" spans="1:13" x14ac:dyDescent="0.25">
      <c r="A850">
        <v>1848</v>
      </c>
      <c r="B850" t="s">
        <v>889</v>
      </c>
      <c r="C850" t="s">
        <v>31</v>
      </c>
      <c r="D850" t="s">
        <v>78</v>
      </c>
      <c r="E850">
        <v>-1</v>
      </c>
      <c r="G850">
        <f t="shared" si="26"/>
        <v>0</v>
      </c>
      <c r="I850">
        <f t="shared" si="27"/>
        <v>0</v>
      </c>
      <c r="J850" s="1">
        <v>45634</v>
      </c>
      <c r="K850" t="s">
        <v>15</v>
      </c>
      <c r="L850" t="s">
        <v>16</v>
      </c>
      <c r="M850">
        <v>-56.68</v>
      </c>
    </row>
    <row r="851" spans="1:13" x14ac:dyDescent="0.25">
      <c r="A851">
        <v>1849</v>
      </c>
      <c r="B851" t="s">
        <v>890</v>
      </c>
      <c r="C851" t="s">
        <v>31</v>
      </c>
      <c r="D851" t="s">
        <v>42</v>
      </c>
      <c r="E851">
        <v>2</v>
      </c>
      <c r="F851">
        <v>927.04</v>
      </c>
      <c r="G851">
        <f t="shared" si="26"/>
        <v>1854.08</v>
      </c>
      <c r="I851">
        <f t="shared" si="27"/>
        <v>1854.08</v>
      </c>
      <c r="K851" t="s">
        <v>18</v>
      </c>
      <c r="L851" t="s">
        <v>16</v>
      </c>
      <c r="M851">
        <v>880.71</v>
      </c>
    </row>
    <row r="852" spans="1:13" x14ac:dyDescent="0.25">
      <c r="A852">
        <v>1850</v>
      </c>
      <c r="B852" t="s">
        <v>891</v>
      </c>
      <c r="C852" t="s">
        <v>28</v>
      </c>
      <c r="D852" t="s">
        <v>29</v>
      </c>
      <c r="E852">
        <v>2</v>
      </c>
      <c r="F852">
        <v>1307.27</v>
      </c>
      <c r="G852">
        <f t="shared" si="26"/>
        <v>2614.54</v>
      </c>
      <c r="H852" s="3">
        <v>1.27</v>
      </c>
      <c r="I852">
        <f t="shared" si="27"/>
        <v>-705.92579999999998</v>
      </c>
      <c r="J852" s="1">
        <v>45143</v>
      </c>
      <c r="K852" t="s">
        <v>2517</v>
      </c>
      <c r="L852" t="s">
        <v>16</v>
      </c>
      <c r="M852">
        <v>1757.18</v>
      </c>
    </row>
    <row r="853" spans="1:13" x14ac:dyDescent="0.25">
      <c r="A853">
        <v>1851</v>
      </c>
      <c r="B853" t="s">
        <v>892</v>
      </c>
      <c r="C853" t="s">
        <v>13</v>
      </c>
      <c r="D853" t="s">
        <v>14</v>
      </c>
      <c r="E853">
        <v>5</v>
      </c>
      <c r="F853">
        <v>1505</v>
      </c>
      <c r="G853">
        <f t="shared" si="26"/>
        <v>7525</v>
      </c>
      <c r="I853">
        <f t="shared" si="27"/>
        <v>7525</v>
      </c>
      <c r="J853" s="1">
        <v>45637</v>
      </c>
      <c r="K853" t="s">
        <v>38</v>
      </c>
      <c r="L853" t="s">
        <v>23</v>
      </c>
      <c r="M853">
        <v>-29.76</v>
      </c>
    </row>
    <row r="854" spans="1:13" x14ac:dyDescent="0.25">
      <c r="A854">
        <v>1852</v>
      </c>
      <c r="B854" t="s">
        <v>893</v>
      </c>
      <c r="C854" t="s">
        <v>31</v>
      </c>
      <c r="D854" t="s">
        <v>78</v>
      </c>
      <c r="E854">
        <v>2</v>
      </c>
      <c r="F854">
        <v>1985.55</v>
      </c>
      <c r="G854">
        <f t="shared" si="26"/>
        <v>3971.1</v>
      </c>
      <c r="H854" s="3">
        <v>0.13</v>
      </c>
      <c r="I854">
        <f t="shared" si="27"/>
        <v>3454.857</v>
      </c>
      <c r="J854" s="1">
        <v>45408</v>
      </c>
      <c r="K854" t="s">
        <v>18</v>
      </c>
      <c r="L854" t="s">
        <v>16</v>
      </c>
      <c r="M854">
        <v>1754.79</v>
      </c>
    </row>
    <row r="855" spans="1:13" x14ac:dyDescent="0.25">
      <c r="A855">
        <v>1853</v>
      </c>
      <c r="B855" t="s">
        <v>894</v>
      </c>
      <c r="C855" t="s">
        <v>28</v>
      </c>
      <c r="D855" t="s">
        <v>116</v>
      </c>
      <c r="E855">
        <v>3</v>
      </c>
      <c r="F855">
        <v>2862.48</v>
      </c>
      <c r="G855">
        <f t="shared" si="26"/>
        <v>8587.44</v>
      </c>
      <c r="I855">
        <f t="shared" si="27"/>
        <v>8587.44</v>
      </c>
      <c r="J855" s="1">
        <v>45184</v>
      </c>
      <c r="K855" t="s">
        <v>18</v>
      </c>
      <c r="L855" t="s">
        <v>23</v>
      </c>
      <c r="M855">
        <v>2555.84</v>
      </c>
    </row>
    <row r="856" spans="1:13" x14ac:dyDescent="0.25">
      <c r="A856">
        <v>1854</v>
      </c>
      <c r="B856" t="s">
        <v>895</v>
      </c>
      <c r="C856" t="s">
        <v>13</v>
      </c>
      <c r="D856" t="s">
        <v>34</v>
      </c>
      <c r="E856">
        <v>2</v>
      </c>
      <c r="F856">
        <v>3822.93</v>
      </c>
      <c r="G856">
        <f t="shared" si="26"/>
        <v>7645.86</v>
      </c>
      <c r="H856" s="3">
        <v>1.07</v>
      </c>
      <c r="I856">
        <f t="shared" si="27"/>
        <v>-535.21020000000044</v>
      </c>
      <c r="K856" t="s">
        <v>2517</v>
      </c>
      <c r="L856" t="s">
        <v>23</v>
      </c>
      <c r="M856">
        <v>40.200000000000003</v>
      </c>
    </row>
    <row r="857" spans="1:13" x14ac:dyDescent="0.25">
      <c r="A857">
        <v>1855</v>
      </c>
      <c r="B857" t="s">
        <v>896</v>
      </c>
      <c r="C857" t="s">
        <v>31</v>
      </c>
      <c r="D857" t="s">
        <v>32</v>
      </c>
      <c r="E857">
        <v>5</v>
      </c>
      <c r="F857">
        <v>3870.85</v>
      </c>
      <c r="G857">
        <f t="shared" si="26"/>
        <v>19354.25</v>
      </c>
      <c r="I857">
        <f t="shared" si="27"/>
        <v>19354.25</v>
      </c>
      <c r="J857" s="1">
        <v>45691</v>
      </c>
      <c r="K857" t="s">
        <v>38</v>
      </c>
      <c r="L857" t="s">
        <v>16</v>
      </c>
      <c r="M857">
        <v>2313.58</v>
      </c>
    </row>
    <row r="858" spans="1:13" x14ac:dyDescent="0.25">
      <c r="A858">
        <v>1856</v>
      </c>
      <c r="B858" t="s">
        <v>897</v>
      </c>
      <c r="C858" t="s">
        <v>36</v>
      </c>
      <c r="D858" t="s">
        <v>59</v>
      </c>
      <c r="E858">
        <v>1</v>
      </c>
      <c r="F858">
        <v>2737.23</v>
      </c>
      <c r="G858">
        <f t="shared" si="26"/>
        <v>2737.23</v>
      </c>
      <c r="I858">
        <f t="shared" si="27"/>
        <v>2737.23</v>
      </c>
      <c r="J858" s="1">
        <v>45785</v>
      </c>
      <c r="K858" t="s">
        <v>22</v>
      </c>
      <c r="L858" t="s">
        <v>23</v>
      </c>
      <c r="M858">
        <v>2855.35</v>
      </c>
    </row>
    <row r="859" spans="1:13" x14ac:dyDescent="0.25">
      <c r="A859">
        <v>1857</v>
      </c>
      <c r="B859" t="s">
        <v>898</v>
      </c>
      <c r="C859" t="s">
        <v>28</v>
      </c>
      <c r="D859" t="s">
        <v>116</v>
      </c>
      <c r="E859">
        <v>2</v>
      </c>
      <c r="G859">
        <f t="shared" si="26"/>
        <v>0</v>
      </c>
      <c r="I859">
        <f t="shared" si="27"/>
        <v>0</v>
      </c>
      <c r="J859" s="1">
        <v>45616</v>
      </c>
      <c r="K859" t="s">
        <v>22</v>
      </c>
      <c r="L859" t="s">
        <v>16</v>
      </c>
      <c r="M859">
        <v>-564.27</v>
      </c>
    </row>
    <row r="860" spans="1:13" x14ac:dyDescent="0.25">
      <c r="A860">
        <v>1858</v>
      </c>
      <c r="B860" t="s">
        <v>899</v>
      </c>
      <c r="C860" t="s">
        <v>13</v>
      </c>
      <c r="D860" t="s">
        <v>98</v>
      </c>
      <c r="E860">
        <v>2</v>
      </c>
      <c r="F860">
        <v>3647.61</v>
      </c>
      <c r="G860">
        <f t="shared" si="26"/>
        <v>7295.22</v>
      </c>
      <c r="I860">
        <f t="shared" si="27"/>
        <v>7295.22</v>
      </c>
      <c r="J860" s="1">
        <v>45723</v>
      </c>
      <c r="K860" t="s">
        <v>22</v>
      </c>
      <c r="L860" t="s">
        <v>23</v>
      </c>
      <c r="M860">
        <v>1789.65</v>
      </c>
    </row>
    <row r="861" spans="1:13" x14ac:dyDescent="0.25">
      <c r="A861">
        <v>1859</v>
      </c>
      <c r="B861" t="s">
        <v>900</v>
      </c>
      <c r="C861" t="s">
        <v>28</v>
      </c>
      <c r="D861" t="s">
        <v>40</v>
      </c>
      <c r="E861">
        <v>4</v>
      </c>
      <c r="F861">
        <v>1442.86</v>
      </c>
      <c r="G861">
        <f t="shared" si="26"/>
        <v>5771.44</v>
      </c>
      <c r="H861" s="3">
        <v>0.85</v>
      </c>
      <c r="I861">
        <f t="shared" si="27"/>
        <v>865.71600000000012</v>
      </c>
      <c r="J861" s="1">
        <v>45757</v>
      </c>
      <c r="K861" t="s">
        <v>2517</v>
      </c>
      <c r="L861" t="s">
        <v>23</v>
      </c>
      <c r="M861">
        <v>1183.93</v>
      </c>
    </row>
    <row r="862" spans="1:13" x14ac:dyDescent="0.25">
      <c r="A862">
        <v>1860</v>
      </c>
      <c r="B862" t="s">
        <v>901</v>
      </c>
      <c r="C862" t="s">
        <v>36</v>
      </c>
      <c r="D862" t="s">
        <v>55</v>
      </c>
      <c r="E862">
        <v>3</v>
      </c>
      <c r="G862">
        <f t="shared" si="26"/>
        <v>0</v>
      </c>
      <c r="H862" s="3">
        <v>1.1499999999999999</v>
      </c>
      <c r="I862">
        <f t="shared" si="27"/>
        <v>0</v>
      </c>
      <c r="K862" t="s">
        <v>38</v>
      </c>
      <c r="L862" t="s">
        <v>23</v>
      </c>
      <c r="M862">
        <v>57.35</v>
      </c>
    </row>
    <row r="863" spans="1:13" x14ac:dyDescent="0.25">
      <c r="A863">
        <v>1861</v>
      </c>
      <c r="B863" t="s">
        <v>902</v>
      </c>
      <c r="C863" t="s">
        <v>20</v>
      </c>
      <c r="D863" t="s">
        <v>76</v>
      </c>
      <c r="E863">
        <v>2</v>
      </c>
      <c r="G863">
        <f t="shared" si="26"/>
        <v>0</v>
      </c>
      <c r="I863">
        <f t="shared" si="27"/>
        <v>0</v>
      </c>
      <c r="J863" s="1">
        <v>45681</v>
      </c>
      <c r="K863" t="s">
        <v>18</v>
      </c>
      <c r="L863" t="s">
        <v>23</v>
      </c>
      <c r="M863">
        <v>-934.61</v>
      </c>
    </row>
    <row r="864" spans="1:13" x14ac:dyDescent="0.25">
      <c r="A864">
        <v>1862</v>
      </c>
      <c r="B864" t="s">
        <v>903</v>
      </c>
      <c r="C864" t="s">
        <v>36</v>
      </c>
      <c r="D864" t="s">
        <v>37</v>
      </c>
      <c r="E864">
        <v>5</v>
      </c>
      <c r="F864">
        <v>4739.66</v>
      </c>
      <c r="G864">
        <f t="shared" si="26"/>
        <v>23698.3</v>
      </c>
      <c r="I864">
        <f t="shared" si="27"/>
        <v>23698.3</v>
      </c>
      <c r="K864" t="s">
        <v>15</v>
      </c>
      <c r="L864" t="s">
        <v>16</v>
      </c>
      <c r="M864">
        <v>-315.41000000000003</v>
      </c>
    </row>
    <row r="865" spans="1:13" x14ac:dyDescent="0.25">
      <c r="A865">
        <v>1863</v>
      </c>
      <c r="B865" t="s">
        <v>904</v>
      </c>
      <c r="C865" t="s">
        <v>25</v>
      </c>
      <c r="D865" t="s">
        <v>51</v>
      </c>
      <c r="E865">
        <v>2</v>
      </c>
      <c r="F865">
        <v>3521.17</v>
      </c>
      <c r="G865">
        <f t="shared" si="26"/>
        <v>7042.34</v>
      </c>
      <c r="H865" s="3">
        <v>0.79</v>
      </c>
      <c r="I865">
        <f t="shared" si="27"/>
        <v>1478.8913999999997</v>
      </c>
      <c r="J865" s="1">
        <v>45419</v>
      </c>
      <c r="K865" t="s">
        <v>18</v>
      </c>
      <c r="L865" t="s">
        <v>23</v>
      </c>
      <c r="M865">
        <v>612.84</v>
      </c>
    </row>
    <row r="866" spans="1:13" x14ac:dyDescent="0.25">
      <c r="A866">
        <v>1864</v>
      </c>
      <c r="B866" t="s">
        <v>905</v>
      </c>
      <c r="C866" t="s">
        <v>28</v>
      </c>
      <c r="D866" t="s">
        <v>137</v>
      </c>
      <c r="E866">
        <v>4</v>
      </c>
      <c r="F866">
        <v>1570.06</v>
      </c>
      <c r="G866">
        <f t="shared" si="26"/>
        <v>6280.24</v>
      </c>
      <c r="I866">
        <f t="shared" si="27"/>
        <v>6280.24</v>
      </c>
      <c r="J866" s="1">
        <v>45342</v>
      </c>
      <c r="K866" t="s">
        <v>15</v>
      </c>
      <c r="L866" t="s">
        <v>16</v>
      </c>
      <c r="M866">
        <v>1017.26</v>
      </c>
    </row>
    <row r="867" spans="1:13" x14ac:dyDescent="0.25">
      <c r="A867">
        <v>1865</v>
      </c>
      <c r="B867" t="s">
        <v>906</v>
      </c>
      <c r="C867" t="s">
        <v>20</v>
      </c>
      <c r="D867" t="s">
        <v>118</v>
      </c>
      <c r="E867">
        <v>2</v>
      </c>
      <c r="F867">
        <v>2496.81</v>
      </c>
      <c r="G867">
        <f t="shared" si="26"/>
        <v>4993.62</v>
      </c>
      <c r="I867">
        <f t="shared" si="27"/>
        <v>4993.62</v>
      </c>
      <c r="J867" s="1">
        <v>45401</v>
      </c>
      <c r="K867" t="s">
        <v>2517</v>
      </c>
      <c r="L867" t="s">
        <v>16</v>
      </c>
      <c r="M867">
        <v>28.7</v>
      </c>
    </row>
    <row r="868" spans="1:13" x14ac:dyDescent="0.25">
      <c r="A868">
        <v>1866</v>
      </c>
      <c r="B868" t="s">
        <v>907</v>
      </c>
      <c r="C868" t="s">
        <v>31</v>
      </c>
      <c r="D868" t="s">
        <v>78</v>
      </c>
      <c r="E868">
        <v>4</v>
      </c>
      <c r="F868">
        <v>4471.17</v>
      </c>
      <c r="G868">
        <f t="shared" si="26"/>
        <v>17884.68</v>
      </c>
      <c r="H868" s="3">
        <v>0.6</v>
      </c>
      <c r="I868">
        <f t="shared" si="27"/>
        <v>7153.8720000000003</v>
      </c>
      <c r="J868" s="1">
        <v>45770</v>
      </c>
      <c r="K868" t="s">
        <v>44</v>
      </c>
      <c r="L868" t="s">
        <v>16</v>
      </c>
      <c r="M868">
        <v>1335.92</v>
      </c>
    </row>
    <row r="869" spans="1:13" x14ac:dyDescent="0.25">
      <c r="A869">
        <v>1867</v>
      </c>
      <c r="B869" t="s">
        <v>908</v>
      </c>
      <c r="C869" t="s">
        <v>36</v>
      </c>
      <c r="D869" t="s">
        <v>87</v>
      </c>
      <c r="E869">
        <v>2</v>
      </c>
      <c r="F869">
        <v>1892.54</v>
      </c>
      <c r="G869">
        <f t="shared" si="26"/>
        <v>3785.08</v>
      </c>
      <c r="H869" s="3">
        <v>0.09</v>
      </c>
      <c r="I869">
        <f t="shared" si="27"/>
        <v>3444.4227999999998</v>
      </c>
      <c r="J869" s="1">
        <v>45702</v>
      </c>
      <c r="K869" t="s">
        <v>18</v>
      </c>
      <c r="L869" t="s">
        <v>16</v>
      </c>
      <c r="M869">
        <v>-702.11</v>
      </c>
    </row>
    <row r="870" spans="1:13" x14ac:dyDescent="0.25">
      <c r="A870">
        <v>1868</v>
      </c>
      <c r="B870" t="s">
        <v>909</v>
      </c>
      <c r="C870" t="s">
        <v>25</v>
      </c>
      <c r="D870" t="s">
        <v>82</v>
      </c>
      <c r="E870">
        <v>2</v>
      </c>
      <c r="G870">
        <f t="shared" si="26"/>
        <v>0</v>
      </c>
      <c r="I870">
        <f t="shared" si="27"/>
        <v>0</v>
      </c>
      <c r="J870" s="1">
        <v>45517</v>
      </c>
      <c r="K870" t="s">
        <v>15</v>
      </c>
      <c r="L870" t="s">
        <v>23</v>
      </c>
      <c r="M870">
        <v>182.74</v>
      </c>
    </row>
    <row r="871" spans="1:13" x14ac:dyDescent="0.25">
      <c r="A871">
        <v>1869</v>
      </c>
      <c r="B871" t="s">
        <v>910</v>
      </c>
      <c r="C871" t="s">
        <v>20</v>
      </c>
      <c r="D871" t="s">
        <v>84</v>
      </c>
      <c r="E871">
        <v>2</v>
      </c>
      <c r="G871">
        <f t="shared" si="26"/>
        <v>0</v>
      </c>
      <c r="I871">
        <f t="shared" si="27"/>
        <v>0</v>
      </c>
      <c r="K871" t="s">
        <v>18</v>
      </c>
      <c r="L871" t="s">
        <v>16</v>
      </c>
      <c r="M871">
        <v>75.28</v>
      </c>
    </row>
    <row r="872" spans="1:13" x14ac:dyDescent="0.25">
      <c r="A872">
        <v>1870</v>
      </c>
      <c r="B872" t="s">
        <v>911</v>
      </c>
      <c r="C872" t="s">
        <v>25</v>
      </c>
      <c r="D872" t="s">
        <v>51</v>
      </c>
      <c r="E872">
        <v>2</v>
      </c>
      <c r="F872">
        <v>1870.68</v>
      </c>
      <c r="G872">
        <f t="shared" si="26"/>
        <v>3741.36</v>
      </c>
      <c r="I872">
        <f t="shared" si="27"/>
        <v>3741.36</v>
      </c>
      <c r="K872" t="s">
        <v>44</v>
      </c>
      <c r="L872" t="s">
        <v>16</v>
      </c>
      <c r="M872">
        <v>2695.81</v>
      </c>
    </row>
    <row r="873" spans="1:13" x14ac:dyDescent="0.25">
      <c r="A873">
        <v>1871</v>
      </c>
      <c r="B873" t="s">
        <v>912</v>
      </c>
      <c r="C873" t="s">
        <v>36</v>
      </c>
      <c r="D873" t="s">
        <v>59</v>
      </c>
      <c r="E873">
        <v>2</v>
      </c>
      <c r="G873">
        <f t="shared" si="26"/>
        <v>0</v>
      </c>
      <c r="I873">
        <f t="shared" si="27"/>
        <v>0</v>
      </c>
      <c r="J873" s="1">
        <v>45588</v>
      </c>
      <c r="K873" t="s">
        <v>38</v>
      </c>
      <c r="L873" t="s">
        <v>16</v>
      </c>
      <c r="M873">
        <v>-431.93</v>
      </c>
    </row>
    <row r="874" spans="1:13" x14ac:dyDescent="0.25">
      <c r="A874">
        <v>1872</v>
      </c>
      <c r="B874" t="s">
        <v>913</v>
      </c>
      <c r="C874" t="s">
        <v>31</v>
      </c>
      <c r="D874" t="s">
        <v>78</v>
      </c>
      <c r="E874">
        <v>1</v>
      </c>
      <c r="F874">
        <v>3381.64</v>
      </c>
      <c r="G874">
        <f t="shared" si="26"/>
        <v>3381.64</v>
      </c>
      <c r="H874" s="3">
        <v>0.48</v>
      </c>
      <c r="I874">
        <f t="shared" si="27"/>
        <v>1758.4528</v>
      </c>
      <c r="K874" t="s">
        <v>15</v>
      </c>
      <c r="L874" t="s">
        <v>16</v>
      </c>
      <c r="M874">
        <v>953.93</v>
      </c>
    </row>
    <row r="875" spans="1:13" x14ac:dyDescent="0.25">
      <c r="A875">
        <v>1873</v>
      </c>
      <c r="B875" t="s">
        <v>914</v>
      </c>
      <c r="C875" t="s">
        <v>20</v>
      </c>
      <c r="D875" t="s">
        <v>76</v>
      </c>
      <c r="E875">
        <v>2</v>
      </c>
      <c r="G875">
        <f t="shared" si="26"/>
        <v>0</v>
      </c>
      <c r="I875">
        <f t="shared" si="27"/>
        <v>0</v>
      </c>
      <c r="J875" s="1">
        <v>45466</v>
      </c>
      <c r="K875" t="s">
        <v>15</v>
      </c>
      <c r="L875" t="s">
        <v>16</v>
      </c>
      <c r="M875">
        <v>-632.25</v>
      </c>
    </row>
    <row r="876" spans="1:13" x14ac:dyDescent="0.25">
      <c r="A876">
        <v>1874</v>
      </c>
      <c r="B876" t="s">
        <v>915</v>
      </c>
      <c r="C876" t="s">
        <v>25</v>
      </c>
      <c r="D876" t="s">
        <v>62</v>
      </c>
      <c r="E876">
        <v>5</v>
      </c>
      <c r="F876">
        <v>2847.02</v>
      </c>
      <c r="G876">
        <f t="shared" si="26"/>
        <v>14235.1</v>
      </c>
      <c r="I876">
        <f t="shared" si="27"/>
        <v>14235.1</v>
      </c>
      <c r="J876" s="1">
        <v>45378</v>
      </c>
      <c r="K876" t="s">
        <v>18</v>
      </c>
      <c r="L876" t="s">
        <v>16</v>
      </c>
      <c r="M876">
        <v>-573.97</v>
      </c>
    </row>
    <row r="877" spans="1:13" x14ac:dyDescent="0.25">
      <c r="A877">
        <v>1875</v>
      </c>
      <c r="B877" t="s">
        <v>916</v>
      </c>
      <c r="C877" t="s">
        <v>28</v>
      </c>
      <c r="D877" t="s">
        <v>116</v>
      </c>
      <c r="E877">
        <v>2</v>
      </c>
      <c r="G877">
        <f t="shared" si="26"/>
        <v>0</v>
      </c>
      <c r="I877">
        <f t="shared" si="27"/>
        <v>0</v>
      </c>
      <c r="J877" s="1">
        <v>45524</v>
      </c>
      <c r="K877" t="s">
        <v>44</v>
      </c>
      <c r="L877" t="s">
        <v>16</v>
      </c>
      <c r="M877">
        <v>1125.5</v>
      </c>
    </row>
    <row r="878" spans="1:13" x14ac:dyDescent="0.25">
      <c r="A878">
        <v>1876</v>
      </c>
      <c r="B878" t="s">
        <v>917</v>
      </c>
      <c r="C878" t="s">
        <v>25</v>
      </c>
      <c r="D878" t="s">
        <v>26</v>
      </c>
      <c r="E878">
        <v>2</v>
      </c>
      <c r="G878">
        <f t="shared" si="26"/>
        <v>0</v>
      </c>
      <c r="H878" s="3">
        <v>0.32</v>
      </c>
      <c r="I878">
        <f t="shared" si="27"/>
        <v>0</v>
      </c>
      <c r="J878" s="1">
        <v>45744</v>
      </c>
      <c r="K878" t="s">
        <v>22</v>
      </c>
      <c r="L878" t="s">
        <v>16</v>
      </c>
      <c r="M878">
        <v>986.09</v>
      </c>
    </row>
    <row r="879" spans="1:13" x14ac:dyDescent="0.25">
      <c r="A879">
        <v>1877</v>
      </c>
      <c r="B879" t="s">
        <v>918</v>
      </c>
      <c r="C879" t="s">
        <v>31</v>
      </c>
      <c r="D879" t="s">
        <v>32</v>
      </c>
      <c r="E879">
        <v>-1</v>
      </c>
      <c r="G879">
        <f t="shared" si="26"/>
        <v>0</v>
      </c>
      <c r="I879">
        <f t="shared" si="27"/>
        <v>0</v>
      </c>
      <c r="J879" s="1">
        <v>45836</v>
      </c>
      <c r="K879" t="s">
        <v>44</v>
      </c>
      <c r="L879" t="s">
        <v>23</v>
      </c>
      <c r="M879">
        <v>1149.23</v>
      </c>
    </row>
    <row r="880" spans="1:13" x14ac:dyDescent="0.25">
      <c r="A880">
        <v>1878</v>
      </c>
      <c r="B880" t="s">
        <v>919</v>
      </c>
      <c r="C880" t="s">
        <v>36</v>
      </c>
      <c r="D880" t="s">
        <v>55</v>
      </c>
      <c r="E880">
        <v>4</v>
      </c>
      <c r="G880">
        <f t="shared" si="26"/>
        <v>0</v>
      </c>
      <c r="I880">
        <f t="shared" si="27"/>
        <v>0</v>
      </c>
      <c r="J880" s="1">
        <v>45783</v>
      </c>
      <c r="K880" t="s">
        <v>38</v>
      </c>
      <c r="L880" t="s">
        <v>16</v>
      </c>
      <c r="M880">
        <v>2247.4899999999998</v>
      </c>
    </row>
    <row r="881" spans="1:13" x14ac:dyDescent="0.25">
      <c r="A881">
        <v>1879</v>
      </c>
      <c r="B881" t="s">
        <v>920</v>
      </c>
      <c r="C881" t="s">
        <v>28</v>
      </c>
      <c r="D881" t="s">
        <v>29</v>
      </c>
      <c r="E881">
        <v>0</v>
      </c>
      <c r="F881">
        <v>444.11</v>
      </c>
      <c r="G881">
        <f t="shared" si="26"/>
        <v>0</v>
      </c>
      <c r="I881">
        <f t="shared" si="27"/>
        <v>0</v>
      </c>
      <c r="J881" s="1">
        <v>45547</v>
      </c>
      <c r="K881" t="s">
        <v>18</v>
      </c>
      <c r="L881" t="s">
        <v>16</v>
      </c>
      <c r="M881">
        <v>2762.27</v>
      </c>
    </row>
    <row r="882" spans="1:13" x14ac:dyDescent="0.25">
      <c r="A882">
        <v>1880</v>
      </c>
      <c r="B882" t="s">
        <v>921</v>
      </c>
      <c r="C882" t="s">
        <v>28</v>
      </c>
      <c r="D882" t="s">
        <v>116</v>
      </c>
      <c r="E882">
        <v>1</v>
      </c>
      <c r="F882">
        <v>772.97</v>
      </c>
      <c r="G882">
        <f t="shared" si="26"/>
        <v>772.97</v>
      </c>
      <c r="H882" s="3">
        <v>0.9</v>
      </c>
      <c r="I882">
        <f t="shared" si="27"/>
        <v>77.296999999999983</v>
      </c>
      <c r="J882" s="1">
        <v>45575</v>
      </c>
      <c r="K882" t="s">
        <v>44</v>
      </c>
      <c r="L882" t="s">
        <v>23</v>
      </c>
      <c r="M882">
        <v>843.81</v>
      </c>
    </row>
    <row r="883" spans="1:13" x14ac:dyDescent="0.25">
      <c r="A883">
        <v>1881</v>
      </c>
      <c r="B883" t="s">
        <v>922</v>
      </c>
      <c r="C883" t="s">
        <v>25</v>
      </c>
      <c r="D883" t="s">
        <v>62</v>
      </c>
      <c r="E883">
        <v>3</v>
      </c>
      <c r="F883">
        <v>1772.6</v>
      </c>
      <c r="G883">
        <f t="shared" si="26"/>
        <v>5317.7999999999993</v>
      </c>
      <c r="I883">
        <f t="shared" si="27"/>
        <v>5317.7999999999993</v>
      </c>
      <c r="J883" s="1">
        <v>45836</v>
      </c>
      <c r="K883" t="s">
        <v>38</v>
      </c>
      <c r="L883" t="s">
        <v>23</v>
      </c>
      <c r="M883">
        <v>993.92</v>
      </c>
    </row>
    <row r="884" spans="1:13" x14ac:dyDescent="0.25">
      <c r="A884">
        <v>1882</v>
      </c>
      <c r="B884" t="s">
        <v>923</v>
      </c>
      <c r="C884" t="s">
        <v>20</v>
      </c>
      <c r="D884" t="s">
        <v>84</v>
      </c>
      <c r="E884">
        <v>2</v>
      </c>
      <c r="F884">
        <v>1622.79</v>
      </c>
      <c r="G884">
        <f t="shared" si="26"/>
        <v>3245.58</v>
      </c>
      <c r="I884">
        <f t="shared" si="27"/>
        <v>3245.58</v>
      </c>
      <c r="J884" s="1">
        <v>45831</v>
      </c>
      <c r="K884" t="s">
        <v>15</v>
      </c>
      <c r="L884" t="s">
        <v>16</v>
      </c>
      <c r="M884">
        <v>1020.63</v>
      </c>
    </row>
    <row r="885" spans="1:13" x14ac:dyDescent="0.25">
      <c r="A885">
        <v>1883</v>
      </c>
      <c r="B885" t="s">
        <v>924</v>
      </c>
      <c r="C885" t="s">
        <v>13</v>
      </c>
      <c r="D885" t="s">
        <v>47</v>
      </c>
      <c r="E885">
        <v>-1</v>
      </c>
      <c r="F885">
        <v>4350.8599999999997</v>
      </c>
      <c r="G885">
        <f t="shared" si="26"/>
        <v>-4350.8599999999997</v>
      </c>
      <c r="I885">
        <f t="shared" si="27"/>
        <v>-4350.8599999999997</v>
      </c>
      <c r="K885" t="s">
        <v>44</v>
      </c>
      <c r="L885" t="s">
        <v>23</v>
      </c>
      <c r="M885">
        <v>2845.42</v>
      </c>
    </row>
    <row r="886" spans="1:13" x14ac:dyDescent="0.25">
      <c r="A886">
        <v>1884</v>
      </c>
      <c r="B886" t="s">
        <v>925</v>
      </c>
      <c r="C886" t="s">
        <v>25</v>
      </c>
      <c r="D886" t="s">
        <v>62</v>
      </c>
      <c r="E886">
        <v>6</v>
      </c>
      <c r="G886">
        <f t="shared" si="26"/>
        <v>0</v>
      </c>
      <c r="I886">
        <f t="shared" si="27"/>
        <v>0</v>
      </c>
      <c r="J886" s="1">
        <v>45860</v>
      </c>
      <c r="K886" t="s">
        <v>15</v>
      </c>
      <c r="L886" t="s">
        <v>16</v>
      </c>
      <c r="M886">
        <v>-856.25</v>
      </c>
    </row>
    <row r="887" spans="1:13" x14ac:dyDescent="0.25">
      <c r="A887">
        <v>1885</v>
      </c>
      <c r="B887" t="s">
        <v>926</v>
      </c>
      <c r="C887" t="s">
        <v>31</v>
      </c>
      <c r="D887" t="s">
        <v>68</v>
      </c>
      <c r="E887">
        <v>0</v>
      </c>
      <c r="G887">
        <f t="shared" si="26"/>
        <v>0</v>
      </c>
      <c r="I887">
        <f t="shared" si="27"/>
        <v>0</v>
      </c>
      <c r="J887" s="1">
        <v>45669</v>
      </c>
      <c r="K887" t="s">
        <v>15</v>
      </c>
      <c r="L887" t="s">
        <v>23</v>
      </c>
      <c r="M887">
        <v>-571.28</v>
      </c>
    </row>
    <row r="888" spans="1:13" x14ac:dyDescent="0.25">
      <c r="A888">
        <v>1886</v>
      </c>
      <c r="B888" t="s">
        <v>927</v>
      </c>
      <c r="C888" t="s">
        <v>28</v>
      </c>
      <c r="D888" t="s">
        <v>40</v>
      </c>
      <c r="E888">
        <v>6</v>
      </c>
      <c r="F888">
        <v>1229.0999999999999</v>
      </c>
      <c r="G888">
        <f t="shared" si="26"/>
        <v>7374.5999999999995</v>
      </c>
      <c r="I888">
        <f t="shared" si="27"/>
        <v>7374.5999999999995</v>
      </c>
      <c r="K888" t="s">
        <v>2517</v>
      </c>
      <c r="L888" t="s">
        <v>16</v>
      </c>
      <c r="M888">
        <v>1005.96</v>
      </c>
    </row>
    <row r="889" spans="1:13" x14ac:dyDescent="0.25">
      <c r="A889">
        <v>1887</v>
      </c>
      <c r="B889" t="s">
        <v>928</v>
      </c>
      <c r="C889" t="s">
        <v>31</v>
      </c>
      <c r="D889" t="s">
        <v>68</v>
      </c>
      <c r="E889">
        <v>3</v>
      </c>
      <c r="G889">
        <f t="shared" si="26"/>
        <v>0</v>
      </c>
      <c r="I889">
        <f t="shared" si="27"/>
        <v>0</v>
      </c>
      <c r="J889" s="1">
        <v>45775</v>
      </c>
      <c r="K889" t="s">
        <v>18</v>
      </c>
      <c r="L889" t="s">
        <v>23</v>
      </c>
      <c r="M889">
        <v>111.88</v>
      </c>
    </row>
    <row r="890" spans="1:13" x14ac:dyDescent="0.25">
      <c r="A890">
        <v>1888</v>
      </c>
      <c r="B890" t="s">
        <v>929</v>
      </c>
      <c r="C890" t="s">
        <v>25</v>
      </c>
      <c r="D890" t="s">
        <v>51</v>
      </c>
      <c r="E890">
        <v>6</v>
      </c>
      <c r="G890">
        <f t="shared" si="26"/>
        <v>0</v>
      </c>
      <c r="H890" s="3">
        <v>0.39</v>
      </c>
      <c r="I890">
        <f t="shared" si="27"/>
        <v>0</v>
      </c>
      <c r="K890" t="s">
        <v>22</v>
      </c>
      <c r="L890" t="s">
        <v>23</v>
      </c>
      <c r="M890">
        <v>-80.61</v>
      </c>
    </row>
    <row r="891" spans="1:13" x14ac:dyDescent="0.25">
      <c r="A891">
        <v>1889</v>
      </c>
      <c r="B891" t="s">
        <v>930</v>
      </c>
      <c r="C891" t="s">
        <v>36</v>
      </c>
      <c r="D891" t="s">
        <v>55</v>
      </c>
      <c r="E891">
        <v>2</v>
      </c>
      <c r="F891">
        <v>3948.83</v>
      </c>
      <c r="G891">
        <f t="shared" si="26"/>
        <v>7897.66</v>
      </c>
      <c r="I891">
        <f t="shared" si="27"/>
        <v>7897.66</v>
      </c>
      <c r="J891" s="1">
        <v>45458</v>
      </c>
      <c r="K891" t="s">
        <v>44</v>
      </c>
      <c r="L891" t="s">
        <v>16</v>
      </c>
      <c r="M891">
        <v>1935.77</v>
      </c>
    </row>
    <row r="892" spans="1:13" x14ac:dyDescent="0.25">
      <c r="A892">
        <v>1890</v>
      </c>
      <c r="B892" t="s">
        <v>931</v>
      </c>
      <c r="C892" t="s">
        <v>28</v>
      </c>
      <c r="D892" t="s">
        <v>29</v>
      </c>
      <c r="E892">
        <v>2</v>
      </c>
      <c r="F892">
        <v>3772.51</v>
      </c>
      <c r="G892">
        <f t="shared" si="26"/>
        <v>7545.02</v>
      </c>
      <c r="I892">
        <f t="shared" si="27"/>
        <v>7545.02</v>
      </c>
      <c r="K892" t="s">
        <v>38</v>
      </c>
      <c r="L892" t="s">
        <v>23</v>
      </c>
      <c r="M892">
        <v>792.89</v>
      </c>
    </row>
    <row r="893" spans="1:13" x14ac:dyDescent="0.25">
      <c r="A893">
        <v>1891</v>
      </c>
      <c r="B893" t="s">
        <v>932</v>
      </c>
      <c r="C893" t="s">
        <v>31</v>
      </c>
      <c r="D893" t="s">
        <v>32</v>
      </c>
      <c r="E893">
        <v>2</v>
      </c>
      <c r="F893">
        <v>2727.86</v>
      </c>
      <c r="G893">
        <f t="shared" si="26"/>
        <v>5455.72</v>
      </c>
      <c r="I893">
        <f t="shared" si="27"/>
        <v>5455.72</v>
      </c>
      <c r="J893" s="1">
        <v>45521</v>
      </c>
      <c r="K893" t="s">
        <v>18</v>
      </c>
      <c r="L893" t="s">
        <v>16</v>
      </c>
      <c r="M893">
        <v>849.07</v>
      </c>
    </row>
    <row r="894" spans="1:13" x14ac:dyDescent="0.25">
      <c r="A894">
        <v>1892</v>
      </c>
      <c r="B894" t="s">
        <v>933</v>
      </c>
      <c r="C894" t="s">
        <v>13</v>
      </c>
      <c r="D894" t="s">
        <v>14</v>
      </c>
      <c r="E894">
        <v>2</v>
      </c>
      <c r="G894">
        <f t="shared" si="26"/>
        <v>0</v>
      </c>
      <c r="H894" s="3">
        <v>1.1399999999999999</v>
      </c>
      <c r="I894">
        <f t="shared" si="27"/>
        <v>0</v>
      </c>
      <c r="K894" t="s">
        <v>15</v>
      </c>
      <c r="L894" t="s">
        <v>23</v>
      </c>
      <c r="M894">
        <v>330.14</v>
      </c>
    </row>
    <row r="895" spans="1:13" x14ac:dyDescent="0.25">
      <c r="A895">
        <v>1893</v>
      </c>
      <c r="B895" t="s">
        <v>934</v>
      </c>
      <c r="C895" t="s">
        <v>28</v>
      </c>
      <c r="D895" t="s">
        <v>116</v>
      </c>
      <c r="E895">
        <v>2</v>
      </c>
      <c r="F895">
        <v>4456.45</v>
      </c>
      <c r="G895">
        <f t="shared" si="26"/>
        <v>8912.9</v>
      </c>
      <c r="I895">
        <f t="shared" si="27"/>
        <v>8912.9</v>
      </c>
      <c r="K895" t="s">
        <v>15</v>
      </c>
      <c r="L895" t="s">
        <v>23</v>
      </c>
      <c r="M895">
        <v>870.63</v>
      </c>
    </row>
    <row r="896" spans="1:13" x14ac:dyDescent="0.25">
      <c r="A896">
        <v>1894</v>
      </c>
      <c r="B896" t="s">
        <v>935</v>
      </c>
      <c r="C896" t="s">
        <v>20</v>
      </c>
      <c r="D896" t="s">
        <v>118</v>
      </c>
      <c r="E896">
        <v>2</v>
      </c>
      <c r="F896">
        <v>2793.89</v>
      </c>
      <c r="G896">
        <f t="shared" si="26"/>
        <v>5587.78</v>
      </c>
      <c r="I896">
        <f t="shared" si="27"/>
        <v>5587.78</v>
      </c>
      <c r="J896" s="1">
        <v>45160</v>
      </c>
      <c r="K896" t="s">
        <v>2517</v>
      </c>
      <c r="L896" t="s">
        <v>23</v>
      </c>
      <c r="M896">
        <v>-512.73</v>
      </c>
    </row>
    <row r="897" spans="1:13" x14ac:dyDescent="0.25">
      <c r="A897">
        <v>1003</v>
      </c>
      <c r="B897" t="s">
        <v>936</v>
      </c>
      <c r="C897" t="s">
        <v>13</v>
      </c>
      <c r="D897" t="s">
        <v>98</v>
      </c>
      <c r="E897">
        <v>-2</v>
      </c>
      <c r="G897">
        <f t="shared" si="26"/>
        <v>0</v>
      </c>
      <c r="I897">
        <f t="shared" si="27"/>
        <v>0</v>
      </c>
      <c r="J897" s="1">
        <v>45741</v>
      </c>
      <c r="K897" t="s">
        <v>44</v>
      </c>
      <c r="L897" t="s">
        <v>23</v>
      </c>
      <c r="M897">
        <v>2368.6999999999998</v>
      </c>
    </row>
    <row r="898" spans="1:13" x14ac:dyDescent="0.25">
      <c r="A898">
        <v>1896</v>
      </c>
      <c r="B898" t="s">
        <v>937</v>
      </c>
      <c r="C898" t="s">
        <v>31</v>
      </c>
      <c r="D898" t="s">
        <v>42</v>
      </c>
      <c r="E898">
        <v>5</v>
      </c>
      <c r="F898">
        <v>4829.8500000000004</v>
      </c>
      <c r="G898">
        <f t="shared" si="26"/>
        <v>24149.25</v>
      </c>
      <c r="I898">
        <f t="shared" si="27"/>
        <v>24149.25</v>
      </c>
      <c r="K898" t="s">
        <v>2517</v>
      </c>
      <c r="L898" t="s">
        <v>23</v>
      </c>
      <c r="M898">
        <v>2993.71</v>
      </c>
    </row>
    <row r="899" spans="1:13" x14ac:dyDescent="0.25">
      <c r="A899">
        <v>1897</v>
      </c>
      <c r="B899" t="s">
        <v>938</v>
      </c>
      <c r="C899" t="s">
        <v>13</v>
      </c>
      <c r="D899" t="s">
        <v>47</v>
      </c>
      <c r="E899">
        <v>2</v>
      </c>
      <c r="G899">
        <f t="shared" ref="G899:G962" si="28">F899*E899</f>
        <v>0</v>
      </c>
      <c r="H899" s="3">
        <v>0.34</v>
      </c>
      <c r="I899">
        <f t="shared" ref="I899:I962" si="29">G899*(1-H899)</f>
        <v>0</v>
      </c>
      <c r="J899" s="1">
        <v>45747</v>
      </c>
      <c r="K899" t="s">
        <v>2517</v>
      </c>
      <c r="L899" t="s">
        <v>16</v>
      </c>
      <c r="M899">
        <v>499.61</v>
      </c>
    </row>
    <row r="900" spans="1:13" x14ac:dyDescent="0.25">
      <c r="A900">
        <v>1898</v>
      </c>
      <c r="B900" t="s">
        <v>939</v>
      </c>
      <c r="C900" t="s">
        <v>31</v>
      </c>
      <c r="D900" t="s">
        <v>68</v>
      </c>
      <c r="E900">
        <v>5</v>
      </c>
      <c r="F900">
        <v>776.98</v>
      </c>
      <c r="G900">
        <f t="shared" si="28"/>
        <v>3884.9</v>
      </c>
      <c r="I900">
        <f t="shared" si="29"/>
        <v>3884.9</v>
      </c>
      <c r="J900" s="1">
        <v>45643</v>
      </c>
      <c r="K900" t="s">
        <v>22</v>
      </c>
      <c r="L900" t="s">
        <v>16</v>
      </c>
      <c r="M900">
        <v>2977.35</v>
      </c>
    </row>
    <row r="901" spans="1:13" x14ac:dyDescent="0.25">
      <c r="A901">
        <v>1899</v>
      </c>
      <c r="B901" t="s">
        <v>940</v>
      </c>
      <c r="C901" t="s">
        <v>25</v>
      </c>
      <c r="D901" t="s">
        <v>51</v>
      </c>
      <c r="E901">
        <v>2</v>
      </c>
      <c r="G901">
        <f t="shared" si="28"/>
        <v>0</v>
      </c>
      <c r="I901">
        <f t="shared" si="29"/>
        <v>0</v>
      </c>
      <c r="K901" t="s">
        <v>15</v>
      </c>
      <c r="L901" t="s">
        <v>16</v>
      </c>
      <c r="M901">
        <v>500.04</v>
      </c>
    </row>
    <row r="902" spans="1:13" x14ac:dyDescent="0.25">
      <c r="A902">
        <v>1900</v>
      </c>
      <c r="B902" t="s">
        <v>941</v>
      </c>
      <c r="C902" t="s">
        <v>31</v>
      </c>
      <c r="D902" t="s">
        <v>42</v>
      </c>
      <c r="E902">
        <v>3</v>
      </c>
      <c r="G902">
        <f t="shared" si="28"/>
        <v>0</v>
      </c>
      <c r="I902">
        <f t="shared" si="29"/>
        <v>0</v>
      </c>
      <c r="J902" s="1">
        <v>45552</v>
      </c>
      <c r="K902" t="s">
        <v>15</v>
      </c>
      <c r="L902" t="s">
        <v>16</v>
      </c>
      <c r="M902">
        <v>959.32</v>
      </c>
    </row>
    <row r="903" spans="1:13" x14ac:dyDescent="0.25">
      <c r="A903">
        <v>1901</v>
      </c>
      <c r="B903" t="s">
        <v>942</v>
      </c>
      <c r="C903" t="s">
        <v>28</v>
      </c>
      <c r="D903" t="s">
        <v>29</v>
      </c>
      <c r="E903">
        <v>4</v>
      </c>
      <c r="F903">
        <v>781.91</v>
      </c>
      <c r="G903">
        <f t="shared" si="28"/>
        <v>3127.64</v>
      </c>
      <c r="H903" s="3">
        <v>1.2</v>
      </c>
      <c r="I903">
        <f t="shared" si="29"/>
        <v>-625.52799999999979</v>
      </c>
      <c r="J903" s="1">
        <v>45773</v>
      </c>
      <c r="K903" t="s">
        <v>44</v>
      </c>
      <c r="L903" t="s">
        <v>16</v>
      </c>
      <c r="M903">
        <v>1002.98</v>
      </c>
    </row>
    <row r="904" spans="1:13" x14ac:dyDescent="0.25">
      <c r="A904">
        <v>1007</v>
      </c>
      <c r="B904" t="s">
        <v>943</v>
      </c>
      <c r="C904" t="s">
        <v>28</v>
      </c>
      <c r="D904" t="s">
        <v>137</v>
      </c>
      <c r="E904">
        <v>0</v>
      </c>
      <c r="F904">
        <v>3402.85</v>
      </c>
      <c r="G904">
        <f t="shared" si="28"/>
        <v>0</v>
      </c>
      <c r="H904" s="3">
        <v>0.63</v>
      </c>
      <c r="I904">
        <f t="shared" si="29"/>
        <v>0</v>
      </c>
      <c r="K904" t="s">
        <v>44</v>
      </c>
      <c r="L904" t="s">
        <v>16</v>
      </c>
      <c r="M904">
        <v>1333.09</v>
      </c>
    </row>
    <row r="905" spans="1:13" x14ac:dyDescent="0.25">
      <c r="A905">
        <v>1903</v>
      </c>
      <c r="B905" t="s">
        <v>944</v>
      </c>
      <c r="C905" t="s">
        <v>36</v>
      </c>
      <c r="D905" t="s">
        <v>55</v>
      </c>
      <c r="E905">
        <v>-1</v>
      </c>
      <c r="G905">
        <f t="shared" si="28"/>
        <v>0</v>
      </c>
      <c r="H905" s="3">
        <v>0.08</v>
      </c>
      <c r="I905">
        <f t="shared" si="29"/>
        <v>0</v>
      </c>
      <c r="J905" s="1">
        <v>45764</v>
      </c>
      <c r="K905" t="s">
        <v>22</v>
      </c>
      <c r="L905" t="s">
        <v>16</v>
      </c>
      <c r="M905">
        <v>1264.02</v>
      </c>
    </row>
    <row r="906" spans="1:13" x14ac:dyDescent="0.25">
      <c r="A906">
        <v>1904</v>
      </c>
      <c r="B906" t="s">
        <v>945</v>
      </c>
      <c r="C906" t="s">
        <v>13</v>
      </c>
      <c r="D906" t="s">
        <v>98</v>
      </c>
      <c r="E906">
        <v>-1</v>
      </c>
      <c r="F906">
        <v>1339.18</v>
      </c>
      <c r="G906">
        <f t="shared" si="28"/>
        <v>-1339.18</v>
      </c>
      <c r="I906">
        <f t="shared" si="29"/>
        <v>-1339.18</v>
      </c>
      <c r="J906" s="1">
        <v>45851</v>
      </c>
      <c r="K906" t="s">
        <v>38</v>
      </c>
      <c r="L906" t="s">
        <v>16</v>
      </c>
      <c r="M906">
        <v>554.92999999999995</v>
      </c>
    </row>
    <row r="907" spans="1:13" x14ac:dyDescent="0.25">
      <c r="A907">
        <v>1905</v>
      </c>
      <c r="B907" t="s">
        <v>946</v>
      </c>
      <c r="C907" t="s">
        <v>36</v>
      </c>
      <c r="D907" t="s">
        <v>87</v>
      </c>
      <c r="E907">
        <v>2</v>
      </c>
      <c r="F907">
        <v>759.78</v>
      </c>
      <c r="G907">
        <f t="shared" si="28"/>
        <v>1519.56</v>
      </c>
      <c r="I907">
        <f t="shared" si="29"/>
        <v>1519.56</v>
      </c>
      <c r="K907" t="s">
        <v>44</v>
      </c>
      <c r="L907" t="s">
        <v>23</v>
      </c>
      <c r="M907">
        <v>2254.8200000000002</v>
      </c>
    </row>
    <row r="908" spans="1:13" x14ac:dyDescent="0.25">
      <c r="A908">
        <v>1906</v>
      </c>
      <c r="B908" t="s">
        <v>947</v>
      </c>
      <c r="C908" t="s">
        <v>36</v>
      </c>
      <c r="D908" t="s">
        <v>87</v>
      </c>
      <c r="E908">
        <v>-1</v>
      </c>
      <c r="G908">
        <f t="shared" si="28"/>
        <v>0</v>
      </c>
      <c r="I908">
        <f t="shared" si="29"/>
        <v>0</v>
      </c>
      <c r="J908" s="1">
        <v>45853</v>
      </c>
      <c r="K908" t="s">
        <v>38</v>
      </c>
      <c r="L908" t="s">
        <v>16</v>
      </c>
      <c r="M908">
        <v>406.55</v>
      </c>
    </row>
    <row r="909" spans="1:13" x14ac:dyDescent="0.25">
      <c r="A909">
        <v>1907</v>
      </c>
      <c r="B909" t="s">
        <v>948</v>
      </c>
      <c r="C909" t="s">
        <v>20</v>
      </c>
      <c r="D909" t="s">
        <v>21</v>
      </c>
      <c r="E909">
        <v>2</v>
      </c>
      <c r="G909">
        <f t="shared" si="28"/>
        <v>0</v>
      </c>
      <c r="I909">
        <f t="shared" si="29"/>
        <v>0</v>
      </c>
      <c r="J909" s="1">
        <v>45633</v>
      </c>
      <c r="K909" t="s">
        <v>2517</v>
      </c>
      <c r="L909" t="s">
        <v>16</v>
      </c>
      <c r="M909">
        <v>305.87</v>
      </c>
    </row>
    <row r="910" spans="1:13" x14ac:dyDescent="0.25">
      <c r="A910">
        <v>1908</v>
      </c>
      <c r="B910" t="s">
        <v>949</v>
      </c>
      <c r="C910" t="s">
        <v>13</v>
      </c>
      <c r="D910" t="s">
        <v>34</v>
      </c>
      <c r="E910">
        <v>2</v>
      </c>
      <c r="G910">
        <f t="shared" si="28"/>
        <v>0</v>
      </c>
      <c r="I910">
        <f t="shared" si="29"/>
        <v>0</v>
      </c>
      <c r="K910" t="s">
        <v>2517</v>
      </c>
      <c r="L910" t="s">
        <v>16</v>
      </c>
      <c r="M910">
        <v>205.56</v>
      </c>
    </row>
    <row r="911" spans="1:13" x14ac:dyDescent="0.25">
      <c r="A911">
        <v>1909</v>
      </c>
      <c r="B911" t="s">
        <v>950</v>
      </c>
      <c r="C911" t="s">
        <v>28</v>
      </c>
      <c r="D911" t="s">
        <v>40</v>
      </c>
      <c r="E911">
        <v>1</v>
      </c>
      <c r="F911">
        <v>3114.13</v>
      </c>
      <c r="G911">
        <f t="shared" si="28"/>
        <v>3114.13</v>
      </c>
      <c r="I911">
        <f t="shared" si="29"/>
        <v>3114.13</v>
      </c>
      <c r="J911" s="1">
        <v>45799</v>
      </c>
      <c r="K911" t="s">
        <v>44</v>
      </c>
      <c r="L911" t="s">
        <v>23</v>
      </c>
      <c r="M911">
        <v>2743.54</v>
      </c>
    </row>
    <row r="912" spans="1:13" x14ac:dyDescent="0.25">
      <c r="A912">
        <v>1910</v>
      </c>
      <c r="B912" t="s">
        <v>951</v>
      </c>
      <c r="C912" t="s">
        <v>31</v>
      </c>
      <c r="D912" t="s">
        <v>42</v>
      </c>
      <c r="E912">
        <v>0</v>
      </c>
      <c r="F912">
        <v>2155.16</v>
      </c>
      <c r="G912">
        <f t="shared" si="28"/>
        <v>0</v>
      </c>
      <c r="I912">
        <f t="shared" si="29"/>
        <v>0</v>
      </c>
      <c r="J912" s="1">
        <v>45710</v>
      </c>
      <c r="K912" t="s">
        <v>18</v>
      </c>
      <c r="L912" t="s">
        <v>23</v>
      </c>
      <c r="M912">
        <v>425.89</v>
      </c>
    </row>
    <row r="913" spans="1:13" x14ac:dyDescent="0.25">
      <c r="A913">
        <v>1911</v>
      </c>
      <c r="B913" t="s">
        <v>952</v>
      </c>
      <c r="C913" t="s">
        <v>13</v>
      </c>
      <c r="D913" t="s">
        <v>98</v>
      </c>
      <c r="E913">
        <v>6</v>
      </c>
      <c r="F913">
        <v>2357.6999999999998</v>
      </c>
      <c r="G913">
        <f t="shared" si="28"/>
        <v>14146.199999999999</v>
      </c>
      <c r="I913">
        <f t="shared" si="29"/>
        <v>14146.199999999999</v>
      </c>
      <c r="J913" s="1">
        <v>45521</v>
      </c>
      <c r="K913" t="s">
        <v>18</v>
      </c>
      <c r="L913" t="s">
        <v>16</v>
      </c>
      <c r="M913">
        <v>1901.07</v>
      </c>
    </row>
    <row r="914" spans="1:13" x14ac:dyDescent="0.25">
      <c r="A914">
        <v>1912</v>
      </c>
      <c r="B914" t="s">
        <v>953</v>
      </c>
      <c r="C914" t="s">
        <v>28</v>
      </c>
      <c r="D914" t="s">
        <v>29</v>
      </c>
      <c r="E914">
        <v>2</v>
      </c>
      <c r="G914">
        <f t="shared" si="28"/>
        <v>0</v>
      </c>
      <c r="I914">
        <f t="shared" si="29"/>
        <v>0</v>
      </c>
      <c r="K914" t="s">
        <v>44</v>
      </c>
      <c r="L914" t="s">
        <v>16</v>
      </c>
      <c r="M914">
        <v>2721.15</v>
      </c>
    </row>
    <row r="915" spans="1:13" x14ac:dyDescent="0.25">
      <c r="A915">
        <v>1913</v>
      </c>
      <c r="B915" t="s">
        <v>954</v>
      </c>
      <c r="C915" t="s">
        <v>28</v>
      </c>
      <c r="D915" t="s">
        <v>116</v>
      </c>
      <c r="E915">
        <v>5</v>
      </c>
      <c r="G915">
        <f t="shared" si="28"/>
        <v>0</v>
      </c>
      <c r="I915">
        <f t="shared" si="29"/>
        <v>0</v>
      </c>
      <c r="K915" t="s">
        <v>22</v>
      </c>
      <c r="L915" t="s">
        <v>16</v>
      </c>
      <c r="M915">
        <v>1490.96</v>
      </c>
    </row>
    <row r="916" spans="1:13" x14ac:dyDescent="0.25">
      <c r="A916">
        <v>1914</v>
      </c>
      <c r="B916" t="s">
        <v>955</v>
      </c>
      <c r="C916" t="s">
        <v>13</v>
      </c>
      <c r="D916" t="s">
        <v>34</v>
      </c>
      <c r="E916">
        <v>6</v>
      </c>
      <c r="F916">
        <v>3661.49</v>
      </c>
      <c r="G916">
        <f t="shared" si="28"/>
        <v>21968.94</v>
      </c>
      <c r="H916" s="3">
        <v>0.11</v>
      </c>
      <c r="I916">
        <f t="shared" si="29"/>
        <v>19552.356599999999</v>
      </c>
      <c r="J916" s="1">
        <v>45848</v>
      </c>
      <c r="K916" t="s">
        <v>44</v>
      </c>
      <c r="L916" t="s">
        <v>16</v>
      </c>
      <c r="M916">
        <v>-527.32000000000005</v>
      </c>
    </row>
    <row r="917" spans="1:13" x14ac:dyDescent="0.25">
      <c r="A917">
        <v>1915</v>
      </c>
      <c r="B917" t="s">
        <v>956</v>
      </c>
      <c r="C917" t="s">
        <v>28</v>
      </c>
      <c r="D917" t="s">
        <v>40</v>
      </c>
      <c r="E917">
        <v>2</v>
      </c>
      <c r="G917">
        <f t="shared" si="28"/>
        <v>0</v>
      </c>
      <c r="I917">
        <f t="shared" si="29"/>
        <v>0</v>
      </c>
      <c r="J917" s="1">
        <v>45367</v>
      </c>
      <c r="K917" t="s">
        <v>15</v>
      </c>
      <c r="L917" t="s">
        <v>23</v>
      </c>
      <c r="M917">
        <v>944.36</v>
      </c>
    </row>
    <row r="918" spans="1:13" x14ac:dyDescent="0.25">
      <c r="A918">
        <v>1916</v>
      </c>
      <c r="B918" t="s">
        <v>957</v>
      </c>
      <c r="C918" t="s">
        <v>36</v>
      </c>
      <c r="D918" t="s">
        <v>55</v>
      </c>
      <c r="E918">
        <v>2</v>
      </c>
      <c r="F918">
        <v>2117.0700000000002</v>
      </c>
      <c r="G918">
        <f t="shared" si="28"/>
        <v>4234.1400000000003</v>
      </c>
      <c r="H918" s="3">
        <v>0.13</v>
      </c>
      <c r="I918">
        <f t="shared" si="29"/>
        <v>3683.7018000000003</v>
      </c>
      <c r="J918" s="1">
        <v>45686</v>
      </c>
      <c r="K918" t="s">
        <v>15</v>
      </c>
      <c r="L918" t="s">
        <v>16</v>
      </c>
      <c r="M918">
        <v>2423.2399999999998</v>
      </c>
    </row>
    <row r="919" spans="1:13" x14ac:dyDescent="0.25">
      <c r="A919">
        <v>1917</v>
      </c>
      <c r="B919" t="s">
        <v>958</v>
      </c>
      <c r="C919" t="s">
        <v>25</v>
      </c>
      <c r="D919" t="s">
        <v>62</v>
      </c>
      <c r="E919">
        <v>2</v>
      </c>
      <c r="G919">
        <f t="shared" si="28"/>
        <v>0</v>
      </c>
      <c r="I919">
        <f t="shared" si="29"/>
        <v>0</v>
      </c>
      <c r="J919" s="1">
        <v>45630</v>
      </c>
      <c r="K919" t="s">
        <v>18</v>
      </c>
      <c r="L919" t="s">
        <v>16</v>
      </c>
      <c r="M919">
        <v>1173.48</v>
      </c>
    </row>
    <row r="920" spans="1:13" x14ac:dyDescent="0.25">
      <c r="A920">
        <v>1918</v>
      </c>
      <c r="B920" t="s">
        <v>959</v>
      </c>
      <c r="C920" t="s">
        <v>36</v>
      </c>
      <c r="D920" t="s">
        <v>87</v>
      </c>
      <c r="E920">
        <v>2</v>
      </c>
      <c r="F920">
        <v>581.49</v>
      </c>
      <c r="G920">
        <f t="shared" si="28"/>
        <v>1162.98</v>
      </c>
      <c r="I920">
        <f t="shared" si="29"/>
        <v>1162.98</v>
      </c>
      <c r="J920" s="1">
        <v>45297</v>
      </c>
      <c r="K920" t="s">
        <v>18</v>
      </c>
      <c r="L920" t="s">
        <v>16</v>
      </c>
      <c r="M920">
        <v>-714.88</v>
      </c>
    </row>
    <row r="921" spans="1:13" x14ac:dyDescent="0.25">
      <c r="A921">
        <v>1919</v>
      </c>
      <c r="B921" t="s">
        <v>960</v>
      </c>
      <c r="C921" t="s">
        <v>36</v>
      </c>
      <c r="D921" t="s">
        <v>55</v>
      </c>
      <c r="E921">
        <v>2</v>
      </c>
      <c r="F921">
        <v>1460.71</v>
      </c>
      <c r="G921">
        <f t="shared" si="28"/>
        <v>2921.42</v>
      </c>
      <c r="I921">
        <f t="shared" si="29"/>
        <v>2921.42</v>
      </c>
      <c r="K921" t="s">
        <v>18</v>
      </c>
      <c r="L921" t="s">
        <v>16</v>
      </c>
      <c r="M921">
        <v>2917.9</v>
      </c>
    </row>
    <row r="922" spans="1:13" x14ac:dyDescent="0.25">
      <c r="A922">
        <v>1920</v>
      </c>
      <c r="B922" t="s">
        <v>961</v>
      </c>
      <c r="C922" t="s">
        <v>20</v>
      </c>
      <c r="D922" t="s">
        <v>84</v>
      </c>
      <c r="E922">
        <v>2</v>
      </c>
      <c r="F922">
        <v>4141.2299999999996</v>
      </c>
      <c r="G922">
        <f t="shared" si="28"/>
        <v>8282.4599999999991</v>
      </c>
      <c r="I922">
        <f t="shared" si="29"/>
        <v>8282.4599999999991</v>
      </c>
      <c r="J922" s="1">
        <v>45552</v>
      </c>
      <c r="K922" t="s">
        <v>22</v>
      </c>
      <c r="L922" t="s">
        <v>16</v>
      </c>
      <c r="M922">
        <v>1455.81</v>
      </c>
    </row>
    <row r="923" spans="1:13" x14ac:dyDescent="0.25">
      <c r="A923">
        <v>1921</v>
      </c>
      <c r="B923" t="s">
        <v>962</v>
      </c>
      <c r="C923" t="s">
        <v>28</v>
      </c>
      <c r="D923" t="s">
        <v>116</v>
      </c>
      <c r="E923">
        <v>2</v>
      </c>
      <c r="F923">
        <v>4224.3100000000004</v>
      </c>
      <c r="G923">
        <f t="shared" si="28"/>
        <v>8448.6200000000008</v>
      </c>
      <c r="I923">
        <f t="shared" si="29"/>
        <v>8448.6200000000008</v>
      </c>
      <c r="K923" t="s">
        <v>2517</v>
      </c>
      <c r="L923" t="s">
        <v>23</v>
      </c>
      <c r="M923">
        <v>2660.84</v>
      </c>
    </row>
    <row r="924" spans="1:13" x14ac:dyDescent="0.25">
      <c r="A924">
        <v>1922</v>
      </c>
      <c r="B924" t="s">
        <v>963</v>
      </c>
      <c r="C924" t="s">
        <v>36</v>
      </c>
      <c r="D924" t="s">
        <v>59</v>
      </c>
      <c r="E924">
        <v>2</v>
      </c>
      <c r="G924">
        <f t="shared" si="28"/>
        <v>0</v>
      </c>
      <c r="I924">
        <f t="shared" si="29"/>
        <v>0</v>
      </c>
      <c r="J924" s="1">
        <v>45693</v>
      </c>
      <c r="K924" t="s">
        <v>15</v>
      </c>
      <c r="L924" t="s">
        <v>16</v>
      </c>
      <c r="M924">
        <v>-616.36</v>
      </c>
    </row>
    <row r="925" spans="1:13" x14ac:dyDescent="0.25">
      <c r="A925">
        <v>1923</v>
      </c>
      <c r="B925" t="s">
        <v>964</v>
      </c>
      <c r="C925" t="s">
        <v>20</v>
      </c>
      <c r="D925" t="s">
        <v>21</v>
      </c>
      <c r="E925">
        <v>2</v>
      </c>
      <c r="F925">
        <v>3865.62</v>
      </c>
      <c r="G925">
        <f t="shared" si="28"/>
        <v>7731.24</v>
      </c>
      <c r="I925">
        <f t="shared" si="29"/>
        <v>7731.24</v>
      </c>
      <c r="J925" s="1">
        <v>45807</v>
      </c>
      <c r="K925" t="s">
        <v>38</v>
      </c>
      <c r="L925" t="s">
        <v>16</v>
      </c>
      <c r="M925">
        <v>-56.4</v>
      </c>
    </row>
    <row r="926" spans="1:13" x14ac:dyDescent="0.25">
      <c r="A926">
        <v>1924</v>
      </c>
      <c r="B926" t="s">
        <v>965</v>
      </c>
      <c r="C926" t="s">
        <v>13</v>
      </c>
      <c r="D926" t="s">
        <v>34</v>
      </c>
      <c r="E926">
        <v>2</v>
      </c>
      <c r="F926">
        <v>2999.49</v>
      </c>
      <c r="G926">
        <f t="shared" si="28"/>
        <v>5998.98</v>
      </c>
      <c r="I926">
        <f t="shared" si="29"/>
        <v>5998.98</v>
      </c>
      <c r="J926" s="1">
        <v>45304</v>
      </c>
      <c r="K926" t="s">
        <v>18</v>
      </c>
      <c r="L926" t="s">
        <v>16</v>
      </c>
      <c r="M926">
        <v>-988.45</v>
      </c>
    </row>
    <row r="927" spans="1:13" x14ac:dyDescent="0.25">
      <c r="A927">
        <v>1925</v>
      </c>
      <c r="B927" t="s">
        <v>966</v>
      </c>
      <c r="C927" t="s">
        <v>28</v>
      </c>
      <c r="D927" t="s">
        <v>137</v>
      </c>
      <c r="E927">
        <v>2</v>
      </c>
      <c r="F927">
        <v>1429.24</v>
      </c>
      <c r="G927">
        <f t="shared" si="28"/>
        <v>2858.48</v>
      </c>
      <c r="I927">
        <f t="shared" si="29"/>
        <v>2858.48</v>
      </c>
      <c r="J927" s="1">
        <v>45604</v>
      </c>
      <c r="K927" t="s">
        <v>15</v>
      </c>
      <c r="L927" t="s">
        <v>16</v>
      </c>
      <c r="M927">
        <v>2081.7800000000002</v>
      </c>
    </row>
    <row r="928" spans="1:13" x14ac:dyDescent="0.25">
      <c r="A928">
        <v>1926</v>
      </c>
      <c r="B928" t="s">
        <v>967</v>
      </c>
      <c r="C928" t="s">
        <v>25</v>
      </c>
      <c r="D928" t="s">
        <v>62</v>
      </c>
      <c r="E928">
        <v>-2</v>
      </c>
      <c r="F928">
        <v>2533.37</v>
      </c>
      <c r="G928">
        <f t="shared" si="28"/>
        <v>-5066.74</v>
      </c>
      <c r="I928">
        <f t="shared" si="29"/>
        <v>-5066.74</v>
      </c>
      <c r="J928" s="1">
        <v>45508</v>
      </c>
      <c r="K928" t="s">
        <v>38</v>
      </c>
      <c r="L928" t="s">
        <v>16</v>
      </c>
      <c r="M928">
        <v>-490.96</v>
      </c>
    </row>
    <row r="929" spans="1:13" x14ac:dyDescent="0.25">
      <c r="A929">
        <v>1927</v>
      </c>
      <c r="B929" t="s">
        <v>968</v>
      </c>
      <c r="C929" t="s">
        <v>31</v>
      </c>
      <c r="D929" t="s">
        <v>68</v>
      </c>
      <c r="E929">
        <v>5</v>
      </c>
      <c r="G929">
        <f t="shared" si="28"/>
        <v>0</v>
      </c>
      <c r="I929">
        <f t="shared" si="29"/>
        <v>0</v>
      </c>
      <c r="J929" s="1">
        <v>45777</v>
      </c>
      <c r="K929" t="s">
        <v>2517</v>
      </c>
      <c r="L929" t="s">
        <v>23</v>
      </c>
      <c r="M929">
        <v>1844.54</v>
      </c>
    </row>
    <row r="930" spans="1:13" x14ac:dyDescent="0.25">
      <c r="A930">
        <v>1928</v>
      </c>
      <c r="B930" t="s">
        <v>969</v>
      </c>
      <c r="C930" t="s">
        <v>36</v>
      </c>
      <c r="D930" t="s">
        <v>37</v>
      </c>
      <c r="E930">
        <v>-2</v>
      </c>
      <c r="G930">
        <f t="shared" si="28"/>
        <v>0</v>
      </c>
      <c r="I930">
        <f t="shared" si="29"/>
        <v>0</v>
      </c>
      <c r="J930" s="1">
        <v>45438</v>
      </c>
      <c r="K930" t="s">
        <v>15</v>
      </c>
      <c r="L930" t="s">
        <v>23</v>
      </c>
      <c r="M930">
        <v>2676.77</v>
      </c>
    </row>
    <row r="931" spans="1:13" x14ac:dyDescent="0.25">
      <c r="A931">
        <v>1929</v>
      </c>
      <c r="B931" t="s">
        <v>970</v>
      </c>
      <c r="C931" t="s">
        <v>28</v>
      </c>
      <c r="D931" t="s">
        <v>116</v>
      </c>
      <c r="E931">
        <v>-2</v>
      </c>
      <c r="F931">
        <v>3618.48</v>
      </c>
      <c r="G931">
        <f t="shared" si="28"/>
        <v>-7236.96</v>
      </c>
      <c r="I931">
        <f t="shared" si="29"/>
        <v>-7236.96</v>
      </c>
      <c r="K931" t="s">
        <v>15</v>
      </c>
      <c r="L931" t="s">
        <v>23</v>
      </c>
      <c r="M931">
        <v>1383.46</v>
      </c>
    </row>
    <row r="932" spans="1:13" x14ac:dyDescent="0.25">
      <c r="A932">
        <v>1930</v>
      </c>
      <c r="B932" t="s">
        <v>971</v>
      </c>
      <c r="C932" t="s">
        <v>13</v>
      </c>
      <c r="D932" t="s">
        <v>34</v>
      </c>
      <c r="E932">
        <v>2</v>
      </c>
      <c r="F932">
        <v>3017.82</v>
      </c>
      <c r="G932">
        <f t="shared" si="28"/>
        <v>6035.64</v>
      </c>
      <c r="I932">
        <f t="shared" si="29"/>
        <v>6035.64</v>
      </c>
      <c r="K932" t="s">
        <v>18</v>
      </c>
      <c r="L932" t="s">
        <v>23</v>
      </c>
      <c r="M932">
        <v>1257.0999999999999</v>
      </c>
    </row>
    <row r="933" spans="1:13" x14ac:dyDescent="0.25">
      <c r="A933">
        <v>1931</v>
      </c>
      <c r="B933" t="s">
        <v>972</v>
      </c>
      <c r="C933" t="s">
        <v>13</v>
      </c>
      <c r="D933" t="s">
        <v>34</v>
      </c>
      <c r="E933">
        <v>-1</v>
      </c>
      <c r="G933">
        <f t="shared" si="28"/>
        <v>0</v>
      </c>
      <c r="I933">
        <f t="shared" si="29"/>
        <v>0</v>
      </c>
      <c r="K933" t="s">
        <v>44</v>
      </c>
      <c r="L933" t="s">
        <v>16</v>
      </c>
      <c r="M933">
        <v>1820.4</v>
      </c>
    </row>
    <row r="934" spans="1:13" x14ac:dyDescent="0.25">
      <c r="A934">
        <v>1932</v>
      </c>
      <c r="B934" t="s">
        <v>973</v>
      </c>
      <c r="C934" t="s">
        <v>31</v>
      </c>
      <c r="D934" t="s">
        <v>32</v>
      </c>
      <c r="E934">
        <v>2</v>
      </c>
      <c r="F934">
        <v>436.31</v>
      </c>
      <c r="G934">
        <f t="shared" si="28"/>
        <v>872.62</v>
      </c>
      <c r="I934">
        <f t="shared" si="29"/>
        <v>872.62</v>
      </c>
      <c r="J934" s="1">
        <v>45209</v>
      </c>
      <c r="K934" t="s">
        <v>44</v>
      </c>
      <c r="L934" t="s">
        <v>23</v>
      </c>
      <c r="M934">
        <v>1632.83</v>
      </c>
    </row>
    <row r="935" spans="1:13" x14ac:dyDescent="0.25">
      <c r="A935">
        <v>1933</v>
      </c>
      <c r="B935" t="s">
        <v>974</v>
      </c>
      <c r="C935" t="s">
        <v>20</v>
      </c>
      <c r="D935" t="s">
        <v>118</v>
      </c>
      <c r="E935">
        <v>2</v>
      </c>
      <c r="F935">
        <v>1403.41</v>
      </c>
      <c r="G935">
        <f t="shared" si="28"/>
        <v>2806.82</v>
      </c>
      <c r="I935">
        <f t="shared" si="29"/>
        <v>2806.82</v>
      </c>
      <c r="K935" t="s">
        <v>44</v>
      </c>
      <c r="L935" t="s">
        <v>23</v>
      </c>
      <c r="M935">
        <v>635.85</v>
      </c>
    </row>
    <row r="936" spans="1:13" x14ac:dyDescent="0.25">
      <c r="A936">
        <v>1934</v>
      </c>
      <c r="B936" t="s">
        <v>975</v>
      </c>
      <c r="C936" t="s">
        <v>13</v>
      </c>
      <c r="D936" t="s">
        <v>47</v>
      </c>
      <c r="E936">
        <v>2</v>
      </c>
      <c r="F936">
        <v>3369.03</v>
      </c>
      <c r="G936">
        <f t="shared" si="28"/>
        <v>6738.06</v>
      </c>
      <c r="I936">
        <f t="shared" si="29"/>
        <v>6738.06</v>
      </c>
      <c r="J936" s="1">
        <v>45552</v>
      </c>
      <c r="K936" t="s">
        <v>2517</v>
      </c>
      <c r="L936" t="s">
        <v>16</v>
      </c>
      <c r="M936">
        <v>-144.96</v>
      </c>
    </row>
    <row r="937" spans="1:13" x14ac:dyDescent="0.25">
      <c r="A937">
        <v>1935</v>
      </c>
      <c r="B937" t="s">
        <v>976</v>
      </c>
      <c r="C937" t="s">
        <v>20</v>
      </c>
      <c r="D937" t="s">
        <v>21</v>
      </c>
      <c r="E937">
        <v>6</v>
      </c>
      <c r="G937">
        <f t="shared" si="28"/>
        <v>0</v>
      </c>
      <c r="I937">
        <f t="shared" si="29"/>
        <v>0</v>
      </c>
      <c r="J937" s="1">
        <v>45654</v>
      </c>
      <c r="K937" t="s">
        <v>22</v>
      </c>
      <c r="L937" t="s">
        <v>16</v>
      </c>
      <c r="M937">
        <v>2390.71</v>
      </c>
    </row>
    <row r="938" spans="1:13" x14ac:dyDescent="0.25">
      <c r="A938">
        <v>1936</v>
      </c>
      <c r="B938" t="s">
        <v>977</v>
      </c>
      <c r="C938" t="s">
        <v>13</v>
      </c>
      <c r="D938" t="s">
        <v>98</v>
      </c>
      <c r="E938">
        <v>5</v>
      </c>
      <c r="F938">
        <v>804.78</v>
      </c>
      <c r="G938">
        <f t="shared" si="28"/>
        <v>4023.8999999999996</v>
      </c>
      <c r="I938">
        <f t="shared" si="29"/>
        <v>4023.8999999999996</v>
      </c>
      <c r="J938" s="1">
        <v>45667</v>
      </c>
      <c r="K938" t="s">
        <v>18</v>
      </c>
      <c r="L938" t="s">
        <v>16</v>
      </c>
      <c r="M938">
        <v>1109.21</v>
      </c>
    </row>
    <row r="939" spans="1:13" x14ac:dyDescent="0.25">
      <c r="A939">
        <v>1937</v>
      </c>
      <c r="B939" t="s">
        <v>978</v>
      </c>
      <c r="C939" t="s">
        <v>28</v>
      </c>
      <c r="D939" t="s">
        <v>116</v>
      </c>
      <c r="E939">
        <v>4</v>
      </c>
      <c r="F939">
        <v>643.24</v>
      </c>
      <c r="G939">
        <f t="shared" si="28"/>
        <v>2572.96</v>
      </c>
      <c r="I939">
        <f t="shared" si="29"/>
        <v>2572.96</v>
      </c>
      <c r="J939" s="1">
        <v>45795</v>
      </c>
      <c r="K939" t="s">
        <v>18</v>
      </c>
      <c r="L939" t="s">
        <v>16</v>
      </c>
      <c r="M939">
        <v>1670.97</v>
      </c>
    </row>
    <row r="940" spans="1:13" x14ac:dyDescent="0.25">
      <c r="A940">
        <v>1938</v>
      </c>
      <c r="B940" t="s">
        <v>979</v>
      </c>
      <c r="C940" t="s">
        <v>20</v>
      </c>
      <c r="D940" t="s">
        <v>21</v>
      </c>
      <c r="E940">
        <v>4</v>
      </c>
      <c r="G940">
        <f t="shared" si="28"/>
        <v>0</v>
      </c>
      <c r="H940" s="3">
        <v>0.34</v>
      </c>
      <c r="I940">
        <f t="shared" si="29"/>
        <v>0</v>
      </c>
      <c r="J940" s="1">
        <v>45806</v>
      </c>
      <c r="K940" t="s">
        <v>2517</v>
      </c>
      <c r="L940" t="s">
        <v>16</v>
      </c>
      <c r="M940">
        <v>-528.58000000000004</v>
      </c>
    </row>
    <row r="941" spans="1:13" x14ac:dyDescent="0.25">
      <c r="A941">
        <v>1939</v>
      </c>
      <c r="B941" t="s">
        <v>980</v>
      </c>
      <c r="C941" t="s">
        <v>20</v>
      </c>
      <c r="D941" t="s">
        <v>118</v>
      </c>
      <c r="E941">
        <v>2</v>
      </c>
      <c r="G941">
        <f t="shared" si="28"/>
        <v>0</v>
      </c>
      <c r="H941" s="3">
        <v>0.99</v>
      </c>
      <c r="I941">
        <f t="shared" si="29"/>
        <v>0</v>
      </c>
      <c r="J941" s="1">
        <v>45840</v>
      </c>
      <c r="K941" t="s">
        <v>38</v>
      </c>
      <c r="L941" t="s">
        <v>23</v>
      </c>
      <c r="M941">
        <v>693.96</v>
      </c>
    </row>
    <row r="942" spans="1:13" x14ac:dyDescent="0.25">
      <c r="A942">
        <v>1940</v>
      </c>
      <c r="B942" t="s">
        <v>981</v>
      </c>
      <c r="C942" t="s">
        <v>36</v>
      </c>
      <c r="D942" t="s">
        <v>87</v>
      </c>
      <c r="E942">
        <v>2</v>
      </c>
      <c r="F942">
        <v>3428.02</v>
      </c>
      <c r="G942">
        <f t="shared" si="28"/>
        <v>6856.04</v>
      </c>
      <c r="I942">
        <f t="shared" si="29"/>
        <v>6856.04</v>
      </c>
      <c r="J942" s="1">
        <v>45599</v>
      </c>
      <c r="K942" t="s">
        <v>22</v>
      </c>
      <c r="L942" t="s">
        <v>23</v>
      </c>
      <c r="M942">
        <v>-881.03</v>
      </c>
    </row>
    <row r="943" spans="1:13" x14ac:dyDescent="0.25">
      <c r="A943">
        <v>1941</v>
      </c>
      <c r="B943" t="s">
        <v>982</v>
      </c>
      <c r="C943" t="s">
        <v>25</v>
      </c>
      <c r="D943" t="s">
        <v>26</v>
      </c>
      <c r="E943">
        <v>4</v>
      </c>
      <c r="G943">
        <f t="shared" si="28"/>
        <v>0</v>
      </c>
      <c r="I943">
        <f t="shared" si="29"/>
        <v>0</v>
      </c>
      <c r="J943" s="1">
        <v>45666</v>
      </c>
      <c r="K943" t="s">
        <v>18</v>
      </c>
      <c r="L943" t="s">
        <v>16</v>
      </c>
      <c r="M943">
        <v>-298.48</v>
      </c>
    </row>
    <row r="944" spans="1:13" x14ac:dyDescent="0.25">
      <c r="A944">
        <v>1942</v>
      </c>
      <c r="B944" t="s">
        <v>983</v>
      </c>
      <c r="C944" t="s">
        <v>20</v>
      </c>
      <c r="D944" t="s">
        <v>21</v>
      </c>
      <c r="E944">
        <v>2</v>
      </c>
      <c r="F944">
        <v>3710.07</v>
      </c>
      <c r="G944">
        <f t="shared" si="28"/>
        <v>7420.14</v>
      </c>
      <c r="H944" s="3">
        <v>0.83</v>
      </c>
      <c r="I944">
        <f t="shared" si="29"/>
        <v>1261.4238000000003</v>
      </c>
      <c r="J944" s="1">
        <v>45670</v>
      </c>
      <c r="K944" t="s">
        <v>22</v>
      </c>
      <c r="L944" t="s">
        <v>16</v>
      </c>
      <c r="M944">
        <v>2682.86</v>
      </c>
    </row>
    <row r="945" spans="1:13" x14ac:dyDescent="0.25">
      <c r="A945">
        <v>1943</v>
      </c>
      <c r="B945" t="s">
        <v>984</v>
      </c>
      <c r="C945" t="s">
        <v>25</v>
      </c>
      <c r="D945" t="s">
        <v>51</v>
      </c>
      <c r="E945">
        <v>4</v>
      </c>
      <c r="F945">
        <v>3153.49</v>
      </c>
      <c r="G945">
        <f t="shared" si="28"/>
        <v>12613.96</v>
      </c>
      <c r="I945">
        <f t="shared" si="29"/>
        <v>12613.96</v>
      </c>
      <c r="K945" t="s">
        <v>18</v>
      </c>
      <c r="L945" t="s">
        <v>16</v>
      </c>
      <c r="M945">
        <v>763.19</v>
      </c>
    </row>
    <row r="946" spans="1:13" x14ac:dyDescent="0.25">
      <c r="A946">
        <v>1944</v>
      </c>
      <c r="B946" t="s">
        <v>985</v>
      </c>
      <c r="C946" t="s">
        <v>13</v>
      </c>
      <c r="D946" t="s">
        <v>34</v>
      </c>
      <c r="E946">
        <v>-1</v>
      </c>
      <c r="F946">
        <v>3227.22</v>
      </c>
      <c r="G946">
        <f t="shared" si="28"/>
        <v>-3227.22</v>
      </c>
      <c r="I946">
        <f t="shared" si="29"/>
        <v>-3227.22</v>
      </c>
      <c r="K946" t="s">
        <v>22</v>
      </c>
      <c r="L946" t="s">
        <v>16</v>
      </c>
      <c r="M946">
        <v>597.80999999999995</v>
      </c>
    </row>
    <row r="947" spans="1:13" x14ac:dyDescent="0.25">
      <c r="A947">
        <v>1945</v>
      </c>
      <c r="B947" t="s">
        <v>986</v>
      </c>
      <c r="C947" t="s">
        <v>13</v>
      </c>
      <c r="D947" t="s">
        <v>98</v>
      </c>
      <c r="E947">
        <v>2</v>
      </c>
      <c r="F947">
        <v>2803.56</v>
      </c>
      <c r="G947">
        <f t="shared" si="28"/>
        <v>5607.12</v>
      </c>
      <c r="H947" s="3">
        <v>1.05</v>
      </c>
      <c r="I947">
        <f t="shared" si="29"/>
        <v>-280.35600000000022</v>
      </c>
      <c r="J947" s="1">
        <v>45631</v>
      </c>
      <c r="K947" t="s">
        <v>15</v>
      </c>
      <c r="L947" t="s">
        <v>16</v>
      </c>
      <c r="M947">
        <v>-624.79</v>
      </c>
    </row>
    <row r="948" spans="1:13" x14ac:dyDescent="0.25">
      <c r="A948">
        <v>1946</v>
      </c>
      <c r="B948" t="s">
        <v>987</v>
      </c>
      <c r="C948" t="s">
        <v>13</v>
      </c>
      <c r="D948" t="s">
        <v>98</v>
      </c>
      <c r="E948">
        <v>2</v>
      </c>
      <c r="F948">
        <v>2355.36</v>
      </c>
      <c r="G948">
        <f t="shared" si="28"/>
        <v>4710.72</v>
      </c>
      <c r="I948">
        <f t="shared" si="29"/>
        <v>4710.72</v>
      </c>
      <c r="J948" s="1">
        <v>45726</v>
      </c>
      <c r="K948" t="s">
        <v>15</v>
      </c>
      <c r="L948" t="s">
        <v>23</v>
      </c>
      <c r="M948">
        <v>2397.33</v>
      </c>
    </row>
    <row r="949" spans="1:13" x14ac:dyDescent="0.25">
      <c r="A949">
        <v>1947</v>
      </c>
      <c r="B949" t="s">
        <v>988</v>
      </c>
      <c r="C949" t="s">
        <v>13</v>
      </c>
      <c r="D949" t="s">
        <v>47</v>
      </c>
      <c r="E949">
        <v>2</v>
      </c>
      <c r="G949">
        <f t="shared" si="28"/>
        <v>0</v>
      </c>
      <c r="H949" s="3">
        <v>0.2</v>
      </c>
      <c r="I949">
        <f t="shared" si="29"/>
        <v>0</v>
      </c>
      <c r="J949" s="1">
        <v>45642</v>
      </c>
      <c r="K949" t="s">
        <v>22</v>
      </c>
      <c r="L949" t="s">
        <v>16</v>
      </c>
      <c r="M949">
        <v>1608.36</v>
      </c>
    </row>
    <row r="950" spans="1:13" x14ac:dyDescent="0.25">
      <c r="A950">
        <v>1948</v>
      </c>
      <c r="B950" t="s">
        <v>989</v>
      </c>
      <c r="C950" t="s">
        <v>13</v>
      </c>
      <c r="D950" t="s">
        <v>14</v>
      </c>
      <c r="E950">
        <v>2</v>
      </c>
      <c r="F950">
        <v>2755.59</v>
      </c>
      <c r="G950">
        <f t="shared" si="28"/>
        <v>5511.18</v>
      </c>
      <c r="H950" s="3">
        <v>1.06</v>
      </c>
      <c r="I950">
        <f t="shared" si="29"/>
        <v>-330.67080000000033</v>
      </c>
      <c r="J950" s="1">
        <v>45722</v>
      </c>
      <c r="K950" t="s">
        <v>18</v>
      </c>
      <c r="L950" t="s">
        <v>16</v>
      </c>
      <c r="M950">
        <v>1058.83</v>
      </c>
    </row>
    <row r="951" spans="1:13" x14ac:dyDescent="0.25">
      <c r="A951">
        <v>1949</v>
      </c>
      <c r="B951" t="s">
        <v>990</v>
      </c>
      <c r="C951" t="s">
        <v>25</v>
      </c>
      <c r="D951" t="s">
        <v>62</v>
      </c>
      <c r="E951">
        <v>2</v>
      </c>
      <c r="F951">
        <v>4000.18</v>
      </c>
      <c r="G951">
        <f t="shared" si="28"/>
        <v>8000.36</v>
      </c>
      <c r="H951" s="3">
        <v>0.89</v>
      </c>
      <c r="I951">
        <f t="shared" si="29"/>
        <v>880.03959999999984</v>
      </c>
      <c r="K951" t="s">
        <v>22</v>
      </c>
      <c r="L951" t="s">
        <v>16</v>
      </c>
      <c r="M951">
        <v>713.58</v>
      </c>
    </row>
    <row r="952" spans="1:13" x14ac:dyDescent="0.25">
      <c r="A952">
        <v>1950</v>
      </c>
      <c r="B952" t="s">
        <v>991</v>
      </c>
      <c r="C952" t="s">
        <v>36</v>
      </c>
      <c r="D952" t="s">
        <v>55</v>
      </c>
      <c r="E952">
        <v>0</v>
      </c>
      <c r="F952">
        <v>2270.65</v>
      </c>
      <c r="G952">
        <f t="shared" si="28"/>
        <v>0</v>
      </c>
      <c r="H952" s="3">
        <v>0</v>
      </c>
      <c r="I952">
        <f t="shared" si="29"/>
        <v>0</v>
      </c>
      <c r="J952" s="1">
        <v>45413</v>
      </c>
      <c r="K952" t="s">
        <v>18</v>
      </c>
      <c r="L952" t="s">
        <v>16</v>
      </c>
      <c r="M952">
        <v>2324.34</v>
      </c>
    </row>
    <row r="953" spans="1:13" x14ac:dyDescent="0.25">
      <c r="A953">
        <v>1951</v>
      </c>
      <c r="B953" t="s">
        <v>992</v>
      </c>
      <c r="C953" t="s">
        <v>25</v>
      </c>
      <c r="D953" t="s">
        <v>26</v>
      </c>
      <c r="E953">
        <v>2</v>
      </c>
      <c r="F953">
        <v>2390.4299999999998</v>
      </c>
      <c r="G953">
        <f t="shared" si="28"/>
        <v>4780.8599999999997</v>
      </c>
      <c r="H953" s="3">
        <v>0.35</v>
      </c>
      <c r="I953">
        <f t="shared" si="29"/>
        <v>3107.5589999999997</v>
      </c>
      <c r="J953" s="1">
        <v>45570</v>
      </c>
      <c r="K953" t="s">
        <v>15</v>
      </c>
      <c r="L953" t="s">
        <v>16</v>
      </c>
      <c r="M953">
        <v>-634.86</v>
      </c>
    </row>
    <row r="954" spans="1:13" x14ac:dyDescent="0.25">
      <c r="A954">
        <v>1952</v>
      </c>
      <c r="B954" t="s">
        <v>993</v>
      </c>
      <c r="C954" t="s">
        <v>13</v>
      </c>
      <c r="D954" t="s">
        <v>98</v>
      </c>
      <c r="E954">
        <v>5</v>
      </c>
      <c r="G954">
        <f t="shared" si="28"/>
        <v>0</v>
      </c>
      <c r="I954">
        <f t="shared" si="29"/>
        <v>0</v>
      </c>
      <c r="J954" s="1">
        <v>45365</v>
      </c>
      <c r="K954" t="s">
        <v>44</v>
      </c>
      <c r="L954" t="s">
        <v>16</v>
      </c>
      <c r="M954">
        <v>2835.63</v>
      </c>
    </row>
    <row r="955" spans="1:13" x14ac:dyDescent="0.25">
      <c r="A955">
        <v>1953</v>
      </c>
      <c r="B955" t="s">
        <v>994</v>
      </c>
      <c r="C955" t="s">
        <v>20</v>
      </c>
      <c r="D955" t="s">
        <v>76</v>
      </c>
      <c r="E955">
        <v>2</v>
      </c>
      <c r="G955">
        <f t="shared" si="28"/>
        <v>0</v>
      </c>
      <c r="I955">
        <f t="shared" si="29"/>
        <v>0</v>
      </c>
      <c r="J955" s="1">
        <v>45642</v>
      </c>
      <c r="K955" t="s">
        <v>22</v>
      </c>
      <c r="L955" t="s">
        <v>23</v>
      </c>
      <c r="M955">
        <v>1996.25</v>
      </c>
    </row>
    <row r="956" spans="1:13" x14ac:dyDescent="0.25">
      <c r="A956">
        <v>1954</v>
      </c>
      <c r="B956" t="s">
        <v>995</v>
      </c>
      <c r="C956" t="s">
        <v>13</v>
      </c>
      <c r="D956" t="s">
        <v>98</v>
      </c>
      <c r="E956">
        <v>-2</v>
      </c>
      <c r="F956">
        <v>2315.7800000000002</v>
      </c>
      <c r="G956">
        <f t="shared" si="28"/>
        <v>-4631.5600000000004</v>
      </c>
      <c r="I956">
        <f t="shared" si="29"/>
        <v>-4631.5600000000004</v>
      </c>
      <c r="J956" s="1">
        <v>45803</v>
      </c>
      <c r="K956" t="s">
        <v>18</v>
      </c>
      <c r="L956" t="s">
        <v>16</v>
      </c>
      <c r="M956">
        <v>2501.64</v>
      </c>
    </row>
    <row r="957" spans="1:13" x14ac:dyDescent="0.25">
      <c r="A957">
        <v>1955</v>
      </c>
      <c r="B957" t="s">
        <v>996</v>
      </c>
      <c r="C957" t="s">
        <v>25</v>
      </c>
      <c r="D957" t="s">
        <v>51</v>
      </c>
      <c r="E957">
        <v>1</v>
      </c>
      <c r="F957">
        <v>2787.46</v>
      </c>
      <c r="G957">
        <f t="shared" si="28"/>
        <v>2787.46</v>
      </c>
      <c r="H957" s="3">
        <v>0.92</v>
      </c>
      <c r="I957">
        <f t="shared" si="29"/>
        <v>222.99679999999989</v>
      </c>
      <c r="J957" s="1">
        <v>45668</v>
      </c>
      <c r="K957" t="s">
        <v>22</v>
      </c>
      <c r="L957" t="s">
        <v>23</v>
      </c>
      <c r="M957">
        <v>2909.73</v>
      </c>
    </row>
    <row r="958" spans="1:13" x14ac:dyDescent="0.25">
      <c r="A958">
        <v>1956</v>
      </c>
      <c r="B958" t="s">
        <v>997</v>
      </c>
      <c r="C958" t="s">
        <v>20</v>
      </c>
      <c r="D958" t="s">
        <v>21</v>
      </c>
      <c r="E958">
        <v>2</v>
      </c>
      <c r="G958">
        <f t="shared" si="28"/>
        <v>0</v>
      </c>
      <c r="I958">
        <f t="shared" si="29"/>
        <v>0</v>
      </c>
      <c r="J958" s="1">
        <v>45661</v>
      </c>
      <c r="K958" t="s">
        <v>38</v>
      </c>
      <c r="L958" t="s">
        <v>23</v>
      </c>
      <c r="M958">
        <v>-850.76</v>
      </c>
    </row>
    <row r="959" spans="1:13" x14ac:dyDescent="0.25">
      <c r="A959">
        <v>1957</v>
      </c>
      <c r="B959" t="s">
        <v>998</v>
      </c>
      <c r="C959" t="s">
        <v>28</v>
      </c>
      <c r="D959" t="s">
        <v>116</v>
      </c>
      <c r="E959">
        <v>2</v>
      </c>
      <c r="F959">
        <v>494.81</v>
      </c>
      <c r="G959">
        <f t="shared" si="28"/>
        <v>989.62</v>
      </c>
      <c r="I959">
        <f t="shared" si="29"/>
        <v>989.62</v>
      </c>
      <c r="J959" s="1">
        <v>45256</v>
      </c>
      <c r="K959" t="s">
        <v>2517</v>
      </c>
      <c r="L959" t="s">
        <v>16</v>
      </c>
      <c r="M959">
        <v>-35.32</v>
      </c>
    </row>
    <row r="960" spans="1:13" x14ac:dyDescent="0.25">
      <c r="A960">
        <v>1958</v>
      </c>
      <c r="B960" t="s">
        <v>999</v>
      </c>
      <c r="C960" t="s">
        <v>31</v>
      </c>
      <c r="D960" t="s">
        <v>32</v>
      </c>
      <c r="E960">
        <v>2</v>
      </c>
      <c r="F960">
        <v>3068.38</v>
      </c>
      <c r="G960">
        <f t="shared" si="28"/>
        <v>6136.76</v>
      </c>
      <c r="I960">
        <f t="shared" si="29"/>
        <v>6136.76</v>
      </c>
      <c r="J960" s="1">
        <v>45502</v>
      </c>
      <c r="K960" t="s">
        <v>38</v>
      </c>
      <c r="L960" t="s">
        <v>16</v>
      </c>
      <c r="M960">
        <v>2376.6799999999998</v>
      </c>
    </row>
    <row r="961" spans="1:13" x14ac:dyDescent="0.25">
      <c r="A961">
        <v>1959</v>
      </c>
      <c r="B961" t="s">
        <v>1000</v>
      </c>
      <c r="C961" t="s">
        <v>20</v>
      </c>
      <c r="D961" t="s">
        <v>84</v>
      </c>
      <c r="E961">
        <v>2</v>
      </c>
      <c r="F961">
        <v>3805.09</v>
      </c>
      <c r="G961">
        <f t="shared" si="28"/>
        <v>7610.18</v>
      </c>
      <c r="I961">
        <f t="shared" si="29"/>
        <v>7610.18</v>
      </c>
      <c r="K961" t="s">
        <v>18</v>
      </c>
      <c r="L961" t="s">
        <v>16</v>
      </c>
      <c r="M961">
        <v>-476</v>
      </c>
    </row>
    <row r="962" spans="1:13" x14ac:dyDescent="0.25">
      <c r="A962">
        <v>1960</v>
      </c>
      <c r="B962" t="s">
        <v>1001</v>
      </c>
      <c r="C962" t="s">
        <v>25</v>
      </c>
      <c r="D962" t="s">
        <v>62</v>
      </c>
      <c r="E962">
        <v>2</v>
      </c>
      <c r="F962">
        <v>1369.81</v>
      </c>
      <c r="G962">
        <f t="shared" si="28"/>
        <v>2739.62</v>
      </c>
      <c r="H962" s="3">
        <v>0.67</v>
      </c>
      <c r="I962">
        <f t="shared" si="29"/>
        <v>904.0745999999998</v>
      </c>
      <c r="J962" s="1">
        <v>45612</v>
      </c>
      <c r="K962" t="s">
        <v>44</v>
      </c>
      <c r="L962" t="s">
        <v>23</v>
      </c>
      <c r="M962">
        <v>1179.44</v>
      </c>
    </row>
    <row r="963" spans="1:13" x14ac:dyDescent="0.25">
      <c r="A963">
        <v>1961</v>
      </c>
      <c r="B963" t="s">
        <v>1002</v>
      </c>
      <c r="C963" t="s">
        <v>20</v>
      </c>
      <c r="D963" t="s">
        <v>84</v>
      </c>
      <c r="E963">
        <v>2</v>
      </c>
      <c r="F963">
        <v>2204.39</v>
      </c>
      <c r="G963">
        <f t="shared" ref="G963:G1026" si="30">F963*E963</f>
        <v>4408.78</v>
      </c>
      <c r="I963">
        <f t="shared" ref="I963:I1026" si="31">G963*(1-H963)</f>
        <v>4408.78</v>
      </c>
      <c r="J963" s="1">
        <v>45374</v>
      </c>
      <c r="K963" t="s">
        <v>44</v>
      </c>
      <c r="L963" t="s">
        <v>23</v>
      </c>
      <c r="M963">
        <v>-546.19000000000005</v>
      </c>
    </row>
    <row r="964" spans="1:13" x14ac:dyDescent="0.25">
      <c r="A964">
        <v>1962</v>
      </c>
      <c r="B964" t="s">
        <v>1003</v>
      </c>
      <c r="C964" t="s">
        <v>25</v>
      </c>
      <c r="D964" t="s">
        <v>51</v>
      </c>
      <c r="E964">
        <v>-2</v>
      </c>
      <c r="G964">
        <f t="shared" si="30"/>
        <v>0</v>
      </c>
      <c r="I964">
        <f t="shared" si="31"/>
        <v>0</v>
      </c>
      <c r="J964" s="1">
        <v>45267</v>
      </c>
      <c r="K964" t="s">
        <v>15</v>
      </c>
      <c r="L964" t="s">
        <v>23</v>
      </c>
      <c r="M964">
        <v>1408.3</v>
      </c>
    </row>
    <row r="965" spans="1:13" x14ac:dyDescent="0.25">
      <c r="A965">
        <v>1963</v>
      </c>
      <c r="B965" t="s">
        <v>1004</v>
      </c>
      <c r="C965" t="s">
        <v>25</v>
      </c>
      <c r="D965" t="s">
        <v>82</v>
      </c>
      <c r="E965">
        <v>2</v>
      </c>
      <c r="F965">
        <v>1935.29</v>
      </c>
      <c r="G965">
        <f t="shared" si="30"/>
        <v>3870.58</v>
      </c>
      <c r="I965">
        <f t="shared" si="31"/>
        <v>3870.58</v>
      </c>
      <c r="J965" s="1">
        <v>45525</v>
      </c>
      <c r="K965" t="s">
        <v>22</v>
      </c>
      <c r="L965" t="s">
        <v>23</v>
      </c>
      <c r="M965">
        <v>-114.47</v>
      </c>
    </row>
    <row r="966" spans="1:13" x14ac:dyDescent="0.25">
      <c r="A966">
        <v>1964</v>
      </c>
      <c r="B966" t="s">
        <v>1005</v>
      </c>
      <c r="C966" t="s">
        <v>31</v>
      </c>
      <c r="D966" t="s">
        <v>42</v>
      </c>
      <c r="E966">
        <v>-2</v>
      </c>
      <c r="G966">
        <f t="shared" si="30"/>
        <v>0</v>
      </c>
      <c r="I966">
        <f t="shared" si="31"/>
        <v>0</v>
      </c>
      <c r="K966" t="s">
        <v>38</v>
      </c>
      <c r="L966" t="s">
        <v>23</v>
      </c>
      <c r="M966">
        <v>2202.2800000000002</v>
      </c>
    </row>
    <row r="967" spans="1:13" x14ac:dyDescent="0.25">
      <c r="A967">
        <v>1965</v>
      </c>
      <c r="B967" t="s">
        <v>1006</v>
      </c>
      <c r="C967" t="s">
        <v>36</v>
      </c>
      <c r="D967" t="s">
        <v>87</v>
      </c>
      <c r="E967">
        <v>0</v>
      </c>
      <c r="G967">
        <f t="shared" si="30"/>
        <v>0</v>
      </c>
      <c r="I967">
        <f t="shared" si="31"/>
        <v>0</v>
      </c>
      <c r="J967" s="1">
        <v>45689</v>
      </c>
      <c r="K967" t="s">
        <v>44</v>
      </c>
      <c r="L967" t="s">
        <v>23</v>
      </c>
      <c r="M967">
        <v>2663.36</v>
      </c>
    </row>
    <row r="968" spans="1:13" x14ac:dyDescent="0.25">
      <c r="A968">
        <v>1966</v>
      </c>
      <c r="B968" t="s">
        <v>1007</v>
      </c>
      <c r="C968" t="s">
        <v>25</v>
      </c>
      <c r="D968" t="s">
        <v>26</v>
      </c>
      <c r="E968">
        <v>2</v>
      </c>
      <c r="G968">
        <f t="shared" si="30"/>
        <v>0</v>
      </c>
      <c r="I968">
        <f t="shared" si="31"/>
        <v>0</v>
      </c>
      <c r="K968" t="s">
        <v>44</v>
      </c>
      <c r="L968" t="s">
        <v>23</v>
      </c>
      <c r="M968">
        <v>2887.5</v>
      </c>
    </row>
    <row r="969" spans="1:13" x14ac:dyDescent="0.25">
      <c r="A969">
        <v>1967</v>
      </c>
      <c r="B969" t="s">
        <v>1008</v>
      </c>
      <c r="C969" t="s">
        <v>31</v>
      </c>
      <c r="D969" t="s">
        <v>78</v>
      </c>
      <c r="E969">
        <v>2</v>
      </c>
      <c r="G969">
        <f t="shared" si="30"/>
        <v>0</v>
      </c>
      <c r="I969">
        <f t="shared" si="31"/>
        <v>0</v>
      </c>
      <c r="K969" t="s">
        <v>18</v>
      </c>
      <c r="L969" t="s">
        <v>23</v>
      </c>
      <c r="M969">
        <v>1310.86</v>
      </c>
    </row>
    <row r="970" spans="1:13" x14ac:dyDescent="0.25">
      <c r="A970">
        <v>1968</v>
      </c>
      <c r="B970" t="s">
        <v>1009</v>
      </c>
      <c r="C970" t="s">
        <v>20</v>
      </c>
      <c r="D970" t="s">
        <v>21</v>
      </c>
      <c r="E970">
        <v>5</v>
      </c>
      <c r="G970">
        <f t="shared" si="30"/>
        <v>0</v>
      </c>
      <c r="I970">
        <f t="shared" si="31"/>
        <v>0</v>
      </c>
      <c r="J970" s="1">
        <v>45855</v>
      </c>
      <c r="K970" t="s">
        <v>38</v>
      </c>
      <c r="L970" t="s">
        <v>16</v>
      </c>
      <c r="M970">
        <v>-168.76</v>
      </c>
    </row>
    <row r="971" spans="1:13" x14ac:dyDescent="0.25">
      <c r="A971">
        <v>1969</v>
      </c>
      <c r="B971" t="s">
        <v>1010</v>
      </c>
      <c r="C971" t="s">
        <v>13</v>
      </c>
      <c r="D971" t="s">
        <v>14</v>
      </c>
      <c r="E971">
        <v>2</v>
      </c>
      <c r="F971">
        <v>2153.5700000000002</v>
      </c>
      <c r="G971">
        <f t="shared" si="30"/>
        <v>4307.1400000000003</v>
      </c>
      <c r="I971">
        <f t="shared" si="31"/>
        <v>4307.1400000000003</v>
      </c>
      <c r="J971" s="1">
        <v>45612</v>
      </c>
      <c r="K971" t="s">
        <v>22</v>
      </c>
      <c r="L971" t="s">
        <v>16</v>
      </c>
      <c r="M971">
        <v>1200.02</v>
      </c>
    </row>
    <row r="972" spans="1:13" x14ac:dyDescent="0.25">
      <c r="A972">
        <v>1970</v>
      </c>
      <c r="B972" t="s">
        <v>1011</v>
      </c>
      <c r="C972" t="s">
        <v>20</v>
      </c>
      <c r="D972" t="s">
        <v>84</v>
      </c>
      <c r="E972">
        <v>6</v>
      </c>
      <c r="G972">
        <f t="shared" si="30"/>
        <v>0</v>
      </c>
      <c r="I972">
        <f t="shared" si="31"/>
        <v>0</v>
      </c>
      <c r="K972" t="s">
        <v>44</v>
      </c>
      <c r="L972" t="s">
        <v>16</v>
      </c>
      <c r="M972">
        <v>1016.11</v>
      </c>
    </row>
    <row r="973" spans="1:13" x14ac:dyDescent="0.25">
      <c r="A973">
        <v>1971</v>
      </c>
      <c r="B973" t="s">
        <v>1012</v>
      </c>
      <c r="C973" t="s">
        <v>28</v>
      </c>
      <c r="D973" t="s">
        <v>40</v>
      </c>
      <c r="E973">
        <v>0</v>
      </c>
      <c r="F973">
        <v>4746.5200000000004</v>
      </c>
      <c r="G973">
        <f t="shared" si="30"/>
        <v>0</v>
      </c>
      <c r="I973">
        <f t="shared" si="31"/>
        <v>0</v>
      </c>
      <c r="J973" s="1">
        <v>45629</v>
      </c>
      <c r="K973" t="s">
        <v>22</v>
      </c>
      <c r="L973" t="s">
        <v>23</v>
      </c>
      <c r="M973">
        <v>1981.22</v>
      </c>
    </row>
    <row r="974" spans="1:13" x14ac:dyDescent="0.25">
      <c r="A974">
        <v>1972</v>
      </c>
      <c r="B974" t="s">
        <v>1013</v>
      </c>
      <c r="C974" t="s">
        <v>20</v>
      </c>
      <c r="D974" t="s">
        <v>76</v>
      </c>
      <c r="E974">
        <v>-1</v>
      </c>
      <c r="G974">
        <f t="shared" si="30"/>
        <v>0</v>
      </c>
      <c r="I974">
        <f t="shared" si="31"/>
        <v>0</v>
      </c>
      <c r="J974" s="1">
        <v>45525</v>
      </c>
      <c r="K974" t="s">
        <v>15</v>
      </c>
      <c r="L974" t="s">
        <v>16</v>
      </c>
      <c r="M974">
        <v>-161.86000000000001</v>
      </c>
    </row>
    <row r="975" spans="1:13" x14ac:dyDescent="0.25">
      <c r="A975">
        <v>1973</v>
      </c>
      <c r="B975" t="s">
        <v>1014</v>
      </c>
      <c r="C975" t="s">
        <v>28</v>
      </c>
      <c r="D975" t="s">
        <v>137</v>
      </c>
      <c r="E975">
        <v>2</v>
      </c>
      <c r="G975">
        <f t="shared" si="30"/>
        <v>0</v>
      </c>
      <c r="I975">
        <f t="shared" si="31"/>
        <v>0</v>
      </c>
      <c r="J975" s="1">
        <v>45745</v>
      </c>
      <c r="K975" t="s">
        <v>44</v>
      </c>
      <c r="L975" t="s">
        <v>16</v>
      </c>
      <c r="M975">
        <v>838.06</v>
      </c>
    </row>
    <row r="976" spans="1:13" x14ac:dyDescent="0.25">
      <c r="A976">
        <v>1974</v>
      </c>
      <c r="B976" t="s">
        <v>1015</v>
      </c>
      <c r="C976" t="s">
        <v>13</v>
      </c>
      <c r="D976" t="s">
        <v>98</v>
      </c>
      <c r="E976">
        <v>2</v>
      </c>
      <c r="F976">
        <v>3286.66</v>
      </c>
      <c r="G976">
        <f t="shared" si="30"/>
        <v>6573.32</v>
      </c>
      <c r="I976">
        <f t="shared" si="31"/>
        <v>6573.32</v>
      </c>
      <c r="K976" t="s">
        <v>18</v>
      </c>
      <c r="L976" t="s">
        <v>23</v>
      </c>
      <c r="M976">
        <v>1019.91</v>
      </c>
    </row>
    <row r="977" spans="1:13" x14ac:dyDescent="0.25">
      <c r="A977">
        <v>1975</v>
      </c>
      <c r="B977" t="s">
        <v>1016</v>
      </c>
      <c r="C977" t="s">
        <v>31</v>
      </c>
      <c r="D977" t="s">
        <v>68</v>
      </c>
      <c r="E977">
        <v>2</v>
      </c>
      <c r="F977">
        <v>3853.49</v>
      </c>
      <c r="G977">
        <f t="shared" si="30"/>
        <v>7706.98</v>
      </c>
      <c r="I977">
        <f t="shared" si="31"/>
        <v>7706.98</v>
      </c>
      <c r="K977" t="s">
        <v>22</v>
      </c>
      <c r="L977" t="s">
        <v>23</v>
      </c>
      <c r="M977">
        <v>77.2</v>
      </c>
    </row>
    <row r="978" spans="1:13" x14ac:dyDescent="0.25">
      <c r="A978">
        <v>1976</v>
      </c>
      <c r="B978" t="s">
        <v>1017</v>
      </c>
      <c r="C978" t="s">
        <v>13</v>
      </c>
      <c r="D978" t="s">
        <v>98</v>
      </c>
      <c r="E978">
        <v>2</v>
      </c>
      <c r="F978">
        <v>4363.08</v>
      </c>
      <c r="G978">
        <f t="shared" si="30"/>
        <v>8726.16</v>
      </c>
      <c r="I978">
        <f t="shared" si="31"/>
        <v>8726.16</v>
      </c>
      <c r="J978" s="1">
        <v>45803</v>
      </c>
      <c r="K978" t="s">
        <v>15</v>
      </c>
      <c r="L978" t="s">
        <v>16</v>
      </c>
      <c r="M978">
        <v>-16.09</v>
      </c>
    </row>
    <row r="979" spans="1:13" x14ac:dyDescent="0.25">
      <c r="A979">
        <v>1977</v>
      </c>
      <c r="B979" t="s">
        <v>1018</v>
      </c>
      <c r="C979" t="s">
        <v>31</v>
      </c>
      <c r="D979" t="s">
        <v>42</v>
      </c>
      <c r="E979">
        <v>2</v>
      </c>
      <c r="F979">
        <v>4126.29</v>
      </c>
      <c r="G979">
        <f t="shared" si="30"/>
        <v>8252.58</v>
      </c>
      <c r="I979">
        <f t="shared" si="31"/>
        <v>8252.58</v>
      </c>
      <c r="K979" t="s">
        <v>22</v>
      </c>
      <c r="L979" t="s">
        <v>16</v>
      </c>
      <c r="M979">
        <v>-578.63</v>
      </c>
    </row>
    <row r="980" spans="1:13" x14ac:dyDescent="0.25">
      <c r="A980">
        <v>1978</v>
      </c>
      <c r="B980" t="s">
        <v>1019</v>
      </c>
      <c r="C980" t="s">
        <v>31</v>
      </c>
      <c r="D980" t="s">
        <v>68</v>
      </c>
      <c r="E980">
        <v>4</v>
      </c>
      <c r="G980">
        <f t="shared" si="30"/>
        <v>0</v>
      </c>
      <c r="I980">
        <f t="shared" si="31"/>
        <v>0</v>
      </c>
      <c r="J980" s="1">
        <v>45522</v>
      </c>
      <c r="K980" t="s">
        <v>22</v>
      </c>
      <c r="L980" t="s">
        <v>16</v>
      </c>
      <c r="M980">
        <v>-120.11</v>
      </c>
    </row>
    <row r="981" spans="1:13" x14ac:dyDescent="0.25">
      <c r="A981">
        <v>1979</v>
      </c>
      <c r="B981" t="s">
        <v>1020</v>
      </c>
      <c r="C981" t="s">
        <v>36</v>
      </c>
      <c r="D981" t="s">
        <v>87</v>
      </c>
      <c r="E981">
        <v>-2</v>
      </c>
      <c r="F981">
        <v>4375.7</v>
      </c>
      <c r="G981">
        <f t="shared" si="30"/>
        <v>-8751.4</v>
      </c>
      <c r="H981" s="3">
        <v>0.91</v>
      </c>
      <c r="I981">
        <f t="shared" si="31"/>
        <v>-787.62599999999975</v>
      </c>
      <c r="J981" s="1">
        <v>45821</v>
      </c>
      <c r="K981" t="s">
        <v>38</v>
      </c>
      <c r="L981" t="s">
        <v>23</v>
      </c>
      <c r="M981">
        <v>250.46</v>
      </c>
    </row>
    <row r="982" spans="1:13" x14ac:dyDescent="0.25">
      <c r="A982">
        <v>1980</v>
      </c>
      <c r="B982" t="s">
        <v>1021</v>
      </c>
      <c r="C982" t="s">
        <v>28</v>
      </c>
      <c r="D982" t="s">
        <v>137</v>
      </c>
      <c r="E982">
        <v>1</v>
      </c>
      <c r="F982">
        <v>1426.73</v>
      </c>
      <c r="G982">
        <f t="shared" si="30"/>
        <v>1426.73</v>
      </c>
      <c r="I982">
        <f t="shared" si="31"/>
        <v>1426.73</v>
      </c>
      <c r="J982" s="1">
        <v>45207</v>
      </c>
      <c r="K982" t="s">
        <v>44</v>
      </c>
      <c r="L982" t="s">
        <v>16</v>
      </c>
      <c r="M982">
        <v>2451.9899999999998</v>
      </c>
    </row>
    <row r="983" spans="1:13" x14ac:dyDescent="0.25">
      <c r="A983">
        <v>1981</v>
      </c>
      <c r="B983" t="s">
        <v>1022</v>
      </c>
      <c r="C983" t="s">
        <v>36</v>
      </c>
      <c r="D983" t="s">
        <v>55</v>
      </c>
      <c r="E983">
        <v>0</v>
      </c>
      <c r="G983">
        <f t="shared" si="30"/>
        <v>0</v>
      </c>
      <c r="I983">
        <f t="shared" si="31"/>
        <v>0</v>
      </c>
      <c r="K983" t="s">
        <v>15</v>
      </c>
      <c r="L983" t="s">
        <v>23</v>
      </c>
      <c r="M983">
        <v>1171.6500000000001</v>
      </c>
    </row>
    <row r="984" spans="1:13" x14ac:dyDescent="0.25">
      <c r="A984">
        <v>1982</v>
      </c>
      <c r="B984" t="s">
        <v>1023</v>
      </c>
      <c r="C984" t="s">
        <v>36</v>
      </c>
      <c r="D984" t="s">
        <v>59</v>
      </c>
      <c r="E984">
        <v>2</v>
      </c>
      <c r="F984">
        <v>3701.72</v>
      </c>
      <c r="G984">
        <f t="shared" si="30"/>
        <v>7403.44</v>
      </c>
      <c r="I984">
        <f t="shared" si="31"/>
        <v>7403.44</v>
      </c>
      <c r="K984" t="s">
        <v>18</v>
      </c>
      <c r="L984" t="s">
        <v>16</v>
      </c>
      <c r="M984">
        <v>1936.33</v>
      </c>
    </row>
    <row r="985" spans="1:13" x14ac:dyDescent="0.25">
      <c r="A985">
        <v>1983</v>
      </c>
      <c r="B985" t="s">
        <v>1024</v>
      </c>
      <c r="C985" t="s">
        <v>20</v>
      </c>
      <c r="D985" t="s">
        <v>76</v>
      </c>
      <c r="E985">
        <v>2</v>
      </c>
      <c r="F985">
        <v>2348.2600000000002</v>
      </c>
      <c r="G985">
        <f t="shared" si="30"/>
        <v>4696.5200000000004</v>
      </c>
      <c r="I985">
        <f t="shared" si="31"/>
        <v>4696.5200000000004</v>
      </c>
      <c r="J985" s="1">
        <v>45756</v>
      </c>
      <c r="K985" t="s">
        <v>38</v>
      </c>
      <c r="L985" t="s">
        <v>23</v>
      </c>
      <c r="M985">
        <v>358.59</v>
      </c>
    </row>
    <row r="986" spans="1:13" x14ac:dyDescent="0.25">
      <c r="A986">
        <v>1984</v>
      </c>
      <c r="B986" t="s">
        <v>1025</v>
      </c>
      <c r="C986" t="s">
        <v>36</v>
      </c>
      <c r="D986" t="s">
        <v>55</v>
      </c>
      <c r="E986">
        <v>2</v>
      </c>
      <c r="G986">
        <f t="shared" si="30"/>
        <v>0</v>
      </c>
      <c r="H986" s="3">
        <v>1.25</v>
      </c>
      <c r="I986">
        <f t="shared" si="31"/>
        <v>0</v>
      </c>
      <c r="J986" s="1">
        <v>45555</v>
      </c>
      <c r="K986" t="s">
        <v>38</v>
      </c>
      <c r="L986" t="s">
        <v>23</v>
      </c>
      <c r="M986">
        <v>881.47</v>
      </c>
    </row>
    <row r="987" spans="1:13" x14ac:dyDescent="0.25">
      <c r="A987">
        <v>1985</v>
      </c>
      <c r="B987" t="s">
        <v>1026</v>
      </c>
      <c r="C987" t="s">
        <v>25</v>
      </c>
      <c r="D987" t="s">
        <v>82</v>
      </c>
      <c r="E987">
        <v>2</v>
      </c>
      <c r="F987">
        <v>1668.18</v>
      </c>
      <c r="G987">
        <f t="shared" si="30"/>
        <v>3336.36</v>
      </c>
      <c r="H987" s="3">
        <v>0.63</v>
      </c>
      <c r="I987">
        <f t="shared" si="31"/>
        <v>1234.4531999999999</v>
      </c>
      <c r="J987" s="1">
        <v>45638</v>
      </c>
      <c r="K987" t="s">
        <v>15</v>
      </c>
      <c r="L987" t="s">
        <v>16</v>
      </c>
      <c r="M987">
        <v>-553.53</v>
      </c>
    </row>
    <row r="988" spans="1:13" x14ac:dyDescent="0.25">
      <c r="A988">
        <v>1986</v>
      </c>
      <c r="B988" t="s">
        <v>1027</v>
      </c>
      <c r="C988" t="s">
        <v>36</v>
      </c>
      <c r="D988" t="s">
        <v>37</v>
      </c>
      <c r="E988">
        <v>0</v>
      </c>
      <c r="G988">
        <f t="shared" si="30"/>
        <v>0</v>
      </c>
      <c r="H988" s="3">
        <v>0.06</v>
      </c>
      <c r="I988">
        <f t="shared" si="31"/>
        <v>0</v>
      </c>
      <c r="J988" s="1">
        <v>45672</v>
      </c>
      <c r="K988" t="s">
        <v>2517</v>
      </c>
      <c r="L988" t="s">
        <v>16</v>
      </c>
      <c r="M988">
        <v>2806.51</v>
      </c>
    </row>
    <row r="989" spans="1:13" x14ac:dyDescent="0.25">
      <c r="A989">
        <v>1987</v>
      </c>
      <c r="B989" t="s">
        <v>1028</v>
      </c>
      <c r="C989" t="s">
        <v>28</v>
      </c>
      <c r="D989" t="s">
        <v>29</v>
      </c>
      <c r="E989">
        <v>2</v>
      </c>
      <c r="G989">
        <f t="shared" si="30"/>
        <v>0</v>
      </c>
      <c r="H989" s="3">
        <v>0.8</v>
      </c>
      <c r="I989">
        <f t="shared" si="31"/>
        <v>0</v>
      </c>
      <c r="J989" s="1">
        <v>45667</v>
      </c>
      <c r="K989" t="s">
        <v>2517</v>
      </c>
      <c r="L989" t="s">
        <v>16</v>
      </c>
      <c r="M989">
        <v>2732.84</v>
      </c>
    </row>
    <row r="990" spans="1:13" x14ac:dyDescent="0.25">
      <c r="A990">
        <v>1988</v>
      </c>
      <c r="B990" t="s">
        <v>1029</v>
      </c>
      <c r="C990" t="s">
        <v>25</v>
      </c>
      <c r="D990" t="s">
        <v>82</v>
      </c>
      <c r="E990">
        <v>2</v>
      </c>
      <c r="G990">
        <f t="shared" si="30"/>
        <v>0</v>
      </c>
      <c r="I990">
        <f t="shared" si="31"/>
        <v>0</v>
      </c>
      <c r="J990" s="1">
        <v>45741</v>
      </c>
      <c r="K990" t="s">
        <v>38</v>
      </c>
      <c r="L990" t="s">
        <v>23</v>
      </c>
      <c r="M990">
        <v>-298.07</v>
      </c>
    </row>
    <row r="991" spans="1:13" x14ac:dyDescent="0.25">
      <c r="A991">
        <v>1989</v>
      </c>
      <c r="B991" t="s">
        <v>1030</v>
      </c>
      <c r="C991" t="s">
        <v>31</v>
      </c>
      <c r="D991" t="s">
        <v>32</v>
      </c>
      <c r="E991">
        <v>2</v>
      </c>
      <c r="G991">
        <f t="shared" si="30"/>
        <v>0</v>
      </c>
      <c r="I991">
        <f t="shared" si="31"/>
        <v>0</v>
      </c>
      <c r="J991" s="1">
        <v>45740</v>
      </c>
      <c r="K991" t="s">
        <v>18</v>
      </c>
      <c r="L991" t="s">
        <v>16</v>
      </c>
      <c r="M991">
        <v>2646.08</v>
      </c>
    </row>
    <row r="992" spans="1:13" x14ac:dyDescent="0.25">
      <c r="A992">
        <v>1990</v>
      </c>
      <c r="B992" t="s">
        <v>1031</v>
      </c>
      <c r="C992" t="s">
        <v>13</v>
      </c>
      <c r="D992" t="s">
        <v>34</v>
      </c>
      <c r="E992">
        <v>-1</v>
      </c>
      <c r="F992">
        <v>1203.45</v>
      </c>
      <c r="G992">
        <f t="shared" si="30"/>
        <v>-1203.45</v>
      </c>
      <c r="I992">
        <f t="shared" si="31"/>
        <v>-1203.45</v>
      </c>
      <c r="J992" s="1">
        <v>45774</v>
      </c>
      <c r="K992" t="s">
        <v>15</v>
      </c>
      <c r="L992" t="s">
        <v>16</v>
      </c>
      <c r="M992">
        <v>1184.3599999999999</v>
      </c>
    </row>
    <row r="993" spans="1:13" x14ac:dyDescent="0.25">
      <c r="A993">
        <v>1991</v>
      </c>
      <c r="B993" t="s">
        <v>1032</v>
      </c>
      <c r="C993" t="s">
        <v>20</v>
      </c>
      <c r="D993" t="s">
        <v>118</v>
      </c>
      <c r="E993">
        <v>2</v>
      </c>
      <c r="F993">
        <v>2808.46</v>
      </c>
      <c r="G993">
        <f t="shared" si="30"/>
        <v>5616.92</v>
      </c>
      <c r="H993" s="3">
        <v>0.67</v>
      </c>
      <c r="I993">
        <f t="shared" si="31"/>
        <v>1853.5835999999997</v>
      </c>
      <c r="K993" t="s">
        <v>22</v>
      </c>
      <c r="L993" t="s">
        <v>16</v>
      </c>
      <c r="M993">
        <v>1592.37</v>
      </c>
    </row>
    <row r="994" spans="1:13" x14ac:dyDescent="0.25">
      <c r="A994">
        <v>1992</v>
      </c>
      <c r="B994" t="s">
        <v>1033</v>
      </c>
      <c r="C994" t="s">
        <v>31</v>
      </c>
      <c r="D994" t="s">
        <v>68</v>
      </c>
      <c r="E994">
        <v>2</v>
      </c>
      <c r="G994">
        <f t="shared" si="30"/>
        <v>0</v>
      </c>
      <c r="H994" s="3">
        <v>0.72</v>
      </c>
      <c r="I994">
        <f t="shared" si="31"/>
        <v>0</v>
      </c>
      <c r="K994" t="s">
        <v>38</v>
      </c>
      <c r="L994" t="s">
        <v>23</v>
      </c>
      <c r="M994">
        <v>2416.37</v>
      </c>
    </row>
    <row r="995" spans="1:13" x14ac:dyDescent="0.25">
      <c r="A995">
        <v>1993</v>
      </c>
      <c r="B995" t="s">
        <v>1034</v>
      </c>
      <c r="C995" t="s">
        <v>25</v>
      </c>
      <c r="D995" t="s">
        <v>82</v>
      </c>
      <c r="E995">
        <v>0</v>
      </c>
      <c r="G995">
        <f t="shared" si="30"/>
        <v>0</v>
      </c>
      <c r="I995">
        <f t="shared" si="31"/>
        <v>0</v>
      </c>
      <c r="J995" s="1">
        <v>45213</v>
      </c>
      <c r="K995" t="s">
        <v>44</v>
      </c>
      <c r="L995" t="s">
        <v>16</v>
      </c>
      <c r="M995">
        <v>937.22</v>
      </c>
    </row>
    <row r="996" spans="1:13" x14ac:dyDescent="0.25">
      <c r="A996">
        <v>1994</v>
      </c>
      <c r="B996" t="s">
        <v>1035</v>
      </c>
      <c r="C996" t="s">
        <v>13</v>
      </c>
      <c r="D996" t="s">
        <v>98</v>
      </c>
      <c r="E996">
        <v>-1</v>
      </c>
      <c r="F996">
        <v>1010.48</v>
      </c>
      <c r="G996">
        <f t="shared" si="30"/>
        <v>-1010.48</v>
      </c>
      <c r="I996">
        <f t="shared" si="31"/>
        <v>-1010.48</v>
      </c>
      <c r="J996" s="1">
        <v>45499</v>
      </c>
      <c r="K996" t="s">
        <v>2517</v>
      </c>
      <c r="L996" t="s">
        <v>16</v>
      </c>
      <c r="M996">
        <v>2321.5300000000002</v>
      </c>
    </row>
    <row r="997" spans="1:13" x14ac:dyDescent="0.25">
      <c r="A997">
        <v>1995</v>
      </c>
      <c r="B997" t="s">
        <v>1036</v>
      </c>
      <c r="C997" t="s">
        <v>20</v>
      </c>
      <c r="D997" t="s">
        <v>118</v>
      </c>
      <c r="E997">
        <v>4</v>
      </c>
      <c r="G997">
        <f t="shared" si="30"/>
        <v>0</v>
      </c>
      <c r="I997">
        <f t="shared" si="31"/>
        <v>0</v>
      </c>
      <c r="J997" s="1">
        <v>45721</v>
      </c>
      <c r="K997" t="s">
        <v>15</v>
      </c>
      <c r="L997" t="s">
        <v>16</v>
      </c>
      <c r="M997">
        <v>1815.94</v>
      </c>
    </row>
    <row r="998" spans="1:13" x14ac:dyDescent="0.25">
      <c r="A998">
        <v>1996</v>
      </c>
      <c r="B998" t="s">
        <v>1037</v>
      </c>
      <c r="C998" t="s">
        <v>28</v>
      </c>
      <c r="D998" t="s">
        <v>116</v>
      </c>
      <c r="E998">
        <v>2</v>
      </c>
      <c r="G998">
        <f t="shared" si="30"/>
        <v>0</v>
      </c>
      <c r="I998">
        <f t="shared" si="31"/>
        <v>0</v>
      </c>
      <c r="J998" s="1">
        <v>45777</v>
      </c>
      <c r="K998" t="s">
        <v>22</v>
      </c>
      <c r="L998" t="s">
        <v>16</v>
      </c>
      <c r="M998">
        <v>1145.05</v>
      </c>
    </row>
    <row r="999" spans="1:13" x14ac:dyDescent="0.25">
      <c r="A999">
        <v>1997</v>
      </c>
      <c r="B999" t="s">
        <v>1038</v>
      </c>
      <c r="C999" t="s">
        <v>20</v>
      </c>
      <c r="D999" t="s">
        <v>21</v>
      </c>
      <c r="E999">
        <v>4</v>
      </c>
      <c r="G999">
        <f t="shared" si="30"/>
        <v>0</v>
      </c>
      <c r="H999" s="3">
        <v>0.53</v>
      </c>
      <c r="I999">
        <f t="shared" si="31"/>
        <v>0</v>
      </c>
      <c r="J999" s="1">
        <v>45726</v>
      </c>
      <c r="K999" t="s">
        <v>15</v>
      </c>
      <c r="L999" t="s">
        <v>16</v>
      </c>
      <c r="M999">
        <v>141.76</v>
      </c>
    </row>
    <row r="1000" spans="1:13" x14ac:dyDescent="0.25">
      <c r="A1000">
        <v>1998</v>
      </c>
      <c r="B1000" t="s">
        <v>1039</v>
      </c>
      <c r="C1000" t="s">
        <v>31</v>
      </c>
      <c r="D1000" t="s">
        <v>68</v>
      </c>
      <c r="E1000">
        <v>5</v>
      </c>
      <c r="F1000">
        <v>2567.59</v>
      </c>
      <c r="G1000">
        <f t="shared" si="30"/>
        <v>12837.95</v>
      </c>
      <c r="I1000">
        <f t="shared" si="31"/>
        <v>12837.95</v>
      </c>
      <c r="J1000" s="1">
        <v>45203</v>
      </c>
      <c r="K1000" t="s">
        <v>15</v>
      </c>
      <c r="L1000" t="s">
        <v>16</v>
      </c>
      <c r="M1000">
        <v>-702.7</v>
      </c>
    </row>
    <row r="1001" spans="1:13" x14ac:dyDescent="0.25">
      <c r="A1001">
        <v>1999</v>
      </c>
      <c r="B1001" t="s">
        <v>1040</v>
      </c>
      <c r="C1001" t="s">
        <v>25</v>
      </c>
      <c r="D1001" t="s">
        <v>62</v>
      </c>
      <c r="E1001">
        <v>2</v>
      </c>
      <c r="G1001">
        <f t="shared" si="30"/>
        <v>0</v>
      </c>
      <c r="H1001" s="3">
        <v>0.81</v>
      </c>
      <c r="I1001">
        <f t="shared" si="31"/>
        <v>0</v>
      </c>
      <c r="J1001" s="1">
        <v>45773</v>
      </c>
      <c r="K1001" t="s">
        <v>2517</v>
      </c>
      <c r="L1001" t="s">
        <v>16</v>
      </c>
      <c r="M1001">
        <v>938.71</v>
      </c>
    </row>
    <row r="1002" spans="1:13" x14ac:dyDescent="0.25">
      <c r="A1002">
        <v>2000</v>
      </c>
      <c r="B1002" t="s">
        <v>1041</v>
      </c>
      <c r="C1002" t="s">
        <v>20</v>
      </c>
      <c r="D1002" t="s">
        <v>118</v>
      </c>
      <c r="E1002">
        <v>-1</v>
      </c>
      <c r="F1002">
        <v>1966.21</v>
      </c>
      <c r="G1002">
        <f t="shared" si="30"/>
        <v>-1966.21</v>
      </c>
      <c r="I1002">
        <f t="shared" si="31"/>
        <v>-1966.21</v>
      </c>
      <c r="J1002" s="1">
        <v>45520</v>
      </c>
      <c r="K1002" t="s">
        <v>38</v>
      </c>
      <c r="L1002" t="s">
        <v>16</v>
      </c>
      <c r="M1002">
        <v>2035.1</v>
      </c>
    </row>
    <row r="1003" spans="1:13" x14ac:dyDescent="0.25">
      <c r="A1003">
        <v>2001</v>
      </c>
      <c r="B1003" t="s">
        <v>1042</v>
      </c>
      <c r="C1003" t="s">
        <v>36</v>
      </c>
      <c r="D1003" t="s">
        <v>59</v>
      </c>
      <c r="E1003">
        <v>1</v>
      </c>
      <c r="G1003">
        <f t="shared" si="30"/>
        <v>0</v>
      </c>
      <c r="I1003">
        <f t="shared" si="31"/>
        <v>0</v>
      </c>
      <c r="K1003" t="s">
        <v>22</v>
      </c>
      <c r="L1003" t="s">
        <v>16</v>
      </c>
      <c r="M1003">
        <v>1592.62</v>
      </c>
    </row>
    <row r="1004" spans="1:13" x14ac:dyDescent="0.25">
      <c r="A1004">
        <v>2002</v>
      </c>
      <c r="B1004" t="s">
        <v>1043</v>
      </c>
      <c r="C1004" t="s">
        <v>31</v>
      </c>
      <c r="D1004" t="s">
        <v>32</v>
      </c>
      <c r="E1004">
        <v>2</v>
      </c>
      <c r="F1004">
        <v>1335.29</v>
      </c>
      <c r="G1004">
        <f t="shared" si="30"/>
        <v>2670.58</v>
      </c>
      <c r="I1004">
        <f t="shared" si="31"/>
        <v>2670.58</v>
      </c>
      <c r="J1004" s="1">
        <v>45623</v>
      </c>
      <c r="K1004" t="s">
        <v>18</v>
      </c>
      <c r="L1004" t="s">
        <v>16</v>
      </c>
      <c r="M1004">
        <v>1372.9</v>
      </c>
    </row>
    <row r="1005" spans="1:13" x14ac:dyDescent="0.25">
      <c r="A1005">
        <v>2003</v>
      </c>
      <c r="B1005" t="s">
        <v>1044</v>
      </c>
      <c r="C1005" t="s">
        <v>20</v>
      </c>
      <c r="D1005" t="s">
        <v>84</v>
      </c>
      <c r="E1005">
        <v>2</v>
      </c>
      <c r="F1005">
        <v>2910.84</v>
      </c>
      <c r="G1005">
        <f t="shared" si="30"/>
        <v>5821.68</v>
      </c>
      <c r="I1005">
        <f t="shared" si="31"/>
        <v>5821.68</v>
      </c>
      <c r="J1005" s="1">
        <v>45577</v>
      </c>
      <c r="K1005" t="s">
        <v>18</v>
      </c>
      <c r="L1005" t="s">
        <v>16</v>
      </c>
      <c r="M1005">
        <v>-304.63</v>
      </c>
    </row>
    <row r="1006" spans="1:13" x14ac:dyDescent="0.25">
      <c r="A1006">
        <v>2004</v>
      </c>
      <c r="B1006" t="s">
        <v>1045</v>
      </c>
      <c r="C1006" t="s">
        <v>20</v>
      </c>
      <c r="D1006" t="s">
        <v>76</v>
      </c>
      <c r="E1006">
        <v>-1</v>
      </c>
      <c r="G1006">
        <f t="shared" si="30"/>
        <v>0</v>
      </c>
      <c r="I1006">
        <f t="shared" si="31"/>
        <v>0</v>
      </c>
      <c r="J1006" s="1">
        <v>45605</v>
      </c>
      <c r="K1006" t="s">
        <v>22</v>
      </c>
      <c r="L1006" t="s">
        <v>23</v>
      </c>
      <c r="M1006">
        <v>1452.85</v>
      </c>
    </row>
    <row r="1007" spans="1:13" x14ac:dyDescent="0.25">
      <c r="A1007">
        <v>2005</v>
      </c>
      <c r="B1007" t="s">
        <v>1046</v>
      </c>
      <c r="C1007" t="s">
        <v>13</v>
      </c>
      <c r="D1007" t="s">
        <v>47</v>
      </c>
      <c r="E1007">
        <v>2</v>
      </c>
      <c r="G1007">
        <f t="shared" si="30"/>
        <v>0</v>
      </c>
      <c r="I1007">
        <f t="shared" si="31"/>
        <v>0</v>
      </c>
      <c r="J1007" s="1">
        <v>45559</v>
      </c>
      <c r="K1007" t="s">
        <v>15</v>
      </c>
      <c r="L1007" t="s">
        <v>16</v>
      </c>
      <c r="M1007">
        <v>559.6</v>
      </c>
    </row>
    <row r="1008" spans="1:13" x14ac:dyDescent="0.25">
      <c r="A1008">
        <v>2006</v>
      </c>
      <c r="B1008" t="s">
        <v>1047</v>
      </c>
      <c r="C1008" t="s">
        <v>28</v>
      </c>
      <c r="D1008" t="s">
        <v>137</v>
      </c>
      <c r="E1008">
        <v>2</v>
      </c>
      <c r="F1008">
        <v>1283.6199999999999</v>
      </c>
      <c r="G1008">
        <f t="shared" si="30"/>
        <v>2567.2399999999998</v>
      </c>
      <c r="I1008">
        <f t="shared" si="31"/>
        <v>2567.2399999999998</v>
      </c>
      <c r="K1008" t="s">
        <v>18</v>
      </c>
      <c r="L1008" t="s">
        <v>16</v>
      </c>
      <c r="M1008">
        <v>541.27</v>
      </c>
    </row>
    <row r="1009" spans="1:13" x14ac:dyDescent="0.25">
      <c r="A1009">
        <v>2007</v>
      </c>
      <c r="B1009" t="s">
        <v>1048</v>
      </c>
      <c r="C1009" t="s">
        <v>20</v>
      </c>
      <c r="D1009" t="s">
        <v>118</v>
      </c>
      <c r="E1009">
        <v>3</v>
      </c>
      <c r="F1009">
        <v>3413.11</v>
      </c>
      <c r="G1009">
        <f t="shared" si="30"/>
        <v>10239.33</v>
      </c>
      <c r="H1009" s="3">
        <v>0.9</v>
      </c>
      <c r="I1009">
        <f t="shared" si="31"/>
        <v>1023.9329999999998</v>
      </c>
      <c r="K1009" t="s">
        <v>2517</v>
      </c>
      <c r="L1009" t="s">
        <v>23</v>
      </c>
      <c r="M1009">
        <v>-440.8</v>
      </c>
    </row>
    <row r="1010" spans="1:13" x14ac:dyDescent="0.25">
      <c r="A1010">
        <v>2008</v>
      </c>
      <c r="B1010" t="s">
        <v>1049</v>
      </c>
      <c r="C1010" t="s">
        <v>36</v>
      </c>
      <c r="D1010" t="s">
        <v>55</v>
      </c>
      <c r="E1010">
        <v>3</v>
      </c>
      <c r="F1010">
        <v>1284.3599999999999</v>
      </c>
      <c r="G1010">
        <f t="shared" si="30"/>
        <v>3853.08</v>
      </c>
      <c r="I1010">
        <f t="shared" si="31"/>
        <v>3853.08</v>
      </c>
      <c r="K1010" t="s">
        <v>18</v>
      </c>
      <c r="L1010" t="s">
        <v>16</v>
      </c>
      <c r="M1010">
        <v>108.58</v>
      </c>
    </row>
    <row r="1011" spans="1:13" x14ac:dyDescent="0.25">
      <c r="A1011">
        <v>2009</v>
      </c>
      <c r="B1011" t="s">
        <v>1050</v>
      </c>
      <c r="C1011" t="s">
        <v>13</v>
      </c>
      <c r="D1011" t="s">
        <v>47</v>
      </c>
      <c r="E1011">
        <v>2</v>
      </c>
      <c r="F1011">
        <v>3385.59</v>
      </c>
      <c r="G1011">
        <f t="shared" si="30"/>
        <v>6771.18</v>
      </c>
      <c r="H1011" s="3">
        <v>0.02</v>
      </c>
      <c r="I1011">
        <f t="shared" si="31"/>
        <v>6635.7564000000002</v>
      </c>
      <c r="J1011" s="1">
        <v>45520</v>
      </c>
      <c r="K1011" t="s">
        <v>38</v>
      </c>
      <c r="L1011" t="s">
        <v>23</v>
      </c>
      <c r="M1011">
        <v>-927.71</v>
      </c>
    </row>
    <row r="1012" spans="1:13" x14ac:dyDescent="0.25">
      <c r="A1012">
        <v>2010</v>
      </c>
      <c r="B1012" t="s">
        <v>1051</v>
      </c>
      <c r="C1012" t="s">
        <v>31</v>
      </c>
      <c r="D1012" t="s">
        <v>78</v>
      </c>
      <c r="E1012">
        <v>-1</v>
      </c>
      <c r="F1012">
        <v>3630.24</v>
      </c>
      <c r="G1012">
        <f t="shared" si="30"/>
        <v>-3630.24</v>
      </c>
      <c r="I1012">
        <f t="shared" si="31"/>
        <v>-3630.24</v>
      </c>
      <c r="J1012" s="1">
        <v>45582</v>
      </c>
      <c r="K1012" t="s">
        <v>18</v>
      </c>
      <c r="L1012" t="s">
        <v>16</v>
      </c>
      <c r="M1012">
        <v>-194.42</v>
      </c>
    </row>
    <row r="1013" spans="1:13" x14ac:dyDescent="0.25">
      <c r="A1013">
        <v>2011</v>
      </c>
      <c r="B1013" t="s">
        <v>1052</v>
      </c>
      <c r="C1013" t="s">
        <v>25</v>
      </c>
      <c r="D1013" t="s">
        <v>62</v>
      </c>
      <c r="E1013">
        <v>1</v>
      </c>
      <c r="F1013">
        <v>3989.68</v>
      </c>
      <c r="G1013">
        <f t="shared" si="30"/>
        <v>3989.68</v>
      </c>
      <c r="I1013">
        <f t="shared" si="31"/>
        <v>3989.68</v>
      </c>
      <c r="J1013" s="1">
        <v>45747</v>
      </c>
      <c r="K1013" t="s">
        <v>22</v>
      </c>
      <c r="L1013" t="s">
        <v>16</v>
      </c>
      <c r="M1013">
        <v>999.35</v>
      </c>
    </row>
    <row r="1014" spans="1:13" x14ac:dyDescent="0.25">
      <c r="A1014">
        <v>2012</v>
      </c>
      <c r="B1014" t="s">
        <v>1053</v>
      </c>
      <c r="C1014" t="s">
        <v>31</v>
      </c>
      <c r="D1014" t="s">
        <v>42</v>
      </c>
      <c r="E1014">
        <v>2</v>
      </c>
      <c r="F1014">
        <v>2674.79</v>
      </c>
      <c r="G1014">
        <f t="shared" si="30"/>
        <v>5349.58</v>
      </c>
      <c r="H1014" s="3">
        <v>0.8</v>
      </c>
      <c r="I1014">
        <f t="shared" si="31"/>
        <v>1069.9159999999997</v>
      </c>
      <c r="J1014" s="1">
        <v>45737</v>
      </c>
      <c r="K1014" t="s">
        <v>18</v>
      </c>
      <c r="L1014" t="s">
        <v>16</v>
      </c>
      <c r="M1014">
        <v>537.29999999999995</v>
      </c>
    </row>
    <row r="1015" spans="1:13" x14ac:dyDescent="0.25">
      <c r="A1015">
        <v>2013</v>
      </c>
      <c r="B1015" t="s">
        <v>1054</v>
      </c>
      <c r="C1015" t="s">
        <v>25</v>
      </c>
      <c r="D1015" t="s">
        <v>51</v>
      </c>
      <c r="E1015">
        <v>2</v>
      </c>
      <c r="G1015">
        <f t="shared" si="30"/>
        <v>0</v>
      </c>
      <c r="I1015">
        <f t="shared" si="31"/>
        <v>0</v>
      </c>
      <c r="J1015" s="1">
        <v>45796</v>
      </c>
      <c r="K1015" t="s">
        <v>22</v>
      </c>
      <c r="L1015" t="s">
        <v>16</v>
      </c>
      <c r="M1015">
        <v>644.41999999999996</v>
      </c>
    </row>
    <row r="1016" spans="1:13" x14ac:dyDescent="0.25">
      <c r="A1016">
        <v>2014</v>
      </c>
      <c r="B1016" t="s">
        <v>1055</v>
      </c>
      <c r="C1016" t="s">
        <v>20</v>
      </c>
      <c r="D1016" t="s">
        <v>118</v>
      </c>
      <c r="E1016">
        <v>2</v>
      </c>
      <c r="G1016">
        <f t="shared" si="30"/>
        <v>0</v>
      </c>
      <c r="I1016">
        <f t="shared" si="31"/>
        <v>0</v>
      </c>
      <c r="K1016" t="s">
        <v>15</v>
      </c>
      <c r="L1016" t="s">
        <v>16</v>
      </c>
      <c r="M1016">
        <v>763.62</v>
      </c>
    </row>
    <row r="1017" spans="1:13" x14ac:dyDescent="0.25">
      <c r="A1017">
        <v>2015</v>
      </c>
      <c r="B1017" t="s">
        <v>1056</v>
      </c>
      <c r="C1017" t="s">
        <v>36</v>
      </c>
      <c r="D1017" t="s">
        <v>37</v>
      </c>
      <c r="E1017">
        <v>2</v>
      </c>
      <c r="G1017">
        <f t="shared" si="30"/>
        <v>0</v>
      </c>
      <c r="I1017">
        <f t="shared" si="31"/>
        <v>0</v>
      </c>
      <c r="J1017" s="1">
        <v>45735</v>
      </c>
      <c r="K1017" t="s">
        <v>15</v>
      </c>
      <c r="L1017" t="s">
        <v>23</v>
      </c>
      <c r="M1017">
        <v>182.23</v>
      </c>
    </row>
    <row r="1018" spans="1:13" x14ac:dyDescent="0.25">
      <c r="A1018">
        <v>2016</v>
      </c>
      <c r="B1018" t="s">
        <v>1057</v>
      </c>
      <c r="C1018" t="s">
        <v>25</v>
      </c>
      <c r="D1018" t="s">
        <v>82</v>
      </c>
      <c r="E1018">
        <v>-2</v>
      </c>
      <c r="F1018">
        <v>1435.85</v>
      </c>
      <c r="G1018">
        <f t="shared" si="30"/>
        <v>-2871.7</v>
      </c>
      <c r="I1018">
        <f t="shared" si="31"/>
        <v>-2871.7</v>
      </c>
      <c r="J1018" s="1">
        <v>45786</v>
      </c>
      <c r="K1018" t="s">
        <v>2517</v>
      </c>
      <c r="L1018" t="s">
        <v>23</v>
      </c>
      <c r="M1018">
        <v>317.58</v>
      </c>
    </row>
    <row r="1019" spans="1:13" x14ac:dyDescent="0.25">
      <c r="A1019">
        <v>2017</v>
      </c>
      <c r="B1019" t="s">
        <v>1058</v>
      </c>
      <c r="C1019" t="s">
        <v>13</v>
      </c>
      <c r="D1019" t="s">
        <v>98</v>
      </c>
      <c r="E1019">
        <v>2</v>
      </c>
      <c r="F1019">
        <v>3549.93</v>
      </c>
      <c r="G1019">
        <f t="shared" si="30"/>
        <v>7099.86</v>
      </c>
      <c r="I1019">
        <f t="shared" si="31"/>
        <v>7099.86</v>
      </c>
      <c r="K1019" t="s">
        <v>18</v>
      </c>
      <c r="L1019" t="s">
        <v>16</v>
      </c>
      <c r="M1019">
        <v>652.09</v>
      </c>
    </row>
    <row r="1020" spans="1:13" x14ac:dyDescent="0.25">
      <c r="A1020">
        <v>2018</v>
      </c>
      <c r="B1020" t="s">
        <v>1059</v>
      </c>
      <c r="C1020" t="s">
        <v>13</v>
      </c>
      <c r="D1020" t="s">
        <v>98</v>
      </c>
      <c r="E1020">
        <v>5</v>
      </c>
      <c r="G1020">
        <f t="shared" si="30"/>
        <v>0</v>
      </c>
      <c r="H1020" s="3">
        <v>0.91</v>
      </c>
      <c r="I1020">
        <f t="shared" si="31"/>
        <v>0</v>
      </c>
      <c r="J1020" s="1">
        <v>45551</v>
      </c>
      <c r="K1020" t="s">
        <v>22</v>
      </c>
      <c r="L1020" t="s">
        <v>16</v>
      </c>
      <c r="M1020">
        <v>-730.39</v>
      </c>
    </row>
    <row r="1021" spans="1:13" x14ac:dyDescent="0.25">
      <c r="A1021">
        <v>2019</v>
      </c>
      <c r="B1021" t="s">
        <v>1060</v>
      </c>
      <c r="C1021" t="s">
        <v>13</v>
      </c>
      <c r="D1021" t="s">
        <v>47</v>
      </c>
      <c r="E1021">
        <v>2</v>
      </c>
      <c r="F1021">
        <v>1797.91</v>
      </c>
      <c r="G1021">
        <f t="shared" si="30"/>
        <v>3595.82</v>
      </c>
      <c r="I1021">
        <f t="shared" si="31"/>
        <v>3595.82</v>
      </c>
      <c r="J1021" s="1">
        <v>45680</v>
      </c>
      <c r="K1021" t="s">
        <v>18</v>
      </c>
      <c r="L1021" t="s">
        <v>16</v>
      </c>
      <c r="M1021">
        <v>2132.08</v>
      </c>
    </row>
    <row r="1022" spans="1:13" x14ac:dyDescent="0.25">
      <c r="A1022">
        <v>2020</v>
      </c>
      <c r="B1022" t="s">
        <v>1061</v>
      </c>
      <c r="C1022" t="s">
        <v>13</v>
      </c>
      <c r="D1022" t="s">
        <v>47</v>
      </c>
      <c r="E1022">
        <v>-2</v>
      </c>
      <c r="F1022">
        <v>3954.73</v>
      </c>
      <c r="G1022">
        <f t="shared" si="30"/>
        <v>-7909.46</v>
      </c>
      <c r="H1022" s="3">
        <v>0.3</v>
      </c>
      <c r="I1022">
        <f t="shared" si="31"/>
        <v>-5536.6219999999994</v>
      </c>
      <c r="J1022" s="1">
        <v>45788</v>
      </c>
      <c r="K1022" t="s">
        <v>38</v>
      </c>
      <c r="L1022" t="s">
        <v>16</v>
      </c>
      <c r="M1022">
        <v>-78.22</v>
      </c>
    </row>
    <row r="1023" spans="1:13" x14ac:dyDescent="0.25">
      <c r="A1023">
        <v>2021</v>
      </c>
      <c r="B1023" t="s">
        <v>1062</v>
      </c>
      <c r="C1023" t="s">
        <v>25</v>
      </c>
      <c r="D1023" t="s">
        <v>51</v>
      </c>
      <c r="E1023">
        <v>2</v>
      </c>
      <c r="F1023">
        <v>4178.18</v>
      </c>
      <c r="G1023">
        <f t="shared" si="30"/>
        <v>8356.36</v>
      </c>
      <c r="H1023" s="3">
        <v>1.27</v>
      </c>
      <c r="I1023">
        <f t="shared" si="31"/>
        <v>-2256.2172000000005</v>
      </c>
      <c r="J1023" s="1">
        <v>45153</v>
      </c>
      <c r="K1023" t="s">
        <v>22</v>
      </c>
      <c r="L1023" t="s">
        <v>16</v>
      </c>
      <c r="M1023">
        <v>2952.52</v>
      </c>
    </row>
    <row r="1024" spans="1:13" x14ac:dyDescent="0.25">
      <c r="A1024">
        <v>2022</v>
      </c>
      <c r="B1024" t="s">
        <v>1063</v>
      </c>
      <c r="C1024" t="s">
        <v>25</v>
      </c>
      <c r="D1024" t="s">
        <v>26</v>
      </c>
      <c r="E1024">
        <v>2</v>
      </c>
      <c r="F1024">
        <v>3094.77</v>
      </c>
      <c r="G1024">
        <f t="shared" si="30"/>
        <v>6189.54</v>
      </c>
      <c r="I1024">
        <f t="shared" si="31"/>
        <v>6189.54</v>
      </c>
      <c r="J1024" s="1">
        <v>45817</v>
      </c>
      <c r="K1024" t="s">
        <v>44</v>
      </c>
      <c r="L1024" t="s">
        <v>23</v>
      </c>
      <c r="M1024">
        <v>2340.79</v>
      </c>
    </row>
    <row r="1025" spans="1:13" x14ac:dyDescent="0.25">
      <c r="A1025">
        <v>2023</v>
      </c>
      <c r="B1025" t="s">
        <v>1064</v>
      </c>
      <c r="C1025" t="s">
        <v>25</v>
      </c>
      <c r="D1025" t="s">
        <v>82</v>
      </c>
      <c r="E1025">
        <v>3</v>
      </c>
      <c r="F1025">
        <v>618.17999999999995</v>
      </c>
      <c r="G1025">
        <f t="shared" si="30"/>
        <v>1854.54</v>
      </c>
      <c r="I1025">
        <f t="shared" si="31"/>
        <v>1854.54</v>
      </c>
      <c r="K1025" t="s">
        <v>18</v>
      </c>
      <c r="L1025" t="s">
        <v>16</v>
      </c>
      <c r="M1025">
        <v>404.9</v>
      </c>
    </row>
    <row r="1026" spans="1:13" x14ac:dyDescent="0.25">
      <c r="A1026">
        <v>2024</v>
      </c>
      <c r="B1026" t="s">
        <v>1065</v>
      </c>
      <c r="C1026" t="s">
        <v>36</v>
      </c>
      <c r="D1026" t="s">
        <v>37</v>
      </c>
      <c r="E1026">
        <v>4</v>
      </c>
      <c r="F1026">
        <v>4220.2</v>
      </c>
      <c r="G1026">
        <f t="shared" si="30"/>
        <v>16880.8</v>
      </c>
      <c r="I1026">
        <f t="shared" si="31"/>
        <v>16880.8</v>
      </c>
      <c r="J1026" s="1">
        <v>45274</v>
      </c>
      <c r="K1026" t="s">
        <v>15</v>
      </c>
      <c r="L1026" t="s">
        <v>16</v>
      </c>
      <c r="M1026">
        <v>2488.92</v>
      </c>
    </row>
    <row r="1027" spans="1:13" x14ac:dyDescent="0.25">
      <c r="A1027">
        <v>2025</v>
      </c>
      <c r="B1027" t="s">
        <v>1066</v>
      </c>
      <c r="C1027" t="s">
        <v>28</v>
      </c>
      <c r="D1027" t="s">
        <v>116</v>
      </c>
      <c r="E1027">
        <v>4</v>
      </c>
      <c r="G1027">
        <f t="shared" ref="G1027:G1090" si="32">F1027*E1027</f>
        <v>0</v>
      </c>
      <c r="I1027">
        <f t="shared" ref="I1027:I1090" si="33">G1027*(1-H1027)</f>
        <v>0</v>
      </c>
      <c r="J1027" s="1">
        <v>45750</v>
      </c>
      <c r="K1027" t="s">
        <v>15</v>
      </c>
      <c r="L1027" t="s">
        <v>23</v>
      </c>
      <c r="M1027">
        <v>1259.95</v>
      </c>
    </row>
    <row r="1028" spans="1:13" x14ac:dyDescent="0.25">
      <c r="A1028">
        <v>2026</v>
      </c>
      <c r="B1028" t="s">
        <v>1067</v>
      </c>
      <c r="C1028" t="s">
        <v>25</v>
      </c>
      <c r="D1028" t="s">
        <v>51</v>
      </c>
      <c r="E1028">
        <v>2</v>
      </c>
      <c r="G1028">
        <f t="shared" si="32"/>
        <v>0</v>
      </c>
      <c r="I1028">
        <f t="shared" si="33"/>
        <v>0</v>
      </c>
      <c r="J1028" s="1">
        <v>45812</v>
      </c>
      <c r="K1028" t="s">
        <v>18</v>
      </c>
      <c r="L1028" t="s">
        <v>16</v>
      </c>
      <c r="M1028">
        <v>83.33</v>
      </c>
    </row>
    <row r="1029" spans="1:13" x14ac:dyDescent="0.25">
      <c r="A1029">
        <v>2027</v>
      </c>
      <c r="B1029" t="s">
        <v>1068</v>
      </c>
      <c r="C1029" t="s">
        <v>25</v>
      </c>
      <c r="D1029" t="s">
        <v>62</v>
      </c>
      <c r="E1029">
        <v>5</v>
      </c>
      <c r="F1029">
        <v>2734.95</v>
      </c>
      <c r="G1029">
        <f t="shared" si="32"/>
        <v>13674.75</v>
      </c>
      <c r="H1029" s="3">
        <v>0.17</v>
      </c>
      <c r="I1029">
        <f t="shared" si="33"/>
        <v>11350.0425</v>
      </c>
      <c r="J1029" s="1">
        <v>45661</v>
      </c>
      <c r="K1029" t="s">
        <v>22</v>
      </c>
      <c r="L1029" t="s">
        <v>16</v>
      </c>
      <c r="M1029">
        <v>-657.03</v>
      </c>
    </row>
    <row r="1030" spans="1:13" x14ac:dyDescent="0.25">
      <c r="A1030">
        <v>2028</v>
      </c>
      <c r="B1030" t="s">
        <v>1069</v>
      </c>
      <c r="C1030" t="s">
        <v>20</v>
      </c>
      <c r="D1030" t="s">
        <v>118</v>
      </c>
      <c r="E1030">
        <v>2</v>
      </c>
      <c r="G1030">
        <f t="shared" si="32"/>
        <v>0</v>
      </c>
      <c r="I1030">
        <f t="shared" si="33"/>
        <v>0</v>
      </c>
      <c r="J1030" s="1">
        <v>45549</v>
      </c>
      <c r="K1030" t="s">
        <v>38</v>
      </c>
      <c r="L1030" t="s">
        <v>23</v>
      </c>
      <c r="M1030">
        <v>2393.48</v>
      </c>
    </row>
    <row r="1031" spans="1:13" x14ac:dyDescent="0.25">
      <c r="A1031">
        <v>2029</v>
      </c>
      <c r="B1031" t="s">
        <v>1070</v>
      </c>
      <c r="C1031" t="s">
        <v>20</v>
      </c>
      <c r="D1031" t="s">
        <v>76</v>
      </c>
      <c r="E1031">
        <v>6</v>
      </c>
      <c r="G1031">
        <f t="shared" si="32"/>
        <v>0</v>
      </c>
      <c r="I1031">
        <f t="shared" si="33"/>
        <v>0</v>
      </c>
      <c r="J1031" s="1">
        <v>45625</v>
      </c>
      <c r="K1031" t="s">
        <v>38</v>
      </c>
      <c r="L1031" t="s">
        <v>23</v>
      </c>
      <c r="M1031">
        <v>2374.9</v>
      </c>
    </row>
    <row r="1032" spans="1:13" x14ac:dyDescent="0.25">
      <c r="A1032">
        <v>2030</v>
      </c>
      <c r="B1032" t="s">
        <v>1071</v>
      </c>
      <c r="C1032" t="s">
        <v>36</v>
      </c>
      <c r="D1032" t="s">
        <v>59</v>
      </c>
      <c r="E1032">
        <v>1</v>
      </c>
      <c r="F1032">
        <v>1354.69</v>
      </c>
      <c r="G1032">
        <f t="shared" si="32"/>
        <v>1354.69</v>
      </c>
      <c r="I1032">
        <f t="shared" si="33"/>
        <v>1354.69</v>
      </c>
      <c r="J1032" s="1">
        <v>45637</v>
      </c>
      <c r="K1032" t="s">
        <v>2517</v>
      </c>
      <c r="L1032" t="s">
        <v>16</v>
      </c>
      <c r="M1032">
        <v>-710.56</v>
      </c>
    </row>
    <row r="1033" spans="1:13" x14ac:dyDescent="0.25">
      <c r="A1033">
        <v>2031</v>
      </c>
      <c r="B1033" t="s">
        <v>1072</v>
      </c>
      <c r="C1033" t="s">
        <v>36</v>
      </c>
      <c r="D1033" t="s">
        <v>55</v>
      </c>
      <c r="E1033">
        <v>2</v>
      </c>
      <c r="G1033">
        <f t="shared" si="32"/>
        <v>0</v>
      </c>
      <c r="I1033">
        <f t="shared" si="33"/>
        <v>0</v>
      </c>
      <c r="J1033" s="1">
        <v>45832</v>
      </c>
      <c r="K1033" t="s">
        <v>15</v>
      </c>
      <c r="L1033" t="s">
        <v>16</v>
      </c>
      <c r="M1033">
        <v>2655.01</v>
      </c>
    </row>
    <row r="1034" spans="1:13" x14ac:dyDescent="0.25">
      <c r="A1034">
        <v>2032</v>
      </c>
      <c r="B1034" t="s">
        <v>1073</v>
      </c>
      <c r="C1034" t="s">
        <v>28</v>
      </c>
      <c r="D1034" t="s">
        <v>40</v>
      </c>
      <c r="E1034">
        <v>2</v>
      </c>
      <c r="F1034">
        <v>4910.91</v>
      </c>
      <c r="G1034">
        <f t="shared" si="32"/>
        <v>9821.82</v>
      </c>
      <c r="H1034" s="3">
        <v>1.1200000000000001</v>
      </c>
      <c r="I1034">
        <f t="shared" si="33"/>
        <v>-1178.618400000001</v>
      </c>
      <c r="J1034" s="1">
        <v>45153</v>
      </c>
      <c r="K1034" t="s">
        <v>2517</v>
      </c>
      <c r="L1034" t="s">
        <v>23</v>
      </c>
      <c r="M1034">
        <v>1419.21</v>
      </c>
    </row>
    <row r="1035" spans="1:13" x14ac:dyDescent="0.25">
      <c r="A1035">
        <v>2033</v>
      </c>
      <c r="B1035" t="s">
        <v>1074</v>
      </c>
      <c r="C1035" t="s">
        <v>36</v>
      </c>
      <c r="D1035" t="s">
        <v>37</v>
      </c>
      <c r="E1035">
        <v>6</v>
      </c>
      <c r="G1035">
        <f t="shared" si="32"/>
        <v>0</v>
      </c>
      <c r="I1035">
        <f t="shared" si="33"/>
        <v>0</v>
      </c>
      <c r="K1035" t="s">
        <v>2517</v>
      </c>
      <c r="L1035" t="s">
        <v>23</v>
      </c>
      <c r="M1035">
        <v>63.41</v>
      </c>
    </row>
    <row r="1036" spans="1:13" x14ac:dyDescent="0.25">
      <c r="A1036">
        <v>2034</v>
      </c>
      <c r="B1036" t="s">
        <v>1075</v>
      </c>
      <c r="C1036" t="s">
        <v>28</v>
      </c>
      <c r="D1036" t="s">
        <v>40</v>
      </c>
      <c r="E1036">
        <v>6</v>
      </c>
      <c r="F1036">
        <v>3080.12</v>
      </c>
      <c r="G1036">
        <f t="shared" si="32"/>
        <v>18480.72</v>
      </c>
      <c r="H1036" s="3">
        <v>0.26</v>
      </c>
      <c r="I1036">
        <f t="shared" si="33"/>
        <v>13675.732800000002</v>
      </c>
      <c r="J1036" s="1">
        <v>45831</v>
      </c>
      <c r="K1036" t="s">
        <v>2517</v>
      </c>
      <c r="L1036" t="s">
        <v>16</v>
      </c>
      <c r="M1036">
        <v>-678.89</v>
      </c>
    </row>
    <row r="1037" spans="1:13" x14ac:dyDescent="0.25">
      <c r="A1037">
        <v>2035</v>
      </c>
      <c r="B1037" t="s">
        <v>1076</v>
      </c>
      <c r="C1037" t="s">
        <v>36</v>
      </c>
      <c r="D1037" t="s">
        <v>55</v>
      </c>
      <c r="E1037">
        <v>0</v>
      </c>
      <c r="F1037">
        <v>2516.6</v>
      </c>
      <c r="G1037">
        <f t="shared" si="32"/>
        <v>0</v>
      </c>
      <c r="I1037">
        <f t="shared" si="33"/>
        <v>0</v>
      </c>
      <c r="J1037" s="1">
        <v>45769</v>
      </c>
      <c r="K1037" t="s">
        <v>18</v>
      </c>
      <c r="L1037" t="s">
        <v>16</v>
      </c>
      <c r="M1037">
        <v>2860.05</v>
      </c>
    </row>
    <row r="1038" spans="1:13" x14ac:dyDescent="0.25">
      <c r="A1038">
        <v>2036</v>
      </c>
      <c r="B1038" t="s">
        <v>1077</v>
      </c>
      <c r="C1038" t="s">
        <v>31</v>
      </c>
      <c r="D1038" t="s">
        <v>78</v>
      </c>
      <c r="E1038">
        <v>-2</v>
      </c>
      <c r="G1038">
        <f t="shared" si="32"/>
        <v>0</v>
      </c>
      <c r="H1038" s="3">
        <v>0.72</v>
      </c>
      <c r="I1038">
        <f t="shared" si="33"/>
        <v>0</v>
      </c>
      <c r="K1038" t="s">
        <v>18</v>
      </c>
      <c r="L1038" t="s">
        <v>16</v>
      </c>
      <c r="M1038">
        <v>106.67</v>
      </c>
    </row>
    <row r="1039" spans="1:13" x14ac:dyDescent="0.25">
      <c r="A1039">
        <v>2037</v>
      </c>
      <c r="B1039" t="s">
        <v>1078</v>
      </c>
      <c r="C1039" t="s">
        <v>25</v>
      </c>
      <c r="D1039" t="s">
        <v>82</v>
      </c>
      <c r="E1039">
        <v>1</v>
      </c>
      <c r="F1039">
        <v>1120.52</v>
      </c>
      <c r="G1039">
        <f t="shared" si="32"/>
        <v>1120.52</v>
      </c>
      <c r="I1039">
        <f t="shared" si="33"/>
        <v>1120.52</v>
      </c>
      <c r="J1039" s="1">
        <v>45849</v>
      </c>
      <c r="K1039" t="s">
        <v>2517</v>
      </c>
      <c r="L1039" t="s">
        <v>23</v>
      </c>
      <c r="M1039">
        <v>-523.32000000000005</v>
      </c>
    </row>
    <row r="1040" spans="1:13" x14ac:dyDescent="0.25">
      <c r="A1040">
        <v>2038</v>
      </c>
      <c r="B1040" t="s">
        <v>1079</v>
      </c>
      <c r="C1040" t="s">
        <v>31</v>
      </c>
      <c r="D1040" t="s">
        <v>42</v>
      </c>
      <c r="E1040">
        <v>2</v>
      </c>
      <c r="G1040">
        <f t="shared" si="32"/>
        <v>0</v>
      </c>
      <c r="I1040">
        <f t="shared" si="33"/>
        <v>0</v>
      </c>
      <c r="J1040" s="1">
        <v>45367</v>
      </c>
      <c r="K1040" t="s">
        <v>2517</v>
      </c>
      <c r="L1040" t="s">
        <v>16</v>
      </c>
      <c r="M1040">
        <v>2548.6</v>
      </c>
    </row>
    <row r="1041" spans="1:13" x14ac:dyDescent="0.25">
      <c r="A1041">
        <v>2039</v>
      </c>
      <c r="B1041" t="s">
        <v>1080</v>
      </c>
      <c r="C1041" t="s">
        <v>20</v>
      </c>
      <c r="D1041" t="s">
        <v>21</v>
      </c>
      <c r="E1041">
        <v>2</v>
      </c>
      <c r="F1041">
        <v>1802.43</v>
      </c>
      <c r="G1041">
        <f t="shared" si="32"/>
        <v>3604.86</v>
      </c>
      <c r="I1041">
        <f t="shared" si="33"/>
        <v>3604.86</v>
      </c>
      <c r="K1041" t="s">
        <v>2517</v>
      </c>
      <c r="L1041" t="s">
        <v>23</v>
      </c>
      <c r="M1041">
        <v>644.27</v>
      </c>
    </row>
    <row r="1042" spans="1:13" x14ac:dyDescent="0.25">
      <c r="A1042">
        <v>2040</v>
      </c>
      <c r="B1042" t="s">
        <v>1081</v>
      </c>
      <c r="C1042" t="s">
        <v>36</v>
      </c>
      <c r="D1042" t="s">
        <v>87</v>
      </c>
      <c r="E1042">
        <v>2</v>
      </c>
      <c r="G1042">
        <f t="shared" si="32"/>
        <v>0</v>
      </c>
      <c r="H1042" s="3">
        <v>0.34</v>
      </c>
      <c r="I1042">
        <f t="shared" si="33"/>
        <v>0</v>
      </c>
      <c r="J1042" s="1">
        <v>45531</v>
      </c>
      <c r="K1042" t="s">
        <v>2517</v>
      </c>
      <c r="L1042" t="s">
        <v>16</v>
      </c>
      <c r="M1042">
        <v>-838.24</v>
      </c>
    </row>
    <row r="1043" spans="1:13" x14ac:dyDescent="0.25">
      <c r="A1043">
        <v>2041</v>
      </c>
      <c r="B1043" t="s">
        <v>1082</v>
      </c>
      <c r="C1043" t="s">
        <v>36</v>
      </c>
      <c r="D1043" t="s">
        <v>87</v>
      </c>
      <c r="E1043">
        <v>2</v>
      </c>
      <c r="F1043">
        <v>854.8</v>
      </c>
      <c r="G1043">
        <f t="shared" si="32"/>
        <v>1709.6</v>
      </c>
      <c r="I1043">
        <f t="shared" si="33"/>
        <v>1709.6</v>
      </c>
      <c r="J1043" s="1">
        <v>45619</v>
      </c>
      <c r="K1043" t="s">
        <v>15</v>
      </c>
      <c r="L1043" t="s">
        <v>16</v>
      </c>
      <c r="M1043">
        <v>400.41</v>
      </c>
    </row>
    <row r="1044" spans="1:13" x14ac:dyDescent="0.25">
      <c r="A1044">
        <v>2042</v>
      </c>
      <c r="B1044" t="s">
        <v>1083</v>
      </c>
      <c r="C1044" t="s">
        <v>31</v>
      </c>
      <c r="D1044" t="s">
        <v>68</v>
      </c>
      <c r="E1044">
        <v>3</v>
      </c>
      <c r="G1044">
        <f t="shared" si="32"/>
        <v>0</v>
      </c>
      <c r="I1044">
        <f t="shared" si="33"/>
        <v>0</v>
      </c>
      <c r="K1044" t="s">
        <v>22</v>
      </c>
      <c r="L1044" t="s">
        <v>16</v>
      </c>
      <c r="M1044">
        <v>80.86</v>
      </c>
    </row>
    <row r="1045" spans="1:13" x14ac:dyDescent="0.25">
      <c r="A1045">
        <v>2043</v>
      </c>
      <c r="B1045" t="s">
        <v>1084</v>
      </c>
      <c r="C1045" t="s">
        <v>31</v>
      </c>
      <c r="D1045" t="s">
        <v>32</v>
      </c>
      <c r="E1045">
        <v>2</v>
      </c>
      <c r="G1045">
        <f t="shared" si="32"/>
        <v>0</v>
      </c>
      <c r="H1045" s="3">
        <v>0.74</v>
      </c>
      <c r="I1045">
        <f t="shared" si="33"/>
        <v>0</v>
      </c>
      <c r="J1045" s="1">
        <v>45801</v>
      </c>
      <c r="K1045" t="s">
        <v>38</v>
      </c>
      <c r="L1045" t="s">
        <v>16</v>
      </c>
      <c r="M1045">
        <v>647.80999999999995</v>
      </c>
    </row>
    <row r="1046" spans="1:13" x14ac:dyDescent="0.25">
      <c r="A1046">
        <v>2044</v>
      </c>
      <c r="B1046" t="s">
        <v>1085</v>
      </c>
      <c r="C1046" t="s">
        <v>28</v>
      </c>
      <c r="D1046" t="s">
        <v>29</v>
      </c>
      <c r="E1046">
        <v>2</v>
      </c>
      <c r="F1046">
        <v>2912.48</v>
      </c>
      <c r="G1046">
        <f t="shared" si="32"/>
        <v>5824.96</v>
      </c>
      <c r="H1046" s="3">
        <v>0.39</v>
      </c>
      <c r="I1046">
        <f t="shared" si="33"/>
        <v>3553.2255999999998</v>
      </c>
      <c r="J1046" s="1">
        <v>45786</v>
      </c>
      <c r="K1046" t="s">
        <v>22</v>
      </c>
      <c r="L1046" t="s">
        <v>16</v>
      </c>
      <c r="M1046">
        <v>565.53</v>
      </c>
    </row>
    <row r="1047" spans="1:13" x14ac:dyDescent="0.25">
      <c r="A1047">
        <v>2045</v>
      </c>
      <c r="B1047" t="s">
        <v>1086</v>
      </c>
      <c r="C1047" t="s">
        <v>20</v>
      </c>
      <c r="D1047" t="s">
        <v>21</v>
      </c>
      <c r="E1047">
        <v>-1</v>
      </c>
      <c r="F1047">
        <v>473.68</v>
      </c>
      <c r="G1047">
        <f t="shared" si="32"/>
        <v>-473.68</v>
      </c>
      <c r="I1047">
        <f t="shared" si="33"/>
        <v>-473.68</v>
      </c>
      <c r="K1047" t="s">
        <v>2517</v>
      </c>
      <c r="L1047" t="s">
        <v>16</v>
      </c>
      <c r="M1047">
        <v>-108.72</v>
      </c>
    </row>
    <row r="1048" spans="1:13" x14ac:dyDescent="0.25">
      <c r="A1048">
        <v>2046</v>
      </c>
      <c r="B1048" t="s">
        <v>1087</v>
      </c>
      <c r="C1048" t="s">
        <v>28</v>
      </c>
      <c r="D1048" t="s">
        <v>116</v>
      </c>
      <c r="E1048">
        <v>6</v>
      </c>
      <c r="G1048">
        <f t="shared" si="32"/>
        <v>0</v>
      </c>
      <c r="H1048" s="3">
        <v>0.6</v>
      </c>
      <c r="I1048">
        <f t="shared" si="33"/>
        <v>0</v>
      </c>
      <c r="J1048" s="1">
        <v>45242</v>
      </c>
      <c r="K1048" t="s">
        <v>22</v>
      </c>
      <c r="L1048" t="s">
        <v>16</v>
      </c>
      <c r="M1048">
        <v>1657.74</v>
      </c>
    </row>
    <row r="1049" spans="1:13" x14ac:dyDescent="0.25">
      <c r="A1049">
        <v>2047</v>
      </c>
      <c r="B1049" t="s">
        <v>1088</v>
      </c>
      <c r="C1049" t="s">
        <v>13</v>
      </c>
      <c r="D1049" t="s">
        <v>34</v>
      </c>
      <c r="E1049">
        <v>2</v>
      </c>
      <c r="G1049">
        <f t="shared" si="32"/>
        <v>0</v>
      </c>
      <c r="I1049">
        <f t="shared" si="33"/>
        <v>0</v>
      </c>
      <c r="J1049" s="1">
        <v>45767</v>
      </c>
      <c r="K1049" t="s">
        <v>22</v>
      </c>
      <c r="L1049" t="s">
        <v>16</v>
      </c>
      <c r="M1049">
        <v>238.33</v>
      </c>
    </row>
    <row r="1050" spans="1:13" x14ac:dyDescent="0.25">
      <c r="A1050">
        <v>2048</v>
      </c>
      <c r="B1050" t="s">
        <v>1089</v>
      </c>
      <c r="C1050" t="s">
        <v>25</v>
      </c>
      <c r="D1050" t="s">
        <v>62</v>
      </c>
      <c r="E1050">
        <v>2</v>
      </c>
      <c r="F1050">
        <v>1469.13</v>
      </c>
      <c r="G1050">
        <f t="shared" si="32"/>
        <v>2938.26</v>
      </c>
      <c r="H1050" s="3">
        <v>0.11</v>
      </c>
      <c r="I1050">
        <f t="shared" si="33"/>
        <v>2615.0514000000003</v>
      </c>
      <c r="J1050" s="1">
        <v>45569</v>
      </c>
      <c r="K1050" t="s">
        <v>18</v>
      </c>
      <c r="L1050" t="s">
        <v>16</v>
      </c>
      <c r="M1050">
        <v>665.1</v>
      </c>
    </row>
    <row r="1051" spans="1:13" x14ac:dyDescent="0.25">
      <c r="A1051">
        <v>2049</v>
      </c>
      <c r="B1051" t="s">
        <v>1090</v>
      </c>
      <c r="C1051" t="s">
        <v>25</v>
      </c>
      <c r="D1051" t="s">
        <v>26</v>
      </c>
      <c r="E1051">
        <v>-1</v>
      </c>
      <c r="F1051">
        <v>2462.92</v>
      </c>
      <c r="G1051">
        <f t="shared" si="32"/>
        <v>-2462.92</v>
      </c>
      <c r="I1051">
        <f t="shared" si="33"/>
        <v>-2462.92</v>
      </c>
      <c r="K1051" t="s">
        <v>15</v>
      </c>
      <c r="L1051" t="s">
        <v>23</v>
      </c>
      <c r="M1051">
        <v>825.06</v>
      </c>
    </row>
    <row r="1052" spans="1:13" x14ac:dyDescent="0.25">
      <c r="A1052">
        <v>2050</v>
      </c>
      <c r="B1052" t="s">
        <v>1091</v>
      </c>
      <c r="C1052" t="s">
        <v>31</v>
      </c>
      <c r="D1052" t="s">
        <v>42</v>
      </c>
      <c r="E1052">
        <v>1</v>
      </c>
      <c r="F1052">
        <v>4234.28</v>
      </c>
      <c r="G1052">
        <f t="shared" si="32"/>
        <v>4234.28</v>
      </c>
      <c r="H1052" s="3">
        <v>1.03</v>
      </c>
      <c r="I1052">
        <f t="shared" si="33"/>
        <v>-127.0284000000001</v>
      </c>
      <c r="J1052" s="1">
        <v>45457</v>
      </c>
      <c r="K1052" t="s">
        <v>22</v>
      </c>
      <c r="L1052" t="s">
        <v>23</v>
      </c>
      <c r="M1052">
        <v>2931.9</v>
      </c>
    </row>
    <row r="1053" spans="1:13" x14ac:dyDescent="0.25">
      <c r="A1053">
        <v>2051</v>
      </c>
      <c r="B1053" t="s">
        <v>1092</v>
      </c>
      <c r="C1053" t="s">
        <v>28</v>
      </c>
      <c r="D1053" t="s">
        <v>40</v>
      </c>
      <c r="E1053">
        <v>2</v>
      </c>
      <c r="F1053">
        <v>1234.27</v>
      </c>
      <c r="G1053">
        <f t="shared" si="32"/>
        <v>2468.54</v>
      </c>
      <c r="I1053">
        <f t="shared" si="33"/>
        <v>2468.54</v>
      </c>
      <c r="J1053" s="1">
        <v>45716</v>
      </c>
      <c r="K1053" t="s">
        <v>44</v>
      </c>
      <c r="L1053" t="s">
        <v>23</v>
      </c>
      <c r="M1053">
        <v>-911.71</v>
      </c>
    </row>
    <row r="1054" spans="1:13" x14ac:dyDescent="0.25">
      <c r="A1054">
        <v>2052</v>
      </c>
      <c r="B1054" t="s">
        <v>1093</v>
      </c>
      <c r="C1054" t="s">
        <v>36</v>
      </c>
      <c r="D1054" t="s">
        <v>55</v>
      </c>
      <c r="E1054">
        <v>3</v>
      </c>
      <c r="F1054">
        <v>4971.74</v>
      </c>
      <c r="G1054">
        <f t="shared" si="32"/>
        <v>14915.22</v>
      </c>
      <c r="I1054">
        <f t="shared" si="33"/>
        <v>14915.22</v>
      </c>
      <c r="J1054" s="1">
        <v>45443</v>
      </c>
      <c r="K1054" t="s">
        <v>38</v>
      </c>
      <c r="L1054" t="s">
        <v>16</v>
      </c>
      <c r="M1054">
        <v>1386.13</v>
      </c>
    </row>
    <row r="1055" spans="1:13" x14ac:dyDescent="0.25">
      <c r="A1055">
        <v>2053</v>
      </c>
      <c r="B1055" t="s">
        <v>1094</v>
      </c>
      <c r="C1055" t="s">
        <v>28</v>
      </c>
      <c r="D1055" t="s">
        <v>29</v>
      </c>
      <c r="E1055">
        <v>2</v>
      </c>
      <c r="G1055">
        <f t="shared" si="32"/>
        <v>0</v>
      </c>
      <c r="I1055">
        <f t="shared" si="33"/>
        <v>0</v>
      </c>
      <c r="J1055" s="1">
        <v>45501</v>
      </c>
      <c r="K1055" t="s">
        <v>44</v>
      </c>
      <c r="L1055" t="s">
        <v>23</v>
      </c>
      <c r="M1055">
        <v>-940.51</v>
      </c>
    </row>
    <row r="1056" spans="1:13" x14ac:dyDescent="0.25">
      <c r="A1056">
        <v>2054</v>
      </c>
      <c r="B1056" t="s">
        <v>1095</v>
      </c>
      <c r="C1056" t="s">
        <v>13</v>
      </c>
      <c r="D1056" t="s">
        <v>34</v>
      </c>
      <c r="E1056">
        <v>1</v>
      </c>
      <c r="F1056">
        <v>1254.77</v>
      </c>
      <c r="G1056">
        <f t="shared" si="32"/>
        <v>1254.77</v>
      </c>
      <c r="H1056" s="3">
        <v>0.62</v>
      </c>
      <c r="I1056">
        <f t="shared" si="33"/>
        <v>476.81259999999997</v>
      </c>
      <c r="K1056" t="s">
        <v>2517</v>
      </c>
      <c r="L1056" t="s">
        <v>23</v>
      </c>
      <c r="M1056">
        <v>2605.15</v>
      </c>
    </row>
    <row r="1057" spans="1:13" x14ac:dyDescent="0.25">
      <c r="A1057">
        <v>2055</v>
      </c>
      <c r="B1057" t="s">
        <v>1096</v>
      </c>
      <c r="C1057" t="s">
        <v>13</v>
      </c>
      <c r="D1057" t="s">
        <v>14</v>
      </c>
      <c r="E1057">
        <v>2</v>
      </c>
      <c r="F1057">
        <v>677.9</v>
      </c>
      <c r="G1057">
        <f t="shared" si="32"/>
        <v>1355.8</v>
      </c>
      <c r="H1057" s="3">
        <v>0.15</v>
      </c>
      <c r="I1057">
        <f t="shared" si="33"/>
        <v>1152.4299999999998</v>
      </c>
      <c r="K1057" t="s">
        <v>2517</v>
      </c>
      <c r="L1057" t="s">
        <v>16</v>
      </c>
      <c r="M1057">
        <v>-503.02</v>
      </c>
    </row>
    <row r="1058" spans="1:13" x14ac:dyDescent="0.25">
      <c r="A1058">
        <v>2056</v>
      </c>
      <c r="B1058" t="s">
        <v>1097</v>
      </c>
      <c r="C1058" t="s">
        <v>36</v>
      </c>
      <c r="D1058" t="s">
        <v>59</v>
      </c>
      <c r="E1058">
        <v>0</v>
      </c>
      <c r="G1058">
        <f t="shared" si="32"/>
        <v>0</v>
      </c>
      <c r="H1058" s="3">
        <v>0.7</v>
      </c>
      <c r="I1058">
        <f t="shared" si="33"/>
        <v>0</v>
      </c>
      <c r="J1058" s="1">
        <v>45184</v>
      </c>
      <c r="K1058" t="s">
        <v>18</v>
      </c>
      <c r="L1058" t="s">
        <v>23</v>
      </c>
      <c r="M1058">
        <v>2544.92</v>
      </c>
    </row>
    <row r="1059" spans="1:13" x14ac:dyDescent="0.25">
      <c r="A1059">
        <v>2057</v>
      </c>
      <c r="B1059" t="s">
        <v>1098</v>
      </c>
      <c r="C1059" t="s">
        <v>13</v>
      </c>
      <c r="D1059" t="s">
        <v>98</v>
      </c>
      <c r="E1059">
        <v>-1</v>
      </c>
      <c r="G1059">
        <f t="shared" si="32"/>
        <v>0</v>
      </c>
      <c r="I1059">
        <f t="shared" si="33"/>
        <v>0</v>
      </c>
      <c r="J1059" s="1">
        <v>45596</v>
      </c>
      <c r="K1059" t="s">
        <v>22</v>
      </c>
      <c r="L1059" t="s">
        <v>23</v>
      </c>
      <c r="M1059">
        <v>17.96</v>
      </c>
    </row>
    <row r="1060" spans="1:13" x14ac:dyDescent="0.25">
      <c r="A1060">
        <v>2058</v>
      </c>
      <c r="B1060" t="s">
        <v>1099</v>
      </c>
      <c r="C1060" t="s">
        <v>31</v>
      </c>
      <c r="D1060" t="s">
        <v>68</v>
      </c>
      <c r="E1060">
        <v>6</v>
      </c>
      <c r="G1060">
        <f t="shared" si="32"/>
        <v>0</v>
      </c>
      <c r="I1060">
        <f t="shared" si="33"/>
        <v>0</v>
      </c>
      <c r="J1060" s="1">
        <v>45573</v>
      </c>
      <c r="K1060" t="s">
        <v>18</v>
      </c>
      <c r="L1060" t="s">
        <v>23</v>
      </c>
      <c r="M1060">
        <v>-248.49</v>
      </c>
    </row>
    <row r="1061" spans="1:13" x14ac:dyDescent="0.25">
      <c r="A1061">
        <v>2059</v>
      </c>
      <c r="B1061" t="s">
        <v>1100</v>
      </c>
      <c r="C1061" t="s">
        <v>28</v>
      </c>
      <c r="D1061" t="s">
        <v>40</v>
      </c>
      <c r="E1061">
        <v>3</v>
      </c>
      <c r="F1061">
        <v>1193.03</v>
      </c>
      <c r="G1061">
        <f t="shared" si="32"/>
        <v>3579.09</v>
      </c>
      <c r="I1061">
        <f t="shared" si="33"/>
        <v>3579.09</v>
      </c>
      <c r="J1061" s="1">
        <v>45723</v>
      </c>
      <c r="K1061" t="s">
        <v>22</v>
      </c>
      <c r="L1061" t="s">
        <v>23</v>
      </c>
      <c r="M1061">
        <v>-876.83</v>
      </c>
    </row>
    <row r="1062" spans="1:13" x14ac:dyDescent="0.25">
      <c r="A1062">
        <v>2060</v>
      </c>
      <c r="B1062" t="s">
        <v>1101</v>
      </c>
      <c r="C1062" t="s">
        <v>31</v>
      </c>
      <c r="D1062" t="s">
        <v>42</v>
      </c>
      <c r="E1062">
        <v>2</v>
      </c>
      <c r="F1062">
        <v>3725.58</v>
      </c>
      <c r="G1062">
        <f t="shared" si="32"/>
        <v>7451.16</v>
      </c>
      <c r="I1062">
        <f t="shared" si="33"/>
        <v>7451.16</v>
      </c>
      <c r="J1062" s="1">
        <v>45581</v>
      </c>
      <c r="K1062" t="s">
        <v>44</v>
      </c>
      <c r="L1062" t="s">
        <v>16</v>
      </c>
      <c r="M1062">
        <v>2544.5500000000002</v>
      </c>
    </row>
    <row r="1063" spans="1:13" x14ac:dyDescent="0.25">
      <c r="A1063">
        <v>2061</v>
      </c>
      <c r="B1063" t="s">
        <v>1102</v>
      </c>
      <c r="C1063" t="s">
        <v>25</v>
      </c>
      <c r="D1063" t="s">
        <v>82</v>
      </c>
      <c r="E1063">
        <v>2</v>
      </c>
      <c r="F1063">
        <v>2077.8200000000002</v>
      </c>
      <c r="G1063">
        <f t="shared" si="32"/>
        <v>4155.6400000000003</v>
      </c>
      <c r="I1063">
        <f t="shared" si="33"/>
        <v>4155.6400000000003</v>
      </c>
      <c r="J1063" s="1">
        <v>45722</v>
      </c>
      <c r="K1063" t="s">
        <v>44</v>
      </c>
      <c r="L1063" t="s">
        <v>16</v>
      </c>
      <c r="M1063">
        <v>2769.01</v>
      </c>
    </row>
    <row r="1064" spans="1:13" x14ac:dyDescent="0.25">
      <c r="A1064">
        <v>2062</v>
      </c>
      <c r="B1064" t="s">
        <v>1103</v>
      </c>
      <c r="C1064" t="s">
        <v>36</v>
      </c>
      <c r="D1064" t="s">
        <v>37</v>
      </c>
      <c r="E1064">
        <v>4</v>
      </c>
      <c r="F1064">
        <v>2975.64</v>
      </c>
      <c r="G1064">
        <f t="shared" si="32"/>
        <v>11902.56</v>
      </c>
      <c r="I1064">
        <f t="shared" si="33"/>
        <v>11902.56</v>
      </c>
      <c r="J1064" s="1">
        <v>45502</v>
      </c>
      <c r="K1064" t="s">
        <v>2517</v>
      </c>
      <c r="L1064" t="s">
        <v>16</v>
      </c>
      <c r="M1064">
        <v>-644.20000000000005</v>
      </c>
    </row>
    <row r="1065" spans="1:13" x14ac:dyDescent="0.25">
      <c r="A1065">
        <v>2063</v>
      </c>
      <c r="B1065" t="s">
        <v>1104</v>
      </c>
      <c r="C1065" t="s">
        <v>31</v>
      </c>
      <c r="D1065" t="s">
        <v>42</v>
      </c>
      <c r="E1065">
        <v>5</v>
      </c>
      <c r="G1065">
        <f t="shared" si="32"/>
        <v>0</v>
      </c>
      <c r="I1065">
        <f t="shared" si="33"/>
        <v>0</v>
      </c>
      <c r="J1065" s="1">
        <v>45587</v>
      </c>
      <c r="K1065" t="s">
        <v>44</v>
      </c>
      <c r="L1065" t="s">
        <v>16</v>
      </c>
      <c r="M1065">
        <v>2549.09</v>
      </c>
    </row>
    <row r="1066" spans="1:13" x14ac:dyDescent="0.25">
      <c r="A1066">
        <v>2064</v>
      </c>
      <c r="B1066" t="s">
        <v>1105</v>
      </c>
      <c r="C1066" t="s">
        <v>28</v>
      </c>
      <c r="D1066" t="s">
        <v>40</v>
      </c>
      <c r="E1066">
        <v>2</v>
      </c>
      <c r="F1066">
        <v>702.86</v>
      </c>
      <c r="G1066">
        <f t="shared" si="32"/>
        <v>1405.72</v>
      </c>
      <c r="I1066">
        <f t="shared" si="33"/>
        <v>1405.72</v>
      </c>
      <c r="J1066" s="1">
        <v>45596</v>
      </c>
      <c r="K1066" t="s">
        <v>44</v>
      </c>
      <c r="L1066" t="s">
        <v>16</v>
      </c>
      <c r="M1066">
        <v>577.70000000000005</v>
      </c>
    </row>
    <row r="1067" spans="1:13" x14ac:dyDescent="0.25">
      <c r="A1067">
        <v>2065</v>
      </c>
      <c r="B1067" t="s">
        <v>1106</v>
      </c>
      <c r="C1067" t="s">
        <v>31</v>
      </c>
      <c r="D1067" t="s">
        <v>32</v>
      </c>
      <c r="E1067">
        <v>4</v>
      </c>
      <c r="F1067">
        <v>3590.4</v>
      </c>
      <c r="G1067">
        <f t="shared" si="32"/>
        <v>14361.6</v>
      </c>
      <c r="I1067">
        <f t="shared" si="33"/>
        <v>14361.6</v>
      </c>
      <c r="J1067" s="1">
        <v>45526</v>
      </c>
      <c r="K1067" t="s">
        <v>38</v>
      </c>
      <c r="L1067" t="s">
        <v>16</v>
      </c>
      <c r="M1067">
        <v>-86.57</v>
      </c>
    </row>
    <row r="1068" spans="1:13" x14ac:dyDescent="0.25">
      <c r="A1068">
        <v>2066</v>
      </c>
      <c r="B1068" t="s">
        <v>1107</v>
      </c>
      <c r="C1068" t="s">
        <v>13</v>
      </c>
      <c r="D1068" t="s">
        <v>47</v>
      </c>
      <c r="E1068">
        <v>0</v>
      </c>
      <c r="G1068">
        <f t="shared" si="32"/>
        <v>0</v>
      </c>
      <c r="I1068">
        <f t="shared" si="33"/>
        <v>0</v>
      </c>
      <c r="K1068" t="s">
        <v>22</v>
      </c>
      <c r="L1068" t="s">
        <v>16</v>
      </c>
      <c r="M1068">
        <v>2532.65</v>
      </c>
    </row>
    <row r="1069" spans="1:13" x14ac:dyDescent="0.25">
      <c r="A1069">
        <v>2067</v>
      </c>
      <c r="B1069" t="s">
        <v>555</v>
      </c>
      <c r="C1069" t="s">
        <v>36</v>
      </c>
      <c r="D1069" t="s">
        <v>59</v>
      </c>
      <c r="E1069">
        <v>2</v>
      </c>
      <c r="F1069">
        <v>2975.33</v>
      </c>
      <c r="G1069">
        <f t="shared" si="32"/>
        <v>5950.66</v>
      </c>
      <c r="I1069">
        <f t="shared" si="33"/>
        <v>5950.66</v>
      </c>
      <c r="J1069" s="1">
        <v>45749</v>
      </c>
      <c r="K1069" t="s">
        <v>2517</v>
      </c>
      <c r="L1069" t="s">
        <v>16</v>
      </c>
      <c r="M1069">
        <v>1035.45</v>
      </c>
    </row>
    <row r="1070" spans="1:13" x14ac:dyDescent="0.25">
      <c r="A1070">
        <v>2068</v>
      </c>
      <c r="B1070" t="s">
        <v>1108</v>
      </c>
      <c r="C1070" t="s">
        <v>25</v>
      </c>
      <c r="D1070" t="s">
        <v>62</v>
      </c>
      <c r="E1070">
        <v>2</v>
      </c>
      <c r="G1070">
        <f t="shared" si="32"/>
        <v>0</v>
      </c>
      <c r="H1070" s="3">
        <v>1</v>
      </c>
      <c r="I1070">
        <f t="shared" si="33"/>
        <v>0</v>
      </c>
      <c r="J1070" s="1">
        <v>45295</v>
      </c>
      <c r="K1070" t="s">
        <v>15</v>
      </c>
      <c r="L1070" t="s">
        <v>16</v>
      </c>
      <c r="M1070">
        <v>999.95</v>
      </c>
    </row>
    <row r="1071" spans="1:13" x14ac:dyDescent="0.25">
      <c r="A1071">
        <v>2069</v>
      </c>
      <c r="B1071" t="s">
        <v>1109</v>
      </c>
      <c r="C1071" t="s">
        <v>31</v>
      </c>
      <c r="D1071" t="s">
        <v>78</v>
      </c>
      <c r="E1071">
        <v>2</v>
      </c>
      <c r="F1071">
        <v>3266.05</v>
      </c>
      <c r="G1071">
        <f t="shared" si="32"/>
        <v>6532.1</v>
      </c>
      <c r="I1071">
        <f t="shared" si="33"/>
        <v>6532.1</v>
      </c>
      <c r="J1071" s="1">
        <v>45500</v>
      </c>
      <c r="K1071" t="s">
        <v>22</v>
      </c>
      <c r="L1071" t="s">
        <v>16</v>
      </c>
      <c r="M1071">
        <v>1188.8900000000001</v>
      </c>
    </row>
    <row r="1072" spans="1:13" x14ac:dyDescent="0.25">
      <c r="A1072">
        <v>2070</v>
      </c>
      <c r="B1072" t="s">
        <v>1110</v>
      </c>
      <c r="C1072" t="s">
        <v>28</v>
      </c>
      <c r="D1072" t="s">
        <v>40</v>
      </c>
      <c r="E1072">
        <v>-1</v>
      </c>
      <c r="G1072">
        <f t="shared" si="32"/>
        <v>0</v>
      </c>
      <c r="I1072">
        <f t="shared" si="33"/>
        <v>0</v>
      </c>
      <c r="J1072" s="1">
        <v>45726</v>
      </c>
      <c r="K1072" t="s">
        <v>22</v>
      </c>
      <c r="L1072" t="s">
        <v>23</v>
      </c>
      <c r="M1072">
        <v>614.38</v>
      </c>
    </row>
    <row r="1073" spans="1:13" x14ac:dyDescent="0.25">
      <c r="A1073">
        <v>2071</v>
      </c>
      <c r="B1073" t="s">
        <v>1111</v>
      </c>
      <c r="C1073" t="s">
        <v>25</v>
      </c>
      <c r="D1073" t="s">
        <v>62</v>
      </c>
      <c r="E1073">
        <v>2</v>
      </c>
      <c r="G1073">
        <f t="shared" si="32"/>
        <v>0</v>
      </c>
      <c r="H1073" s="3">
        <v>0.98</v>
      </c>
      <c r="I1073">
        <f t="shared" si="33"/>
        <v>0</v>
      </c>
      <c r="J1073" s="1">
        <v>45834</v>
      </c>
      <c r="K1073" t="s">
        <v>22</v>
      </c>
      <c r="L1073" t="s">
        <v>16</v>
      </c>
      <c r="M1073">
        <v>1522.69</v>
      </c>
    </row>
    <row r="1074" spans="1:13" x14ac:dyDescent="0.25">
      <c r="A1074">
        <v>2072</v>
      </c>
      <c r="B1074" t="s">
        <v>1112</v>
      </c>
      <c r="C1074" t="s">
        <v>36</v>
      </c>
      <c r="D1074" t="s">
        <v>37</v>
      </c>
      <c r="E1074">
        <v>2</v>
      </c>
      <c r="G1074">
        <f t="shared" si="32"/>
        <v>0</v>
      </c>
      <c r="I1074">
        <f t="shared" si="33"/>
        <v>0</v>
      </c>
      <c r="J1074" s="1">
        <v>45778</v>
      </c>
      <c r="K1074" t="s">
        <v>2517</v>
      </c>
      <c r="L1074" t="s">
        <v>16</v>
      </c>
      <c r="M1074">
        <v>-670.22</v>
      </c>
    </row>
    <row r="1075" spans="1:13" x14ac:dyDescent="0.25">
      <c r="A1075">
        <v>2073</v>
      </c>
      <c r="B1075" t="s">
        <v>1113</v>
      </c>
      <c r="C1075" t="s">
        <v>25</v>
      </c>
      <c r="D1075" t="s">
        <v>62</v>
      </c>
      <c r="E1075">
        <v>3</v>
      </c>
      <c r="F1075">
        <v>1596.02</v>
      </c>
      <c r="G1075">
        <f t="shared" si="32"/>
        <v>4788.0599999999995</v>
      </c>
      <c r="I1075">
        <f t="shared" si="33"/>
        <v>4788.0599999999995</v>
      </c>
      <c r="K1075" t="s">
        <v>18</v>
      </c>
      <c r="L1075" t="s">
        <v>16</v>
      </c>
      <c r="M1075">
        <v>-217.87</v>
      </c>
    </row>
    <row r="1076" spans="1:13" x14ac:dyDescent="0.25">
      <c r="A1076">
        <v>2074</v>
      </c>
      <c r="B1076" t="s">
        <v>1114</v>
      </c>
      <c r="C1076" t="s">
        <v>28</v>
      </c>
      <c r="D1076" t="s">
        <v>137</v>
      </c>
      <c r="E1076">
        <v>4</v>
      </c>
      <c r="G1076">
        <f t="shared" si="32"/>
        <v>0</v>
      </c>
      <c r="I1076">
        <f t="shared" si="33"/>
        <v>0</v>
      </c>
      <c r="J1076" s="1">
        <v>45573</v>
      </c>
      <c r="K1076" t="s">
        <v>38</v>
      </c>
      <c r="L1076" t="s">
        <v>16</v>
      </c>
      <c r="M1076">
        <v>2628.09</v>
      </c>
    </row>
    <row r="1077" spans="1:13" x14ac:dyDescent="0.25">
      <c r="A1077">
        <v>2075</v>
      </c>
      <c r="B1077" t="s">
        <v>1115</v>
      </c>
      <c r="C1077" t="s">
        <v>20</v>
      </c>
      <c r="D1077" t="s">
        <v>21</v>
      </c>
      <c r="E1077">
        <v>0</v>
      </c>
      <c r="G1077">
        <f t="shared" si="32"/>
        <v>0</v>
      </c>
      <c r="I1077">
        <f t="shared" si="33"/>
        <v>0</v>
      </c>
      <c r="K1077" t="s">
        <v>38</v>
      </c>
      <c r="L1077" t="s">
        <v>23</v>
      </c>
      <c r="M1077">
        <v>1501.9</v>
      </c>
    </row>
    <row r="1078" spans="1:13" x14ac:dyDescent="0.25">
      <c r="A1078">
        <v>2076</v>
      </c>
      <c r="B1078" t="s">
        <v>1116</v>
      </c>
      <c r="C1078" t="s">
        <v>25</v>
      </c>
      <c r="D1078" t="s">
        <v>51</v>
      </c>
      <c r="E1078">
        <v>2</v>
      </c>
      <c r="F1078">
        <v>1151.07</v>
      </c>
      <c r="G1078">
        <f t="shared" si="32"/>
        <v>2302.14</v>
      </c>
      <c r="I1078">
        <f t="shared" si="33"/>
        <v>2302.14</v>
      </c>
      <c r="J1078" s="1">
        <v>45798</v>
      </c>
      <c r="K1078" t="s">
        <v>38</v>
      </c>
      <c r="L1078" t="s">
        <v>23</v>
      </c>
      <c r="M1078">
        <v>854.02</v>
      </c>
    </row>
    <row r="1079" spans="1:13" x14ac:dyDescent="0.25">
      <c r="A1079">
        <v>2077</v>
      </c>
      <c r="B1079" t="s">
        <v>1117</v>
      </c>
      <c r="C1079" t="s">
        <v>31</v>
      </c>
      <c r="D1079" t="s">
        <v>42</v>
      </c>
      <c r="E1079">
        <v>2</v>
      </c>
      <c r="G1079">
        <f t="shared" si="32"/>
        <v>0</v>
      </c>
      <c r="I1079">
        <f t="shared" si="33"/>
        <v>0</v>
      </c>
      <c r="K1079" t="s">
        <v>44</v>
      </c>
      <c r="L1079" t="s">
        <v>16</v>
      </c>
      <c r="M1079">
        <v>1082.3599999999999</v>
      </c>
    </row>
    <row r="1080" spans="1:13" x14ac:dyDescent="0.25">
      <c r="A1080">
        <v>2078</v>
      </c>
      <c r="B1080" t="s">
        <v>1118</v>
      </c>
      <c r="C1080" t="s">
        <v>31</v>
      </c>
      <c r="D1080" t="s">
        <v>68</v>
      </c>
      <c r="E1080">
        <v>2</v>
      </c>
      <c r="F1080">
        <v>1760.85</v>
      </c>
      <c r="G1080">
        <f t="shared" si="32"/>
        <v>3521.7</v>
      </c>
      <c r="I1080">
        <f t="shared" si="33"/>
        <v>3521.7</v>
      </c>
      <c r="J1080" s="1">
        <v>45808</v>
      </c>
      <c r="K1080" t="s">
        <v>44</v>
      </c>
      <c r="L1080" t="s">
        <v>16</v>
      </c>
      <c r="M1080">
        <v>-542.71</v>
      </c>
    </row>
    <row r="1081" spans="1:13" x14ac:dyDescent="0.25">
      <c r="A1081">
        <v>2079</v>
      </c>
      <c r="B1081" t="s">
        <v>1119</v>
      </c>
      <c r="C1081" t="s">
        <v>28</v>
      </c>
      <c r="D1081" t="s">
        <v>29</v>
      </c>
      <c r="E1081">
        <v>2</v>
      </c>
      <c r="F1081">
        <v>2778.14</v>
      </c>
      <c r="G1081">
        <f t="shared" si="32"/>
        <v>5556.28</v>
      </c>
      <c r="H1081" s="3">
        <v>1.21</v>
      </c>
      <c r="I1081">
        <f t="shared" si="33"/>
        <v>-1166.8187999999998</v>
      </c>
      <c r="K1081" t="s">
        <v>18</v>
      </c>
      <c r="L1081" t="s">
        <v>23</v>
      </c>
      <c r="M1081">
        <v>516.66</v>
      </c>
    </row>
    <row r="1082" spans="1:13" x14ac:dyDescent="0.25">
      <c r="A1082">
        <v>2080</v>
      </c>
      <c r="B1082" t="s">
        <v>1120</v>
      </c>
      <c r="C1082" t="s">
        <v>28</v>
      </c>
      <c r="D1082" t="s">
        <v>116</v>
      </c>
      <c r="E1082">
        <v>3</v>
      </c>
      <c r="F1082">
        <v>4672.3500000000004</v>
      </c>
      <c r="G1082">
        <f t="shared" si="32"/>
        <v>14017.050000000001</v>
      </c>
      <c r="I1082">
        <f t="shared" si="33"/>
        <v>14017.050000000001</v>
      </c>
      <c r="K1082" t="s">
        <v>15</v>
      </c>
      <c r="L1082" t="s">
        <v>23</v>
      </c>
      <c r="M1082">
        <v>991.5</v>
      </c>
    </row>
    <row r="1083" spans="1:13" x14ac:dyDescent="0.25">
      <c r="A1083">
        <v>2081</v>
      </c>
      <c r="B1083" t="s">
        <v>1121</v>
      </c>
      <c r="C1083" t="s">
        <v>31</v>
      </c>
      <c r="D1083" t="s">
        <v>32</v>
      </c>
      <c r="E1083">
        <v>2</v>
      </c>
      <c r="F1083">
        <v>2809.88</v>
      </c>
      <c r="G1083">
        <f t="shared" si="32"/>
        <v>5619.76</v>
      </c>
      <c r="I1083">
        <f t="shared" si="33"/>
        <v>5619.76</v>
      </c>
      <c r="J1083" s="1">
        <v>45850</v>
      </c>
      <c r="K1083" t="s">
        <v>18</v>
      </c>
      <c r="L1083" t="s">
        <v>23</v>
      </c>
      <c r="M1083">
        <v>1063.07</v>
      </c>
    </row>
    <row r="1084" spans="1:13" x14ac:dyDescent="0.25">
      <c r="A1084">
        <v>2082</v>
      </c>
      <c r="B1084" t="s">
        <v>1122</v>
      </c>
      <c r="C1084" t="s">
        <v>20</v>
      </c>
      <c r="D1084" t="s">
        <v>118</v>
      </c>
      <c r="E1084">
        <v>5</v>
      </c>
      <c r="G1084">
        <f t="shared" si="32"/>
        <v>0</v>
      </c>
      <c r="H1084" s="3">
        <v>1.1499999999999999</v>
      </c>
      <c r="I1084">
        <f t="shared" si="33"/>
        <v>0</v>
      </c>
      <c r="J1084" s="1">
        <v>45411</v>
      </c>
      <c r="K1084" t="s">
        <v>22</v>
      </c>
      <c r="L1084" t="s">
        <v>16</v>
      </c>
      <c r="M1084">
        <v>-208.43</v>
      </c>
    </row>
    <row r="1085" spans="1:13" x14ac:dyDescent="0.25">
      <c r="A1085">
        <v>2083</v>
      </c>
      <c r="B1085" t="s">
        <v>1123</v>
      </c>
      <c r="C1085" t="s">
        <v>25</v>
      </c>
      <c r="D1085" t="s">
        <v>62</v>
      </c>
      <c r="E1085">
        <v>2</v>
      </c>
      <c r="F1085">
        <v>2105.7399999999998</v>
      </c>
      <c r="G1085">
        <f t="shared" si="32"/>
        <v>4211.4799999999996</v>
      </c>
      <c r="H1085" s="3">
        <v>0.34</v>
      </c>
      <c r="I1085">
        <f t="shared" si="33"/>
        <v>2779.5767999999994</v>
      </c>
      <c r="J1085" s="1">
        <v>45710</v>
      </c>
      <c r="K1085" t="s">
        <v>15</v>
      </c>
      <c r="L1085" t="s">
        <v>16</v>
      </c>
      <c r="M1085">
        <v>-907.84</v>
      </c>
    </row>
    <row r="1086" spans="1:13" x14ac:dyDescent="0.25">
      <c r="A1086">
        <v>2084</v>
      </c>
      <c r="B1086" t="s">
        <v>1124</v>
      </c>
      <c r="C1086" t="s">
        <v>20</v>
      </c>
      <c r="D1086" t="s">
        <v>21</v>
      </c>
      <c r="E1086">
        <v>6</v>
      </c>
      <c r="F1086">
        <v>4068.82</v>
      </c>
      <c r="G1086">
        <f t="shared" si="32"/>
        <v>24412.920000000002</v>
      </c>
      <c r="I1086">
        <f t="shared" si="33"/>
        <v>24412.920000000002</v>
      </c>
      <c r="J1086" s="1">
        <v>45750</v>
      </c>
      <c r="K1086" t="s">
        <v>18</v>
      </c>
      <c r="L1086" t="s">
        <v>23</v>
      </c>
      <c r="M1086">
        <v>719.55</v>
      </c>
    </row>
    <row r="1087" spans="1:13" x14ac:dyDescent="0.25">
      <c r="A1087">
        <v>2085</v>
      </c>
      <c r="B1087" t="s">
        <v>1125</v>
      </c>
      <c r="C1087" t="s">
        <v>20</v>
      </c>
      <c r="D1087" t="s">
        <v>84</v>
      </c>
      <c r="E1087">
        <v>2</v>
      </c>
      <c r="G1087">
        <f t="shared" si="32"/>
        <v>0</v>
      </c>
      <c r="I1087">
        <f t="shared" si="33"/>
        <v>0</v>
      </c>
      <c r="J1087" s="1">
        <v>45554</v>
      </c>
      <c r="K1087" t="s">
        <v>2517</v>
      </c>
      <c r="L1087" t="s">
        <v>16</v>
      </c>
      <c r="M1087">
        <v>212.87</v>
      </c>
    </row>
    <row r="1088" spans="1:13" x14ac:dyDescent="0.25">
      <c r="A1088">
        <v>1015</v>
      </c>
      <c r="B1088" t="s">
        <v>1126</v>
      </c>
      <c r="C1088" t="s">
        <v>31</v>
      </c>
      <c r="D1088" t="s">
        <v>68</v>
      </c>
      <c r="E1088">
        <v>2</v>
      </c>
      <c r="G1088">
        <f t="shared" si="32"/>
        <v>0</v>
      </c>
      <c r="I1088">
        <f t="shared" si="33"/>
        <v>0</v>
      </c>
      <c r="K1088" t="s">
        <v>44</v>
      </c>
      <c r="L1088" t="s">
        <v>16</v>
      </c>
      <c r="M1088">
        <v>2811.88</v>
      </c>
    </row>
    <row r="1089" spans="1:13" x14ac:dyDescent="0.25">
      <c r="A1089">
        <v>2087</v>
      </c>
      <c r="B1089" t="s">
        <v>1127</v>
      </c>
      <c r="C1089" t="s">
        <v>36</v>
      </c>
      <c r="D1089" t="s">
        <v>59</v>
      </c>
      <c r="E1089">
        <v>2</v>
      </c>
      <c r="F1089">
        <v>2610.84</v>
      </c>
      <c r="G1089">
        <f t="shared" si="32"/>
        <v>5221.68</v>
      </c>
      <c r="I1089">
        <f t="shared" si="33"/>
        <v>5221.68</v>
      </c>
      <c r="J1089" s="1">
        <v>45501</v>
      </c>
      <c r="K1089" t="s">
        <v>38</v>
      </c>
      <c r="L1089" t="s">
        <v>16</v>
      </c>
      <c r="M1089">
        <v>-904.51</v>
      </c>
    </row>
    <row r="1090" spans="1:13" x14ac:dyDescent="0.25">
      <c r="A1090">
        <v>2088</v>
      </c>
      <c r="B1090" t="s">
        <v>1128</v>
      </c>
      <c r="C1090" t="s">
        <v>25</v>
      </c>
      <c r="D1090" t="s">
        <v>51</v>
      </c>
      <c r="E1090">
        <v>2</v>
      </c>
      <c r="G1090">
        <f t="shared" si="32"/>
        <v>0</v>
      </c>
      <c r="I1090">
        <f t="shared" si="33"/>
        <v>0</v>
      </c>
      <c r="J1090" s="1">
        <v>45670</v>
      </c>
      <c r="K1090" t="s">
        <v>22</v>
      </c>
      <c r="L1090" t="s">
        <v>16</v>
      </c>
      <c r="M1090">
        <v>1353.01</v>
      </c>
    </row>
    <row r="1091" spans="1:13" x14ac:dyDescent="0.25">
      <c r="A1091">
        <v>2089</v>
      </c>
      <c r="B1091" t="s">
        <v>1129</v>
      </c>
      <c r="C1091" t="s">
        <v>28</v>
      </c>
      <c r="D1091" t="s">
        <v>137</v>
      </c>
      <c r="E1091">
        <v>2</v>
      </c>
      <c r="F1091">
        <v>1571.58</v>
      </c>
      <c r="G1091">
        <f t="shared" ref="G1091:G1154" si="34">F1091*E1091</f>
        <v>3143.16</v>
      </c>
      <c r="H1091" s="3">
        <v>1.17</v>
      </c>
      <c r="I1091">
        <f t="shared" ref="I1091:I1154" si="35">G1091*(1-H1091)</f>
        <v>-534.33719999999971</v>
      </c>
      <c r="J1091" s="1">
        <v>45192</v>
      </c>
      <c r="K1091" t="s">
        <v>2517</v>
      </c>
      <c r="L1091" t="s">
        <v>23</v>
      </c>
      <c r="M1091">
        <v>1195.3399999999999</v>
      </c>
    </row>
    <row r="1092" spans="1:13" x14ac:dyDescent="0.25">
      <c r="A1092">
        <v>2090</v>
      </c>
      <c r="B1092" t="s">
        <v>1130</v>
      </c>
      <c r="C1092" t="s">
        <v>28</v>
      </c>
      <c r="D1092" t="s">
        <v>137</v>
      </c>
      <c r="E1092">
        <v>2</v>
      </c>
      <c r="F1092">
        <v>940.71</v>
      </c>
      <c r="G1092">
        <f t="shared" si="34"/>
        <v>1881.42</v>
      </c>
      <c r="I1092">
        <f t="shared" si="35"/>
        <v>1881.42</v>
      </c>
      <c r="J1092" s="1">
        <v>45736</v>
      </c>
      <c r="K1092" t="s">
        <v>15</v>
      </c>
      <c r="L1092" t="s">
        <v>16</v>
      </c>
      <c r="M1092">
        <v>1317.26</v>
      </c>
    </row>
    <row r="1093" spans="1:13" x14ac:dyDescent="0.25">
      <c r="A1093">
        <v>2091</v>
      </c>
      <c r="B1093" t="s">
        <v>1131</v>
      </c>
      <c r="C1093" t="s">
        <v>36</v>
      </c>
      <c r="D1093" t="s">
        <v>37</v>
      </c>
      <c r="E1093">
        <v>2</v>
      </c>
      <c r="F1093">
        <v>1323.61</v>
      </c>
      <c r="G1093">
        <f t="shared" si="34"/>
        <v>2647.22</v>
      </c>
      <c r="I1093">
        <f t="shared" si="35"/>
        <v>2647.22</v>
      </c>
      <c r="J1093" s="1">
        <v>45781</v>
      </c>
      <c r="K1093" t="s">
        <v>15</v>
      </c>
      <c r="L1093" t="s">
        <v>16</v>
      </c>
      <c r="M1093">
        <v>-63.42</v>
      </c>
    </row>
    <row r="1094" spans="1:13" x14ac:dyDescent="0.25">
      <c r="A1094">
        <v>2092</v>
      </c>
      <c r="B1094" t="s">
        <v>1132</v>
      </c>
      <c r="C1094" t="s">
        <v>25</v>
      </c>
      <c r="D1094" t="s">
        <v>82</v>
      </c>
      <c r="E1094">
        <v>2</v>
      </c>
      <c r="F1094">
        <v>4459.2</v>
      </c>
      <c r="G1094">
        <f t="shared" si="34"/>
        <v>8918.4</v>
      </c>
      <c r="I1094">
        <f t="shared" si="35"/>
        <v>8918.4</v>
      </c>
      <c r="J1094" s="1">
        <v>45739</v>
      </c>
      <c r="K1094" t="s">
        <v>15</v>
      </c>
      <c r="L1094" t="s">
        <v>16</v>
      </c>
      <c r="M1094">
        <v>1008.2</v>
      </c>
    </row>
    <row r="1095" spans="1:13" x14ac:dyDescent="0.25">
      <c r="A1095">
        <v>2093</v>
      </c>
      <c r="B1095" t="s">
        <v>1133</v>
      </c>
      <c r="C1095" t="s">
        <v>31</v>
      </c>
      <c r="D1095" t="s">
        <v>68</v>
      </c>
      <c r="E1095">
        <v>2</v>
      </c>
      <c r="F1095">
        <v>3163.95</v>
      </c>
      <c r="G1095">
        <f t="shared" si="34"/>
        <v>6327.9</v>
      </c>
      <c r="I1095">
        <f t="shared" si="35"/>
        <v>6327.9</v>
      </c>
      <c r="J1095" s="1">
        <v>45677</v>
      </c>
      <c r="K1095" t="s">
        <v>22</v>
      </c>
      <c r="L1095" t="s">
        <v>16</v>
      </c>
      <c r="M1095">
        <v>1267.01</v>
      </c>
    </row>
    <row r="1096" spans="1:13" x14ac:dyDescent="0.25">
      <c r="A1096">
        <v>2094</v>
      </c>
      <c r="B1096" t="s">
        <v>1134</v>
      </c>
      <c r="C1096" t="s">
        <v>36</v>
      </c>
      <c r="D1096" t="s">
        <v>87</v>
      </c>
      <c r="E1096">
        <v>5</v>
      </c>
      <c r="G1096">
        <f t="shared" si="34"/>
        <v>0</v>
      </c>
      <c r="I1096">
        <f t="shared" si="35"/>
        <v>0</v>
      </c>
      <c r="K1096" t="s">
        <v>22</v>
      </c>
      <c r="L1096" t="s">
        <v>16</v>
      </c>
      <c r="M1096">
        <v>-769.25</v>
      </c>
    </row>
    <row r="1097" spans="1:13" x14ac:dyDescent="0.25">
      <c r="A1097">
        <v>2095</v>
      </c>
      <c r="B1097" t="s">
        <v>1135</v>
      </c>
      <c r="C1097" t="s">
        <v>31</v>
      </c>
      <c r="D1097" t="s">
        <v>68</v>
      </c>
      <c r="E1097">
        <v>2</v>
      </c>
      <c r="F1097">
        <v>3809.95</v>
      </c>
      <c r="G1097">
        <f t="shared" si="34"/>
        <v>7619.9</v>
      </c>
      <c r="H1097" s="3">
        <v>1.29</v>
      </c>
      <c r="I1097">
        <f t="shared" si="35"/>
        <v>-2209.7710000000002</v>
      </c>
      <c r="J1097" s="1">
        <v>45572</v>
      </c>
      <c r="K1097" t="s">
        <v>38</v>
      </c>
      <c r="L1097" t="s">
        <v>23</v>
      </c>
      <c r="M1097">
        <v>1252.0999999999999</v>
      </c>
    </row>
    <row r="1098" spans="1:13" x14ac:dyDescent="0.25">
      <c r="A1098">
        <v>2096</v>
      </c>
      <c r="B1098" t="s">
        <v>1136</v>
      </c>
      <c r="C1098" t="s">
        <v>13</v>
      </c>
      <c r="D1098" t="s">
        <v>98</v>
      </c>
      <c r="E1098">
        <v>2</v>
      </c>
      <c r="F1098">
        <v>3906.15</v>
      </c>
      <c r="G1098">
        <f t="shared" si="34"/>
        <v>7812.3</v>
      </c>
      <c r="H1098" s="3">
        <v>1.19</v>
      </c>
      <c r="I1098">
        <f t="shared" si="35"/>
        <v>-1484.3369999999995</v>
      </c>
      <c r="K1098" t="s">
        <v>38</v>
      </c>
      <c r="L1098" t="s">
        <v>23</v>
      </c>
      <c r="M1098">
        <v>2500.02</v>
      </c>
    </row>
    <row r="1099" spans="1:13" x14ac:dyDescent="0.25">
      <c r="A1099">
        <v>2097</v>
      </c>
      <c r="B1099" t="s">
        <v>1137</v>
      </c>
      <c r="C1099" t="s">
        <v>31</v>
      </c>
      <c r="D1099" t="s">
        <v>68</v>
      </c>
      <c r="E1099">
        <v>3</v>
      </c>
      <c r="G1099">
        <f t="shared" si="34"/>
        <v>0</v>
      </c>
      <c r="H1099" s="3">
        <v>0.64</v>
      </c>
      <c r="I1099">
        <f t="shared" si="35"/>
        <v>0</v>
      </c>
      <c r="J1099" s="1">
        <v>45756</v>
      </c>
      <c r="K1099" t="s">
        <v>22</v>
      </c>
      <c r="L1099" t="s">
        <v>16</v>
      </c>
      <c r="M1099">
        <v>2870.13</v>
      </c>
    </row>
    <row r="1100" spans="1:13" x14ac:dyDescent="0.25">
      <c r="A1100">
        <v>2098</v>
      </c>
      <c r="B1100" t="s">
        <v>1138</v>
      </c>
      <c r="C1100" t="s">
        <v>20</v>
      </c>
      <c r="D1100" t="s">
        <v>76</v>
      </c>
      <c r="E1100">
        <v>2</v>
      </c>
      <c r="F1100">
        <v>431.18</v>
      </c>
      <c r="G1100">
        <f t="shared" si="34"/>
        <v>862.36</v>
      </c>
      <c r="I1100">
        <f t="shared" si="35"/>
        <v>862.36</v>
      </c>
      <c r="J1100" s="1">
        <v>45708</v>
      </c>
      <c r="K1100" t="s">
        <v>44</v>
      </c>
      <c r="L1100" t="s">
        <v>16</v>
      </c>
      <c r="M1100">
        <v>-183.75</v>
      </c>
    </row>
    <row r="1101" spans="1:13" x14ac:dyDescent="0.25">
      <c r="A1101">
        <v>2099</v>
      </c>
      <c r="B1101" t="s">
        <v>1139</v>
      </c>
      <c r="C1101" t="s">
        <v>31</v>
      </c>
      <c r="D1101" t="s">
        <v>32</v>
      </c>
      <c r="E1101">
        <v>2</v>
      </c>
      <c r="F1101">
        <v>1806.81</v>
      </c>
      <c r="G1101">
        <f t="shared" si="34"/>
        <v>3613.62</v>
      </c>
      <c r="H1101" s="3">
        <v>1.1000000000000001</v>
      </c>
      <c r="I1101">
        <f t="shared" si="35"/>
        <v>-361.36200000000031</v>
      </c>
      <c r="J1101" s="1">
        <v>45581</v>
      </c>
      <c r="K1101" t="s">
        <v>18</v>
      </c>
      <c r="L1101" t="s">
        <v>16</v>
      </c>
      <c r="M1101">
        <v>591.13</v>
      </c>
    </row>
    <row r="1102" spans="1:13" x14ac:dyDescent="0.25">
      <c r="A1102">
        <v>2100</v>
      </c>
      <c r="B1102" t="s">
        <v>1140</v>
      </c>
      <c r="C1102" t="s">
        <v>25</v>
      </c>
      <c r="D1102" t="s">
        <v>62</v>
      </c>
      <c r="E1102">
        <v>-1</v>
      </c>
      <c r="F1102">
        <v>1528.94</v>
      </c>
      <c r="G1102">
        <f t="shared" si="34"/>
        <v>-1528.94</v>
      </c>
      <c r="H1102" s="3">
        <v>0.67</v>
      </c>
      <c r="I1102">
        <f t="shared" si="35"/>
        <v>-504.55019999999996</v>
      </c>
      <c r="J1102" s="1">
        <v>45683</v>
      </c>
      <c r="K1102" t="s">
        <v>15</v>
      </c>
      <c r="L1102" t="s">
        <v>23</v>
      </c>
      <c r="M1102">
        <v>2294.33</v>
      </c>
    </row>
    <row r="1103" spans="1:13" x14ac:dyDescent="0.25">
      <c r="A1103">
        <v>2101</v>
      </c>
      <c r="B1103" t="s">
        <v>1141</v>
      </c>
      <c r="C1103" t="s">
        <v>13</v>
      </c>
      <c r="D1103" t="s">
        <v>34</v>
      </c>
      <c r="E1103">
        <v>2</v>
      </c>
      <c r="F1103">
        <v>1020.85</v>
      </c>
      <c r="G1103">
        <f t="shared" si="34"/>
        <v>2041.7</v>
      </c>
      <c r="I1103">
        <f t="shared" si="35"/>
        <v>2041.7</v>
      </c>
      <c r="J1103" s="1">
        <v>45465</v>
      </c>
      <c r="K1103" t="s">
        <v>18</v>
      </c>
      <c r="L1103" t="s">
        <v>23</v>
      </c>
      <c r="M1103">
        <v>-881.4</v>
      </c>
    </row>
    <row r="1104" spans="1:13" x14ac:dyDescent="0.25">
      <c r="A1104">
        <v>2102</v>
      </c>
      <c r="B1104" t="s">
        <v>1142</v>
      </c>
      <c r="C1104" t="s">
        <v>36</v>
      </c>
      <c r="D1104" t="s">
        <v>55</v>
      </c>
      <c r="E1104">
        <v>2</v>
      </c>
      <c r="F1104">
        <v>2581.29</v>
      </c>
      <c r="G1104">
        <f t="shared" si="34"/>
        <v>5162.58</v>
      </c>
      <c r="I1104">
        <f t="shared" si="35"/>
        <v>5162.58</v>
      </c>
      <c r="J1104" s="1">
        <v>45617</v>
      </c>
      <c r="K1104" t="s">
        <v>2517</v>
      </c>
      <c r="L1104" t="s">
        <v>23</v>
      </c>
      <c r="M1104">
        <v>2300.14</v>
      </c>
    </row>
    <row r="1105" spans="1:13" x14ac:dyDescent="0.25">
      <c r="A1105">
        <v>2103</v>
      </c>
      <c r="B1105" t="s">
        <v>1143</v>
      </c>
      <c r="C1105" t="s">
        <v>13</v>
      </c>
      <c r="D1105" t="s">
        <v>14</v>
      </c>
      <c r="E1105">
        <v>3</v>
      </c>
      <c r="G1105">
        <f t="shared" si="34"/>
        <v>0</v>
      </c>
      <c r="H1105" s="3">
        <v>0.56000000000000005</v>
      </c>
      <c r="I1105">
        <f t="shared" si="35"/>
        <v>0</v>
      </c>
      <c r="K1105" t="s">
        <v>18</v>
      </c>
      <c r="L1105" t="s">
        <v>16</v>
      </c>
      <c r="M1105">
        <v>-244.29</v>
      </c>
    </row>
    <row r="1106" spans="1:13" x14ac:dyDescent="0.25">
      <c r="A1106">
        <v>2104</v>
      </c>
      <c r="B1106" t="s">
        <v>1144</v>
      </c>
      <c r="C1106" t="s">
        <v>31</v>
      </c>
      <c r="D1106" t="s">
        <v>78</v>
      </c>
      <c r="E1106">
        <v>2</v>
      </c>
      <c r="F1106">
        <v>2211.06</v>
      </c>
      <c r="G1106">
        <f t="shared" si="34"/>
        <v>4422.12</v>
      </c>
      <c r="H1106" s="3">
        <v>0.26</v>
      </c>
      <c r="I1106">
        <f t="shared" si="35"/>
        <v>3272.3687999999997</v>
      </c>
      <c r="J1106" s="1">
        <v>45837</v>
      </c>
      <c r="K1106" t="s">
        <v>2517</v>
      </c>
      <c r="L1106" t="s">
        <v>16</v>
      </c>
      <c r="M1106">
        <v>2143.54</v>
      </c>
    </row>
    <row r="1107" spans="1:13" x14ac:dyDescent="0.25">
      <c r="A1107">
        <v>2105</v>
      </c>
      <c r="B1107" t="s">
        <v>1145</v>
      </c>
      <c r="C1107" t="s">
        <v>25</v>
      </c>
      <c r="D1107" t="s">
        <v>62</v>
      </c>
      <c r="E1107">
        <v>-1</v>
      </c>
      <c r="F1107">
        <v>3643.63</v>
      </c>
      <c r="G1107">
        <f t="shared" si="34"/>
        <v>-3643.63</v>
      </c>
      <c r="H1107" s="3">
        <v>0.19</v>
      </c>
      <c r="I1107">
        <f t="shared" si="35"/>
        <v>-2951.3403000000003</v>
      </c>
      <c r="J1107" s="1">
        <v>45754</v>
      </c>
      <c r="K1107" t="s">
        <v>22</v>
      </c>
      <c r="L1107" t="s">
        <v>16</v>
      </c>
      <c r="M1107">
        <v>375.4</v>
      </c>
    </row>
    <row r="1108" spans="1:13" x14ac:dyDescent="0.25">
      <c r="A1108">
        <v>2106</v>
      </c>
      <c r="B1108" t="s">
        <v>1146</v>
      </c>
      <c r="C1108" t="s">
        <v>36</v>
      </c>
      <c r="D1108" t="s">
        <v>59</v>
      </c>
      <c r="E1108">
        <v>4</v>
      </c>
      <c r="F1108">
        <v>4312.21</v>
      </c>
      <c r="G1108">
        <f t="shared" si="34"/>
        <v>17248.84</v>
      </c>
      <c r="I1108">
        <f t="shared" si="35"/>
        <v>17248.84</v>
      </c>
      <c r="J1108" s="1">
        <v>45404</v>
      </c>
      <c r="K1108" t="s">
        <v>15</v>
      </c>
      <c r="L1108" t="s">
        <v>16</v>
      </c>
      <c r="M1108">
        <v>552.97</v>
      </c>
    </row>
    <row r="1109" spans="1:13" x14ac:dyDescent="0.25">
      <c r="A1109">
        <v>2107</v>
      </c>
      <c r="B1109" t="s">
        <v>1147</v>
      </c>
      <c r="C1109" t="s">
        <v>36</v>
      </c>
      <c r="D1109" t="s">
        <v>59</v>
      </c>
      <c r="E1109">
        <v>2</v>
      </c>
      <c r="F1109">
        <v>2686.05</v>
      </c>
      <c r="G1109">
        <f t="shared" si="34"/>
        <v>5372.1</v>
      </c>
      <c r="I1109">
        <f t="shared" si="35"/>
        <v>5372.1</v>
      </c>
      <c r="J1109" s="1">
        <v>45661</v>
      </c>
      <c r="K1109" t="s">
        <v>2517</v>
      </c>
      <c r="L1109" t="s">
        <v>16</v>
      </c>
      <c r="M1109">
        <v>2643.46</v>
      </c>
    </row>
    <row r="1110" spans="1:13" x14ac:dyDescent="0.25">
      <c r="A1110">
        <v>2108</v>
      </c>
      <c r="B1110" t="s">
        <v>1148</v>
      </c>
      <c r="C1110" t="s">
        <v>13</v>
      </c>
      <c r="D1110" t="s">
        <v>47</v>
      </c>
      <c r="E1110">
        <v>0</v>
      </c>
      <c r="F1110">
        <v>2538.3000000000002</v>
      </c>
      <c r="G1110">
        <f t="shared" si="34"/>
        <v>0</v>
      </c>
      <c r="I1110">
        <f t="shared" si="35"/>
        <v>0</v>
      </c>
      <c r="J1110" s="1">
        <v>45795</v>
      </c>
      <c r="K1110" t="s">
        <v>22</v>
      </c>
      <c r="L1110" t="s">
        <v>23</v>
      </c>
      <c r="M1110">
        <v>-820.5</v>
      </c>
    </row>
    <row r="1111" spans="1:13" x14ac:dyDescent="0.25">
      <c r="A1111">
        <v>2109</v>
      </c>
      <c r="B1111" t="s">
        <v>1149</v>
      </c>
      <c r="C1111" t="s">
        <v>13</v>
      </c>
      <c r="D1111" t="s">
        <v>34</v>
      </c>
      <c r="E1111">
        <v>2</v>
      </c>
      <c r="F1111">
        <v>1901.86</v>
      </c>
      <c r="G1111">
        <f t="shared" si="34"/>
        <v>3803.72</v>
      </c>
      <c r="I1111">
        <f t="shared" si="35"/>
        <v>3803.72</v>
      </c>
      <c r="K1111" t="s">
        <v>44</v>
      </c>
      <c r="L1111" t="s">
        <v>16</v>
      </c>
      <c r="M1111">
        <v>-906.34</v>
      </c>
    </row>
    <row r="1112" spans="1:13" x14ac:dyDescent="0.25">
      <c r="A1112">
        <v>2110</v>
      </c>
      <c r="B1112" t="s">
        <v>1150</v>
      </c>
      <c r="C1112" t="s">
        <v>31</v>
      </c>
      <c r="D1112" t="s">
        <v>68</v>
      </c>
      <c r="E1112">
        <v>2</v>
      </c>
      <c r="G1112">
        <f t="shared" si="34"/>
        <v>0</v>
      </c>
      <c r="H1112" s="3">
        <v>1.21</v>
      </c>
      <c r="I1112">
        <f t="shared" si="35"/>
        <v>0</v>
      </c>
      <c r="K1112" t="s">
        <v>22</v>
      </c>
      <c r="L1112" t="s">
        <v>16</v>
      </c>
      <c r="M1112">
        <v>2891.52</v>
      </c>
    </row>
    <row r="1113" spans="1:13" x14ac:dyDescent="0.25">
      <c r="A1113">
        <v>2111</v>
      </c>
      <c r="B1113" t="s">
        <v>1151</v>
      </c>
      <c r="C1113" t="s">
        <v>25</v>
      </c>
      <c r="D1113" t="s">
        <v>82</v>
      </c>
      <c r="E1113">
        <v>2</v>
      </c>
      <c r="F1113">
        <v>1934.02</v>
      </c>
      <c r="G1113">
        <f t="shared" si="34"/>
        <v>3868.04</v>
      </c>
      <c r="I1113">
        <f t="shared" si="35"/>
        <v>3868.04</v>
      </c>
      <c r="J1113" s="1">
        <v>45854</v>
      </c>
      <c r="K1113" t="s">
        <v>15</v>
      </c>
      <c r="L1113" t="s">
        <v>23</v>
      </c>
      <c r="M1113">
        <v>897.11</v>
      </c>
    </row>
    <row r="1114" spans="1:13" x14ac:dyDescent="0.25">
      <c r="A1114">
        <v>2112</v>
      </c>
      <c r="B1114" t="s">
        <v>1152</v>
      </c>
      <c r="C1114" t="s">
        <v>13</v>
      </c>
      <c r="D1114" t="s">
        <v>98</v>
      </c>
      <c r="E1114">
        <v>0</v>
      </c>
      <c r="F1114">
        <v>3248.14</v>
      </c>
      <c r="G1114">
        <f t="shared" si="34"/>
        <v>0</v>
      </c>
      <c r="H1114" s="3">
        <v>0.18</v>
      </c>
      <c r="I1114">
        <f t="shared" si="35"/>
        <v>0</v>
      </c>
      <c r="K1114" t="s">
        <v>44</v>
      </c>
      <c r="L1114" t="s">
        <v>23</v>
      </c>
      <c r="M1114">
        <v>1536.06</v>
      </c>
    </row>
    <row r="1115" spans="1:13" x14ac:dyDescent="0.25">
      <c r="A1115">
        <v>2113</v>
      </c>
      <c r="B1115" t="s">
        <v>1153</v>
      </c>
      <c r="C1115" t="s">
        <v>36</v>
      </c>
      <c r="D1115" t="s">
        <v>37</v>
      </c>
      <c r="E1115">
        <v>2</v>
      </c>
      <c r="G1115">
        <f t="shared" si="34"/>
        <v>0</v>
      </c>
      <c r="I1115">
        <f t="shared" si="35"/>
        <v>0</v>
      </c>
      <c r="K1115" t="s">
        <v>15</v>
      </c>
      <c r="L1115" t="s">
        <v>23</v>
      </c>
      <c r="M1115">
        <v>2500.56</v>
      </c>
    </row>
    <row r="1116" spans="1:13" x14ac:dyDescent="0.25">
      <c r="A1116">
        <v>2114</v>
      </c>
      <c r="B1116" t="s">
        <v>1154</v>
      </c>
      <c r="C1116" t="s">
        <v>36</v>
      </c>
      <c r="D1116" t="s">
        <v>55</v>
      </c>
      <c r="E1116">
        <v>2</v>
      </c>
      <c r="G1116">
        <f t="shared" si="34"/>
        <v>0</v>
      </c>
      <c r="I1116">
        <f t="shared" si="35"/>
        <v>0</v>
      </c>
      <c r="J1116" s="1">
        <v>45719</v>
      </c>
      <c r="K1116" t="s">
        <v>22</v>
      </c>
      <c r="L1116" t="s">
        <v>16</v>
      </c>
      <c r="M1116">
        <v>1393.12</v>
      </c>
    </row>
    <row r="1117" spans="1:13" x14ac:dyDescent="0.25">
      <c r="A1117">
        <v>2115</v>
      </c>
      <c r="B1117" t="s">
        <v>1155</v>
      </c>
      <c r="C1117" t="s">
        <v>13</v>
      </c>
      <c r="D1117" t="s">
        <v>47</v>
      </c>
      <c r="E1117">
        <v>2</v>
      </c>
      <c r="G1117">
        <f t="shared" si="34"/>
        <v>0</v>
      </c>
      <c r="I1117">
        <f t="shared" si="35"/>
        <v>0</v>
      </c>
      <c r="J1117" s="1">
        <v>45710</v>
      </c>
      <c r="K1117" t="s">
        <v>18</v>
      </c>
      <c r="L1117" t="s">
        <v>16</v>
      </c>
      <c r="M1117">
        <v>2100.4</v>
      </c>
    </row>
    <row r="1118" spans="1:13" x14ac:dyDescent="0.25">
      <c r="A1118">
        <v>2116</v>
      </c>
      <c r="B1118" t="s">
        <v>1156</v>
      </c>
      <c r="C1118" t="s">
        <v>28</v>
      </c>
      <c r="D1118" t="s">
        <v>137</v>
      </c>
      <c r="E1118">
        <v>2</v>
      </c>
      <c r="G1118">
        <f t="shared" si="34"/>
        <v>0</v>
      </c>
      <c r="I1118">
        <f t="shared" si="35"/>
        <v>0</v>
      </c>
      <c r="J1118" s="1">
        <v>45550</v>
      </c>
      <c r="K1118" t="s">
        <v>18</v>
      </c>
      <c r="L1118" t="s">
        <v>23</v>
      </c>
      <c r="M1118">
        <v>87.1</v>
      </c>
    </row>
    <row r="1119" spans="1:13" x14ac:dyDescent="0.25">
      <c r="A1119">
        <v>2117</v>
      </c>
      <c r="B1119" t="s">
        <v>1157</v>
      </c>
      <c r="C1119" t="s">
        <v>36</v>
      </c>
      <c r="D1119" t="s">
        <v>55</v>
      </c>
      <c r="E1119">
        <v>2</v>
      </c>
      <c r="F1119">
        <v>4767.37</v>
      </c>
      <c r="G1119">
        <f t="shared" si="34"/>
        <v>9534.74</v>
      </c>
      <c r="I1119">
        <f t="shared" si="35"/>
        <v>9534.74</v>
      </c>
      <c r="J1119" s="1">
        <v>45553</v>
      </c>
      <c r="K1119" t="s">
        <v>15</v>
      </c>
      <c r="L1119" t="s">
        <v>23</v>
      </c>
      <c r="M1119">
        <v>2319.14</v>
      </c>
    </row>
    <row r="1120" spans="1:13" x14ac:dyDescent="0.25">
      <c r="A1120">
        <v>2118</v>
      </c>
      <c r="B1120" t="s">
        <v>576</v>
      </c>
      <c r="C1120" t="s">
        <v>36</v>
      </c>
      <c r="D1120" t="s">
        <v>59</v>
      </c>
      <c r="E1120">
        <v>3</v>
      </c>
      <c r="F1120">
        <v>3952.46</v>
      </c>
      <c r="G1120">
        <f t="shared" si="34"/>
        <v>11857.380000000001</v>
      </c>
      <c r="H1120" s="3">
        <v>0.82</v>
      </c>
      <c r="I1120">
        <f t="shared" si="35"/>
        <v>2134.3284000000008</v>
      </c>
      <c r="J1120" s="1">
        <v>45767</v>
      </c>
      <c r="K1120" t="s">
        <v>38</v>
      </c>
      <c r="L1120" t="s">
        <v>16</v>
      </c>
      <c r="M1120">
        <v>836.99</v>
      </c>
    </row>
    <row r="1121" spans="1:13" x14ac:dyDescent="0.25">
      <c r="A1121">
        <v>2119</v>
      </c>
      <c r="B1121" t="s">
        <v>1158</v>
      </c>
      <c r="C1121" t="s">
        <v>25</v>
      </c>
      <c r="D1121" t="s">
        <v>26</v>
      </c>
      <c r="E1121">
        <v>2</v>
      </c>
      <c r="F1121">
        <v>537.77</v>
      </c>
      <c r="G1121">
        <f t="shared" si="34"/>
        <v>1075.54</v>
      </c>
      <c r="H1121" s="3">
        <v>0.05</v>
      </c>
      <c r="I1121">
        <f t="shared" si="35"/>
        <v>1021.7629999999999</v>
      </c>
      <c r="J1121" s="1">
        <v>45612</v>
      </c>
      <c r="K1121" t="s">
        <v>38</v>
      </c>
      <c r="L1121" t="s">
        <v>16</v>
      </c>
      <c r="M1121">
        <v>2205.16</v>
      </c>
    </row>
    <row r="1122" spans="1:13" x14ac:dyDescent="0.25">
      <c r="A1122">
        <v>2120</v>
      </c>
      <c r="B1122" t="s">
        <v>1159</v>
      </c>
      <c r="C1122" t="s">
        <v>28</v>
      </c>
      <c r="D1122" t="s">
        <v>116</v>
      </c>
      <c r="E1122">
        <v>2</v>
      </c>
      <c r="F1122">
        <v>3321.05</v>
      </c>
      <c r="G1122">
        <f t="shared" si="34"/>
        <v>6642.1</v>
      </c>
      <c r="H1122" s="3">
        <v>1.05</v>
      </c>
      <c r="I1122">
        <f t="shared" si="35"/>
        <v>-332.1050000000003</v>
      </c>
      <c r="J1122" s="1">
        <v>45419</v>
      </c>
      <c r="K1122" t="s">
        <v>2517</v>
      </c>
      <c r="L1122" t="s">
        <v>16</v>
      </c>
      <c r="M1122">
        <v>-196.89</v>
      </c>
    </row>
    <row r="1123" spans="1:13" x14ac:dyDescent="0.25">
      <c r="A1123">
        <v>2121</v>
      </c>
      <c r="B1123" t="s">
        <v>1160</v>
      </c>
      <c r="C1123" t="s">
        <v>13</v>
      </c>
      <c r="D1123" t="s">
        <v>34</v>
      </c>
      <c r="E1123">
        <v>2</v>
      </c>
      <c r="F1123">
        <v>1209.8</v>
      </c>
      <c r="G1123">
        <f t="shared" si="34"/>
        <v>2419.6</v>
      </c>
      <c r="I1123">
        <f t="shared" si="35"/>
        <v>2419.6</v>
      </c>
      <c r="J1123" s="1">
        <v>45363</v>
      </c>
      <c r="K1123" t="s">
        <v>38</v>
      </c>
      <c r="L1123" t="s">
        <v>16</v>
      </c>
      <c r="M1123">
        <v>959.68</v>
      </c>
    </row>
    <row r="1124" spans="1:13" x14ac:dyDescent="0.25">
      <c r="A1124">
        <v>2122</v>
      </c>
      <c r="B1124" t="s">
        <v>1161</v>
      </c>
      <c r="C1124" t="s">
        <v>13</v>
      </c>
      <c r="D1124" t="s">
        <v>47</v>
      </c>
      <c r="E1124">
        <v>0</v>
      </c>
      <c r="G1124">
        <f t="shared" si="34"/>
        <v>0</v>
      </c>
      <c r="H1124" s="3">
        <v>0.17</v>
      </c>
      <c r="I1124">
        <f t="shared" si="35"/>
        <v>0</v>
      </c>
      <c r="K1124" t="s">
        <v>15</v>
      </c>
      <c r="L1124" t="s">
        <v>16</v>
      </c>
      <c r="M1124">
        <v>1823.39</v>
      </c>
    </row>
    <row r="1125" spans="1:13" x14ac:dyDescent="0.25">
      <c r="A1125">
        <v>2123</v>
      </c>
      <c r="B1125" t="s">
        <v>1162</v>
      </c>
      <c r="C1125" t="s">
        <v>20</v>
      </c>
      <c r="D1125" t="s">
        <v>76</v>
      </c>
      <c r="E1125">
        <v>2</v>
      </c>
      <c r="G1125">
        <f t="shared" si="34"/>
        <v>0</v>
      </c>
      <c r="H1125" s="3">
        <v>1.05</v>
      </c>
      <c r="I1125">
        <f t="shared" si="35"/>
        <v>0</v>
      </c>
      <c r="J1125" s="1">
        <v>45708</v>
      </c>
      <c r="K1125" t="s">
        <v>15</v>
      </c>
      <c r="L1125" t="s">
        <v>16</v>
      </c>
      <c r="M1125">
        <v>36.15</v>
      </c>
    </row>
    <row r="1126" spans="1:13" x14ac:dyDescent="0.25">
      <c r="A1126">
        <v>2124</v>
      </c>
      <c r="B1126" t="s">
        <v>1163</v>
      </c>
      <c r="C1126" t="s">
        <v>31</v>
      </c>
      <c r="D1126" t="s">
        <v>78</v>
      </c>
      <c r="E1126">
        <v>2</v>
      </c>
      <c r="F1126">
        <v>3881.17</v>
      </c>
      <c r="G1126">
        <f t="shared" si="34"/>
        <v>7762.34</v>
      </c>
      <c r="I1126">
        <f t="shared" si="35"/>
        <v>7762.34</v>
      </c>
      <c r="J1126" s="1">
        <v>45284</v>
      </c>
      <c r="K1126" t="s">
        <v>22</v>
      </c>
      <c r="L1126" t="s">
        <v>23</v>
      </c>
      <c r="M1126">
        <v>339.88</v>
      </c>
    </row>
    <row r="1127" spans="1:13" x14ac:dyDescent="0.25">
      <c r="A1127">
        <v>2125</v>
      </c>
      <c r="B1127" t="s">
        <v>1164</v>
      </c>
      <c r="C1127" t="s">
        <v>13</v>
      </c>
      <c r="D1127" t="s">
        <v>14</v>
      </c>
      <c r="E1127">
        <v>2</v>
      </c>
      <c r="G1127">
        <f t="shared" si="34"/>
        <v>0</v>
      </c>
      <c r="H1127" s="3">
        <v>0.93</v>
      </c>
      <c r="I1127">
        <f t="shared" si="35"/>
        <v>0</v>
      </c>
      <c r="J1127" s="1">
        <v>45577</v>
      </c>
      <c r="K1127" t="s">
        <v>2517</v>
      </c>
      <c r="L1127" t="s">
        <v>23</v>
      </c>
      <c r="M1127">
        <v>301.27999999999997</v>
      </c>
    </row>
    <row r="1128" spans="1:13" x14ac:dyDescent="0.25">
      <c r="A1128">
        <v>2126</v>
      </c>
      <c r="B1128" t="s">
        <v>1165</v>
      </c>
      <c r="C1128" t="s">
        <v>28</v>
      </c>
      <c r="D1128" t="s">
        <v>40</v>
      </c>
      <c r="E1128">
        <v>2</v>
      </c>
      <c r="F1128">
        <v>820.88</v>
      </c>
      <c r="G1128">
        <f t="shared" si="34"/>
        <v>1641.76</v>
      </c>
      <c r="H1128" s="3">
        <v>0.01</v>
      </c>
      <c r="I1128">
        <f t="shared" si="35"/>
        <v>1625.3424</v>
      </c>
      <c r="K1128" t="s">
        <v>18</v>
      </c>
      <c r="L1128" t="s">
        <v>16</v>
      </c>
      <c r="M1128">
        <v>597.78</v>
      </c>
    </row>
    <row r="1129" spans="1:13" x14ac:dyDescent="0.25">
      <c r="A1129">
        <v>2127</v>
      </c>
      <c r="B1129" t="s">
        <v>1166</v>
      </c>
      <c r="C1129" t="s">
        <v>28</v>
      </c>
      <c r="D1129" t="s">
        <v>40</v>
      </c>
      <c r="E1129">
        <v>6</v>
      </c>
      <c r="G1129">
        <f t="shared" si="34"/>
        <v>0</v>
      </c>
      <c r="H1129" s="3">
        <v>0.94</v>
      </c>
      <c r="I1129">
        <f t="shared" si="35"/>
        <v>0</v>
      </c>
      <c r="K1129" t="s">
        <v>15</v>
      </c>
      <c r="L1129" t="s">
        <v>23</v>
      </c>
      <c r="M1129">
        <v>2427.9499999999998</v>
      </c>
    </row>
    <row r="1130" spans="1:13" x14ac:dyDescent="0.25">
      <c r="A1130">
        <v>2128</v>
      </c>
      <c r="B1130" t="s">
        <v>1167</v>
      </c>
      <c r="C1130" t="s">
        <v>28</v>
      </c>
      <c r="D1130" t="s">
        <v>116</v>
      </c>
      <c r="E1130">
        <v>2</v>
      </c>
      <c r="G1130">
        <f t="shared" si="34"/>
        <v>0</v>
      </c>
      <c r="H1130" s="3">
        <v>0.08</v>
      </c>
      <c r="I1130">
        <f t="shared" si="35"/>
        <v>0</v>
      </c>
      <c r="J1130" s="1">
        <v>45567</v>
      </c>
      <c r="K1130" t="s">
        <v>38</v>
      </c>
      <c r="L1130" t="s">
        <v>16</v>
      </c>
      <c r="M1130">
        <v>-237.66</v>
      </c>
    </row>
    <row r="1131" spans="1:13" x14ac:dyDescent="0.25">
      <c r="A1131">
        <v>1003</v>
      </c>
      <c r="B1131" t="s">
        <v>1168</v>
      </c>
      <c r="C1131" t="s">
        <v>20</v>
      </c>
      <c r="D1131" t="s">
        <v>21</v>
      </c>
      <c r="E1131">
        <v>2</v>
      </c>
      <c r="F1131">
        <v>1685.85</v>
      </c>
      <c r="G1131">
        <f t="shared" si="34"/>
        <v>3371.7</v>
      </c>
      <c r="I1131">
        <f t="shared" si="35"/>
        <v>3371.7</v>
      </c>
      <c r="K1131" t="s">
        <v>2517</v>
      </c>
      <c r="L1131" t="s">
        <v>16</v>
      </c>
      <c r="M1131">
        <v>-298.61</v>
      </c>
    </row>
    <row r="1132" spans="1:13" x14ac:dyDescent="0.25">
      <c r="A1132">
        <v>2130</v>
      </c>
      <c r="B1132" t="s">
        <v>1169</v>
      </c>
      <c r="C1132" t="s">
        <v>20</v>
      </c>
      <c r="D1132" t="s">
        <v>76</v>
      </c>
      <c r="E1132">
        <v>2</v>
      </c>
      <c r="G1132">
        <f t="shared" si="34"/>
        <v>0</v>
      </c>
      <c r="H1132" s="3">
        <v>0.36</v>
      </c>
      <c r="I1132">
        <f t="shared" si="35"/>
        <v>0</v>
      </c>
      <c r="J1132" s="1">
        <v>45810</v>
      </c>
      <c r="K1132" t="s">
        <v>44</v>
      </c>
      <c r="L1132" t="s">
        <v>16</v>
      </c>
      <c r="M1132">
        <v>1132.58</v>
      </c>
    </row>
    <row r="1133" spans="1:13" x14ac:dyDescent="0.25">
      <c r="A1133">
        <v>2131</v>
      </c>
      <c r="B1133" t="s">
        <v>1170</v>
      </c>
      <c r="C1133" t="s">
        <v>25</v>
      </c>
      <c r="D1133" t="s">
        <v>62</v>
      </c>
      <c r="E1133">
        <v>1</v>
      </c>
      <c r="G1133">
        <f t="shared" si="34"/>
        <v>0</v>
      </c>
      <c r="I1133">
        <f t="shared" si="35"/>
        <v>0</v>
      </c>
      <c r="J1133" s="1">
        <v>45819</v>
      </c>
      <c r="K1133" t="s">
        <v>44</v>
      </c>
      <c r="L1133" t="s">
        <v>16</v>
      </c>
      <c r="M1133">
        <v>1004.43</v>
      </c>
    </row>
    <row r="1134" spans="1:13" x14ac:dyDescent="0.25">
      <c r="A1134">
        <v>2132</v>
      </c>
      <c r="B1134" t="s">
        <v>1171</v>
      </c>
      <c r="C1134" t="s">
        <v>13</v>
      </c>
      <c r="D1134" t="s">
        <v>14</v>
      </c>
      <c r="E1134">
        <v>4</v>
      </c>
      <c r="G1134">
        <f t="shared" si="34"/>
        <v>0</v>
      </c>
      <c r="I1134">
        <f t="shared" si="35"/>
        <v>0</v>
      </c>
      <c r="J1134" s="1">
        <v>45729</v>
      </c>
      <c r="K1134" t="s">
        <v>22</v>
      </c>
      <c r="L1134" t="s">
        <v>23</v>
      </c>
      <c r="M1134">
        <v>680.91</v>
      </c>
    </row>
    <row r="1135" spans="1:13" x14ac:dyDescent="0.25">
      <c r="A1135">
        <v>2133</v>
      </c>
      <c r="B1135" t="s">
        <v>1172</v>
      </c>
      <c r="C1135" t="s">
        <v>31</v>
      </c>
      <c r="D1135" t="s">
        <v>68</v>
      </c>
      <c r="E1135">
        <v>5</v>
      </c>
      <c r="G1135">
        <f t="shared" si="34"/>
        <v>0</v>
      </c>
      <c r="I1135">
        <f t="shared" si="35"/>
        <v>0</v>
      </c>
      <c r="K1135" t="s">
        <v>44</v>
      </c>
      <c r="L1135" t="s">
        <v>23</v>
      </c>
      <c r="M1135">
        <v>1700.16</v>
      </c>
    </row>
    <row r="1136" spans="1:13" x14ac:dyDescent="0.25">
      <c r="A1136">
        <v>2134</v>
      </c>
      <c r="B1136" t="s">
        <v>1173</v>
      </c>
      <c r="C1136" t="s">
        <v>28</v>
      </c>
      <c r="D1136" t="s">
        <v>40</v>
      </c>
      <c r="E1136">
        <v>2</v>
      </c>
      <c r="G1136">
        <f t="shared" si="34"/>
        <v>0</v>
      </c>
      <c r="H1136" s="3">
        <v>0.28999999999999998</v>
      </c>
      <c r="I1136">
        <f t="shared" si="35"/>
        <v>0</v>
      </c>
      <c r="J1136" s="1">
        <v>45656</v>
      </c>
      <c r="K1136" t="s">
        <v>38</v>
      </c>
      <c r="L1136" t="s">
        <v>16</v>
      </c>
      <c r="M1136">
        <v>-986.66</v>
      </c>
    </row>
    <row r="1137" spans="1:13" x14ac:dyDescent="0.25">
      <c r="A1137">
        <v>2135</v>
      </c>
      <c r="B1137" t="s">
        <v>1174</v>
      </c>
      <c r="C1137" t="s">
        <v>36</v>
      </c>
      <c r="D1137" t="s">
        <v>37</v>
      </c>
      <c r="E1137">
        <v>2</v>
      </c>
      <c r="F1137">
        <v>857.22</v>
      </c>
      <c r="G1137">
        <f t="shared" si="34"/>
        <v>1714.44</v>
      </c>
      <c r="I1137">
        <f t="shared" si="35"/>
        <v>1714.44</v>
      </c>
      <c r="J1137" s="1">
        <v>45158</v>
      </c>
      <c r="K1137" t="s">
        <v>15</v>
      </c>
      <c r="L1137" t="s">
        <v>23</v>
      </c>
      <c r="M1137">
        <v>-806.63</v>
      </c>
    </row>
    <row r="1138" spans="1:13" x14ac:dyDescent="0.25">
      <c r="A1138">
        <v>2136</v>
      </c>
      <c r="B1138" t="s">
        <v>1175</v>
      </c>
      <c r="C1138" t="s">
        <v>31</v>
      </c>
      <c r="D1138" t="s">
        <v>78</v>
      </c>
      <c r="E1138">
        <v>2</v>
      </c>
      <c r="G1138">
        <f t="shared" si="34"/>
        <v>0</v>
      </c>
      <c r="I1138">
        <f t="shared" si="35"/>
        <v>0</v>
      </c>
      <c r="J1138" s="1">
        <v>45832</v>
      </c>
      <c r="K1138" t="s">
        <v>2517</v>
      </c>
      <c r="L1138" t="s">
        <v>16</v>
      </c>
      <c r="M1138">
        <v>1627.8</v>
      </c>
    </row>
    <row r="1139" spans="1:13" x14ac:dyDescent="0.25">
      <c r="A1139">
        <v>2137</v>
      </c>
      <c r="B1139" t="s">
        <v>1176</v>
      </c>
      <c r="C1139" t="s">
        <v>31</v>
      </c>
      <c r="D1139" t="s">
        <v>68</v>
      </c>
      <c r="E1139">
        <v>2</v>
      </c>
      <c r="G1139">
        <f t="shared" si="34"/>
        <v>0</v>
      </c>
      <c r="H1139" s="3">
        <v>1.01</v>
      </c>
      <c r="I1139">
        <f t="shared" si="35"/>
        <v>0</v>
      </c>
      <c r="J1139" s="1">
        <v>45772</v>
      </c>
      <c r="K1139" t="s">
        <v>44</v>
      </c>
      <c r="L1139" t="s">
        <v>16</v>
      </c>
      <c r="M1139">
        <v>1626.26</v>
      </c>
    </row>
    <row r="1140" spans="1:13" x14ac:dyDescent="0.25">
      <c r="A1140">
        <v>2138</v>
      </c>
      <c r="B1140" t="s">
        <v>1177</v>
      </c>
      <c r="C1140" t="s">
        <v>25</v>
      </c>
      <c r="D1140" t="s">
        <v>82</v>
      </c>
      <c r="E1140">
        <v>-2</v>
      </c>
      <c r="F1140">
        <v>2426.77</v>
      </c>
      <c r="G1140">
        <f t="shared" si="34"/>
        <v>-4853.54</v>
      </c>
      <c r="I1140">
        <f t="shared" si="35"/>
        <v>-4853.54</v>
      </c>
      <c r="K1140" t="s">
        <v>15</v>
      </c>
      <c r="L1140" t="s">
        <v>23</v>
      </c>
      <c r="M1140">
        <v>1446.08</v>
      </c>
    </row>
    <row r="1141" spans="1:13" x14ac:dyDescent="0.25">
      <c r="A1141">
        <v>1028</v>
      </c>
      <c r="B1141" t="s">
        <v>1178</v>
      </c>
      <c r="C1141" t="s">
        <v>28</v>
      </c>
      <c r="D1141" t="s">
        <v>29</v>
      </c>
      <c r="E1141">
        <v>2</v>
      </c>
      <c r="F1141">
        <v>4142.54</v>
      </c>
      <c r="G1141">
        <f t="shared" si="34"/>
        <v>8285.08</v>
      </c>
      <c r="I1141">
        <f t="shared" si="35"/>
        <v>8285.08</v>
      </c>
      <c r="J1141" s="1">
        <v>45722</v>
      </c>
      <c r="K1141" t="s">
        <v>18</v>
      </c>
      <c r="L1141" t="s">
        <v>23</v>
      </c>
      <c r="M1141">
        <v>2453.9899999999998</v>
      </c>
    </row>
    <row r="1142" spans="1:13" x14ac:dyDescent="0.25">
      <c r="A1142">
        <v>2140</v>
      </c>
      <c r="B1142" t="s">
        <v>1179</v>
      </c>
      <c r="C1142" t="s">
        <v>25</v>
      </c>
      <c r="D1142" t="s">
        <v>26</v>
      </c>
      <c r="E1142">
        <v>2</v>
      </c>
      <c r="F1142">
        <v>2191.65</v>
      </c>
      <c r="G1142">
        <f t="shared" si="34"/>
        <v>4383.3</v>
      </c>
      <c r="I1142">
        <f t="shared" si="35"/>
        <v>4383.3</v>
      </c>
      <c r="J1142" s="1">
        <v>45632</v>
      </c>
      <c r="K1142" t="s">
        <v>22</v>
      </c>
      <c r="L1142" t="s">
        <v>16</v>
      </c>
      <c r="M1142">
        <v>2424.2399999999998</v>
      </c>
    </row>
    <row r="1143" spans="1:13" x14ac:dyDescent="0.25">
      <c r="A1143">
        <v>2141</v>
      </c>
      <c r="B1143" t="s">
        <v>1180</v>
      </c>
      <c r="C1143" t="s">
        <v>20</v>
      </c>
      <c r="D1143" t="s">
        <v>118</v>
      </c>
      <c r="E1143">
        <v>2</v>
      </c>
      <c r="F1143">
        <v>1762.28</v>
      </c>
      <c r="G1143">
        <f t="shared" si="34"/>
        <v>3524.56</v>
      </c>
      <c r="I1143">
        <f t="shared" si="35"/>
        <v>3524.56</v>
      </c>
      <c r="J1143" s="1">
        <v>45566</v>
      </c>
      <c r="K1143" t="s">
        <v>15</v>
      </c>
      <c r="L1143" t="s">
        <v>23</v>
      </c>
      <c r="M1143">
        <v>2590.56</v>
      </c>
    </row>
    <row r="1144" spans="1:13" x14ac:dyDescent="0.25">
      <c r="A1144">
        <v>2142</v>
      </c>
      <c r="B1144" t="s">
        <v>1181</v>
      </c>
      <c r="C1144" t="s">
        <v>36</v>
      </c>
      <c r="D1144" t="s">
        <v>59</v>
      </c>
      <c r="E1144">
        <v>0</v>
      </c>
      <c r="G1144">
        <f t="shared" si="34"/>
        <v>0</v>
      </c>
      <c r="I1144">
        <f t="shared" si="35"/>
        <v>0</v>
      </c>
      <c r="J1144" s="1">
        <v>45155</v>
      </c>
      <c r="K1144" t="s">
        <v>38</v>
      </c>
      <c r="L1144" t="s">
        <v>16</v>
      </c>
      <c r="M1144">
        <v>-780.6</v>
      </c>
    </row>
    <row r="1145" spans="1:13" x14ac:dyDescent="0.25">
      <c r="A1145">
        <v>2143</v>
      </c>
      <c r="B1145" t="s">
        <v>1182</v>
      </c>
      <c r="C1145" t="s">
        <v>36</v>
      </c>
      <c r="D1145" t="s">
        <v>59</v>
      </c>
      <c r="E1145">
        <v>3</v>
      </c>
      <c r="F1145">
        <v>662.52</v>
      </c>
      <c r="G1145">
        <f t="shared" si="34"/>
        <v>1987.56</v>
      </c>
      <c r="H1145" s="3">
        <v>0.96</v>
      </c>
      <c r="I1145">
        <f t="shared" si="35"/>
        <v>79.502400000000065</v>
      </c>
      <c r="J1145" s="1">
        <v>45680</v>
      </c>
      <c r="K1145" t="s">
        <v>38</v>
      </c>
      <c r="L1145" t="s">
        <v>23</v>
      </c>
      <c r="M1145">
        <v>2079.0700000000002</v>
      </c>
    </row>
    <row r="1146" spans="1:13" x14ac:dyDescent="0.25">
      <c r="A1146">
        <v>2144</v>
      </c>
      <c r="B1146" t="s">
        <v>1183</v>
      </c>
      <c r="C1146" t="s">
        <v>20</v>
      </c>
      <c r="D1146" t="s">
        <v>76</v>
      </c>
      <c r="E1146">
        <v>-1</v>
      </c>
      <c r="F1146">
        <v>906.82</v>
      </c>
      <c r="G1146">
        <f t="shared" si="34"/>
        <v>-906.82</v>
      </c>
      <c r="H1146" s="3">
        <v>0.92</v>
      </c>
      <c r="I1146">
        <f t="shared" si="35"/>
        <v>-72.545599999999965</v>
      </c>
      <c r="J1146" s="1">
        <v>45661</v>
      </c>
      <c r="K1146" t="s">
        <v>18</v>
      </c>
      <c r="L1146" t="s">
        <v>16</v>
      </c>
      <c r="M1146">
        <v>2348.39</v>
      </c>
    </row>
    <row r="1147" spans="1:13" x14ac:dyDescent="0.25">
      <c r="A1147">
        <v>2145</v>
      </c>
      <c r="B1147" t="s">
        <v>1184</v>
      </c>
      <c r="C1147" t="s">
        <v>31</v>
      </c>
      <c r="D1147" t="s">
        <v>42</v>
      </c>
      <c r="E1147">
        <v>2</v>
      </c>
      <c r="F1147">
        <v>3981.39</v>
      </c>
      <c r="G1147">
        <f t="shared" si="34"/>
        <v>7962.78</v>
      </c>
      <c r="I1147">
        <f t="shared" si="35"/>
        <v>7962.78</v>
      </c>
      <c r="J1147" s="1">
        <v>45611</v>
      </c>
      <c r="K1147" t="s">
        <v>44</v>
      </c>
      <c r="L1147" t="s">
        <v>16</v>
      </c>
      <c r="M1147">
        <v>1764.19</v>
      </c>
    </row>
    <row r="1148" spans="1:13" x14ac:dyDescent="0.25">
      <c r="A1148">
        <v>2146</v>
      </c>
      <c r="B1148" t="s">
        <v>1185</v>
      </c>
      <c r="C1148" t="s">
        <v>28</v>
      </c>
      <c r="D1148" t="s">
        <v>116</v>
      </c>
      <c r="E1148">
        <v>2</v>
      </c>
      <c r="G1148">
        <f t="shared" si="34"/>
        <v>0</v>
      </c>
      <c r="H1148" s="3">
        <v>0.65</v>
      </c>
      <c r="I1148">
        <f t="shared" si="35"/>
        <v>0</v>
      </c>
      <c r="J1148" s="1">
        <v>45624</v>
      </c>
      <c r="K1148" t="s">
        <v>22</v>
      </c>
      <c r="L1148" t="s">
        <v>23</v>
      </c>
      <c r="M1148">
        <v>2062.9699999999998</v>
      </c>
    </row>
    <row r="1149" spans="1:13" x14ac:dyDescent="0.25">
      <c r="A1149">
        <v>2147</v>
      </c>
      <c r="B1149" t="s">
        <v>1186</v>
      </c>
      <c r="C1149" t="s">
        <v>36</v>
      </c>
      <c r="D1149" t="s">
        <v>87</v>
      </c>
      <c r="E1149">
        <v>2</v>
      </c>
      <c r="G1149">
        <f t="shared" si="34"/>
        <v>0</v>
      </c>
      <c r="H1149" s="3">
        <v>0.27</v>
      </c>
      <c r="I1149">
        <f t="shared" si="35"/>
        <v>0</v>
      </c>
      <c r="J1149" s="1">
        <v>45182</v>
      </c>
      <c r="K1149" t="s">
        <v>18</v>
      </c>
      <c r="L1149" t="s">
        <v>16</v>
      </c>
      <c r="M1149">
        <v>2299.86</v>
      </c>
    </row>
    <row r="1150" spans="1:13" x14ac:dyDescent="0.25">
      <c r="A1150">
        <v>2148</v>
      </c>
      <c r="B1150" t="s">
        <v>1187</v>
      </c>
      <c r="C1150" t="s">
        <v>31</v>
      </c>
      <c r="D1150" t="s">
        <v>42</v>
      </c>
      <c r="E1150">
        <v>2</v>
      </c>
      <c r="G1150">
        <f t="shared" si="34"/>
        <v>0</v>
      </c>
      <c r="I1150">
        <f t="shared" si="35"/>
        <v>0</v>
      </c>
      <c r="K1150" t="s">
        <v>2517</v>
      </c>
      <c r="L1150" t="s">
        <v>16</v>
      </c>
      <c r="M1150">
        <v>-771.3</v>
      </c>
    </row>
    <row r="1151" spans="1:13" x14ac:dyDescent="0.25">
      <c r="A1151">
        <v>2149</v>
      </c>
      <c r="B1151" t="s">
        <v>1188</v>
      </c>
      <c r="C1151" t="s">
        <v>20</v>
      </c>
      <c r="D1151" t="s">
        <v>118</v>
      </c>
      <c r="E1151">
        <v>2</v>
      </c>
      <c r="F1151">
        <v>2865.62</v>
      </c>
      <c r="G1151">
        <f t="shared" si="34"/>
        <v>5731.24</v>
      </c>
      <c r="H1151" s="3">
        <v>0.8</v>
      </c>
      <c r="I1151">
        <f t="shared" si="35"/>
        <v>1146.2479999999996</v>
      </c>
      <c r="J1151" s="1">
        <v>45612</v>
      </c>
      <c r="K1151" t="s">
        <v>18</v>
      </c>
      <c r="L1151" t="s">
        <v>23</v>
      </c>
      <c r="M1151">
        <v>-660.8</v>
      </c>
    </row>
    <row r="1152" spans="1:13" x14ac:dyDescent="0.25">
      <c r="A1152">
        <v>1033</v>
      </c>
      <c r="B1152" t="s">
        <v>1189</v>
      </c>
      <c r="C1152" t="s">
        <v>31</v>
      </c>
      <c r="D1152" t="s">
        <v>32</v>
      </c>
      <c r="E1152">
        <v>2</v>
      </c>
      <c r="G1152">
        <f t="shared" si="34"/>
        <v>0</v>
      </c>
      <c r="I1152">
        <f t="shared" si="35"/>
        <v>0</v>
      </c>
      <c r="J1152" s="1">
        <v>45565</v>
      </c>
      <c r="K1152" t="s">
        <v>15</v>
      </c>
      <c r="L1152" t="s">
        <v>16</v>
      </c>
      <c r="M1152">
        <v>-299.77999999999997</v>
      </c>
    </row>
    <row r="1153" spans="1:13" x14ac:dyDescent="0.25">
      <c r="A1153">
        <v>2151</v>
      </c>
      <c r="B1153" t="s">
        <v>1190</v>
      </c>
      <c r="C1153" t="s">
        <v>36</v>
      </c>
      <c r="D1153" t="s">
        <v>55</v>
      </c>
      <c r="E1153">
        <v>2</v>
      </c>
      <c r="F1153">
        <v>927.64</v>
      </c>
      <c r="G1153">
        <f t="shared" si="34"/>
        <v>1855.28</v>
      </c>
      <c r="I1153">
        <f t="shared" si="35"/>
        <v>1855.28</v>
      </c>
      <c r="J1153" s="1">
        <v>45512</v>
      </c>
      <c r="K1153" t="s">
        <v>44</v>
      </c>
      <c r="L1153" t="s">
        <v>16</v>
      </c>
      <c r="M1153">
        <v>-742.69</v>
      </c>
    </row>
    <row r="1154" spans="1:13" x14ac:dyDescent="0.25">
      <c r="A1154">
        <v>2152</v>
      </c>
      <c r="B1154" t="s">
        <v>1191</v>
      </c>
      <c r="C1154" t="s">
        <v>25</v>
      </c>
      <c r="D1154" t="s">
        <v>26</v>
      </c>
      <c r="E1154">
        <v>0</v>
      </c>
      <c r="G1154">
        <f t="shared" si="34"/>
        <v>0</v>
      </c>
      <c r="I1154">
        <f t="shared" si="35"/>
        <v>0</v>
      </c>
      <c r="K1154" t="s">
        <v>18</v>
      </c>
      <c r="L1154" t="s">
        <v>23</v>
      </c>
      <c r="M1154">
        <v>-865.58</v>
      </c>
    </row>
    <row r="1155" spans="1:13" x14ac:dyDescent="0.25">
      <c r="A1155">
        <v>2153</v>
      </c>
      <c r="B1155" t="s">
        <v>688</v>
      </c>
      <c r="C1155" t="s">
        <v>20</v>
      </c>
      <c r="D1155" t="s">
        <v>118</v>
      </c>
      <c r="E1155">
        <v>0</v>
      </c>
      <c r="F1155">
        <v>3131.57</v>
      </c>
      <c r="G1155">
        <f t="shared" ref="G1155:G1218" si="36">F1155*E1155</f>
        <v>0</v>
      </c>
      <c r="I1155">
        <f t="shared" ref="I1155:I1218" si="37">G1155*(1-H1155)</f>
        <v>0</v>
      </c>
      <c r="J1155" s="1">
        <v>45614</v>
      </c>
      <c r="K1155" t="s">
        <v>18</v>
      </c>
      <c r="L1155" t="s">
        <v>16</v>
      </c>
      <c r="M1155">
        <v>517.22</v>
      </c>
    </row>
    <row r="1156" spans="1:13" x14ac:dyDescent="0.25">
      <c r="A1156">
        <v>2154</v>
      </c>
      <c r="B1156" t="s">
        <v>1192</v>
      </c>
      <c r="C1156" t="s">
        <v>28</v>
      </c>
      <c r="D1156" t="s">
        <v>29</v>
      </c>
      <c r="E1156">
        <v>2</v>
      </c>
      <c r="G1156">
        <f t="shared" si="36"/>
        <v>0</v>
      </c>
      <c r="I1156">
        <f t="shared" si="37"/>
        <v>0</v>
      </c>
      <c r="J1156" s="1">
        <v>45793</v>
      </c>
      <c r="K1156" t="s">
        <v>44</v>
      </c>
      <c r="L1156" t="s">
        <v>23</v>
      </c>
      <c r="M1156">
        <v>2141.81</v>
      </c>
    </row>
    <row r="1157" spans="1:13" x14ac:dyDescent="0.25">
      <c r="A1157">
        <v>2155</v>
      </c>
      <c r="B1157" t="s">
        <v>1193</v>
      </c>
      <c r="C1157" t="s">
        <v>31</v>
      </c>
      <c r="D1157" t="s">
        <v>78</v>
      </c>
      <c r="E1157">
        <v>-2</v>
      </c>
      <c r="G1157">
        <f t="shared" si="36"/>
        <v>0</v>
      </c>
      <c r="I1157">
        <f t="shared" si="37"/>
        <v>0</v>
      </c>
      <c r="J1157" s="1">
        <v>45691</v>
      </c>
      <c r="K1157" t="s">
        <v>38</v>
      </c>
      <c r="L1157" t="s">
        <v>16</v>
      </c>
      <c r="M1157">
        <v>-972.74</v>
      </c>
    </row>
    <row r="1158" spans="1:13" x14ac:dyDescent="0.25">
      <c r="A1158">
        <v>2156</v>
      </c>
      <c r="B1158" t="s">
        <v>1194</v>
      </c>
      <c r="C1158" t="s">
        <v>25</v>
      </c>
      <c r="D1158" t="s">
        <v>62</v>
      </c>
      <c r="E1158">
        <v>2</v>
      </c>
      <c r="G1158">
        <f t="shared" si="36"/>
        <v>0</v>
      </c>
      <c r="I1158">
        <f t="shared" si="37"/>
        <v>0</v>
      </c>
      <c r="K1158" t="s">
        <v>18</v>
      </c>
      <c r="L1158" t="s">
        <v>16</v>
      </c>
      <c r="M1158">
        <v>1648.67</v>
      </c>
    </row>
    <row r="1159" spans="1:13" x14ac:dyDescent="0.25">
      <c r="A1159">
        <v>2157</v>
      </c>
      <c r="B1159" t="s">
        <v>1195</v>
      </c>
      <c r="C1159" t="s">
        <v>25</v>
      </c>
      <c r="D1159" t="s">
        <v>51</v>
      </c>
      <c r="E1159">
        <v>2</v>
      </c>
      <c r="F1159">
        <v>2830.24</v>
      </c>
      <c r="G1159">
        <f t="shared" si="36"/>
        <v>5660.48</v>
      </c>
      <c r="H1159" s="3">
        <v>0.97</v>
      </c>
      <c r="I1159">
        <f t="shared" si="37"/>
        <v>169.81440000000015</v>
      </c>
      <c r="K1159" t="s">
        <v>22</v>
      </c>
      <c r="L1159" t="s">
        <v>23</v>
      </c>
      <c r="M1159">
        <v>2612.9699999999998</v>
      </c>
    </row>
    <row r="1160" spans="1:13" x14ac:dyDescent="0.25">
      <c r="A1160">
        <v>2158</v>
      </c>
      <c r="B1160" t="s">
        <v>1196</v>
      </c>
      <c r="C1160" t="s">
        <v>25</v>
      </c>
      <c r="D1160" t="s">
        <v>51</v>
      </c>
      <c r="E1160">
        <v>2</v>
      </c>
      <c r="F1160">
        <v>3270.68</v>
      </c>
      <c r="G1160">
        <f t="shared" si="36"/>
        <v>6541.36</v>
      </c>
      <c r="I1160">
        <f t="shared" si="37"/>
        <v>6541.36</v>
      </c>
      <c r="K1160" t="s">
        <v>22</v>
      </c>
      <c r="L1160" t="s">
        <v>16</v>
      </c>
      <c r="M1160">
        <v>-437.06</v>
      </c>
    </row>
    <row r="1161" spans="1:13" x14ac:dyDescent="0.25">
      <c r="A1161">
        <v>2159</v>
      </c>
      <c r="B1161" t="s">
        <v>1197</v>
      </c>
      <c r="C1161" t="s">
        <v>36</v>
      </c>
      <c r="D1161" t="s">
        <v>37</v>
      </c>
      <c r="E1161">
        <v>2</v>
      </c>
      <c r="G1161">
        <f t="shared" si="36"/>
        <v>0</v>
      </c>
      <c r="I1161">
        <f t="shared" si="37"/>
        <v>0</v>
      </c>
      <c r="J1161" s="1">
        <v>45639</v>
      </c>
      <c r="K1161" t="s">
        <v>22</v>
      </c>
      <c r="L1161" t="s">
        <v>23</v>
      </c>
      <c r="M1161">
        <v>-420.95</v>
      </c>
    </row>
    <row r="1162" spans="1:13" x14ac:dyDescent="0.25">
      <c r="A1162">
        <v>2160</v>
      </c>
      <c r="B1162" t="s">
        <v>1198</v>
      </c>
      <c r="C1162" t="s">
        <v>25</v>
      </c>
      <c r="D1162" t="s">
        <v>82</v>
      </c>
      <c r="E1162">
        <v>2</v>
      </c>
      <c r="F1162">
        <v>2119.66</v>
      </c>
      <c r="G1162">
        <f t="shared" si="36"/>
        <v>4239.32</v>
      </c>
      <c r="I1162">
        <f t="shared" si="37"/>
        <v>4239.32</v>
      </c>
      <c r="J1162" s="1">
        <v>45598</v>
      </c>
      <c r="K1162" t="s">
        <v>44</v>
      </c>
      <c r="L1162" t="s">
        <v>16</v>
      </c>
      <c r="M1162">
        <v>-203.89</v>
      </c>
    </row>
    <row r="1163" spans="1:13" x14ac:dyDescent="0.25">
      <c r="A1163">
        <v>2161</v>
      </c>
      <c r="B1163" t="s">
        <v>1199</v>
      </c>
      <c r="C1163" t="s">
        <v>28</v>
      </c>
      <c r="D1163" t="s">
        <v>116</v>
      </c>
      <c r="E1163">
        <v>2</v>
      </c>
      <c r="F1163">
        <v>4376.41</v>
      </c>
      <c r="G1163">
        <f t="shared" si="36"/>
        <v>8752.82</v>
      </c>
      <c r="I1163">
        <f t="shared" si="37"/>
        <v>8752.82</v>
      </c>
      <c r="J1163" s="1">
        <v>45754</v>
      </c>
      <c r="K1163" t="s">
        <v>22</v>
      </c>
      <c r="L1163" t="s">
        <v>16</v>
      </c>
      <c r="M1163">
        <v>1713.03</v>
      </c>
    </row>
    <row r="1164" spans="1:13" x14ac:dyDescent="0.25">
      <c r="A1164">
        <v>2162</v>
      </c>
      <c r="B1164" t="s">
        <v>1200</v>
      </c>
      <c r="C1164" t="s">
        <v>28</v>
      </c>
      <c r="D1164" t="s">
        <v>116</v>
      </c>
      <c r="E1164">
        <v>1</v>
      </c>
      <c r="G1164">
        <f t="shared" si="36"/>
        <v>0</v>
      </c>
      <c r="H1164" s="3">
        <v>0.71</v>
      </c>
      <c r="I1164">
        <f t="shared" si="37"/>
        <v>0</v>
      </c>
      <c r="J1164" s="1">
        <v>45832</v>
      </c>
      <c r="K1164" t="s">
        <v>18</v>
      </c>
      <c r="L1164" t="s">
        <v>16</v>
      </c>
      <c r="M1164">
        <v>54.58</v>
      </c>
    </row>
    <row r="1165" spans="1:13" x14ac:dyDescent="0.25">
      <c r="A1165">
        <v>2163</v>
      </c>
      <c r="B1165" t="s">
        <v>1201</v>
      </c>
      <c r="C1165" t="s">
        <v>36</v>
      </c>
      <c r="D1165" t="s">
        <v>55</v>
      </c>
      <c r="E1165">
        <v>2</v>
      </c>
      <c r="G1165">
        <f t="shared" si="36"/>
        <v>0</v>
      </c>
      <c r="I1165">
        <f t="shared" si="37"/>
        <v>0</v>
      </c>
      <c r="J1165" s="1">
        <v>45559</v>
      </c>
      <c r="K1165" t="s">
        <v>22</v>
      </c>
      <c r="L1165" t="s">
        <v>16</v>
      </c>
      <c r="M1165">
        <v>1205.3800000000001</v>
      </c>
    </row>
    <row r="1166" spans="1:13" x14ac:dyDescent="0.25">
      <c r="A1166">
        <v>2164</v>
      </c>
      <c r="B1166" t="s">
        <v>1202</v>
      </c>
      <c r="C1166" t="s">
        <v>20</v>
      </c>
      <c r="D1166" t="s">
        <v>21</v>
      </c>
      <c r="E1166">
        <v>2</v>
      </c>
      <c r="F1166">
        <v>1498.8</v>
      </c>
      <c r="G1166">
        <f t="shared" si="36"/>
        <v>2997.6</v>
      </c>
      <c r="I1166">
        <f t="shared" si="37"/>
        <v>2997.6</v>
      </c>
      <c r="J1166" s="1">
        <v>45516</v>
      </c>
      <c r="K1166" t="s">
        <v>15</v>
      </c>
      <c r="L1166" t="s">
        <v>23</v>
      </c>
      <c r="M1166">
        <v>-548.47</v>
      </c>
    </row>
    <row r="1167" spans="1:13" x14ac:dyDescent="0.25">
      <c r="A1167">
        <v>2165</v>
      </c>
      <c r="B1167" t="s">
        <v>1203</v>
      </c>
      <c r="C1167" t="s">
        <v>25</v>
      </c>
      <c r="D1167" t="s">
        <v>62</v>
      </c>
      <c r="E1167">
        <v>2</v>
      </c>
      <c r="G1167">
        <f t="shared" si="36"/>
        <v>0</v>
      </c>
      <c r="I1167">
        <f t="shared" si="37"/>
        <v>0</v>
      </c>
      <c r="J1167" s="1">
        <v>45678</v>
      </c>
      <c r="K1167" t="s">
        <v>44</v>
      </c>
      <c r="L1167" t="s">
        <v>23</v>
      </c>
      <c r="M1167">
        <v>-609.52</v>
      </c>
    </row>
    <row r="1168" spans="1:13" x14ac:dyDescent="0.25">
      <c r="A1168">
        <v>2166</v>
      </c>
      <c r="B1168" t="s">
        <v>1204</v>
      </c>
      <c r="C1168" t="s">
        <v>20</v>
      </c>
      <c r="D1168" t="s">
        <v>118</v>
      </c>
      <c r="E1168">
        <v>2</v>
      </c>
      <c r="G1168">
        <f t="shared" si="36"/>
        <v>0</v>
      </c>
      <c r="H1168" s="3">
        <v>1.08</v>
      </c>
      <c r="I1168">
        <f t="shared" si="37"/>
        <v>0</v>
      </c>
      <c r="K1168" t="s">
        <v>22</v>
      </c>
      <c r="L1168" t="s">
        <v>16</v>
      </c>
      <c r="M1168">
        <v>-845.69</v>
      </c>
    </row>
    <row r="1169" spans="1:13" x14ac:dyDescent="0.25">
      <c r="A1169">
        <v>2167</v>
      </c>
      <c r="B1169" t="s">
        <v>1205</v>
      </c>
      <c r="C1169" t="s">
        <v>36</v>
      </c>
      <c r="D1169" t="s">
        <v>37</v>
      </c>
      <c r="E1169">
        <v>2</v>
      </c>
      <c r="G1169">
        <f t="shared" si="36"/>
        <v>0</v>
      </c>
      <c r="H1169" s="3">
        <v>1.1200000000000001</v>
      </c>
      <c r="I1169">
        <f t="shared" si="37"/>
        <v>0</v>
      </c>
      <c r="K1169" t="s">
        <v>22</v>
      </c>
      <c r="L1169" t="s">
        <v>16</v>
      </c>
      <c r="M1169">
        <v>-258.89</v>
      </c>
    </row>
    <row r="1170" spans="1:13" x14ac:dyDescent="0.25">
      <c r="A1170">
        <v>2168</v>
      </c>
      <c r="B1170" t="s">
        <v>1206</v>
      </c>
      <c r="C1170" t="s">
        <v>28</v>
      </c>
      <c r="D1170" t="s">
        <v>137</v>
      </c>
      <c r="E1170">
        <v>-1</v>
      </c>
      <c r="F1170">
        <v>4446.09</v>
      </c>
      <c r="G1170">
        <f t="shared" si="36"/>
        <v>-4446.09</v>
      </c>
      <c r="H1170" s="3">
        <v>0.47</v>
      </c>
      <c r="I1170">
        <f t="shared" si="37"/>
        <v>-2356.4277000000002</v>
      </c>
      <c r="K1170" t="s">
        <v>18</v>
      </c>
      <c r="L1170" t="s">
        <v>23</v>
      </c>
      <c r="M1170">
        <v>784.1</v>
      </c>
    </row>
    <row r="1171" spans="1:13" x14ac:dyDescent="0.25">
      <c r="A1171">
        <v>2169</v>
      </c>
      <c r="B1171" t="s">
        <v>1207</v>
      </c>
      <c r="C1171" t="s">
        <v>13</v>
      </c>
      <c r="D1171" t="s">
        <v>47</v>
      </c>
      <c r="E1171">
        <v>2</v>
      </c>
      <c r="G1171">
        <f t="shared" si="36"/>
        <v>0</v>
      </c>
      <c r="I1171">
        <f t="shared" si="37"/>
        <v>0</v>
      </c>
      <c r="J1171" s="1">
        <v>45587</v>
      </c>
      <c r="K1171" t="s">
        <v>18</v>
      </c>
      <c r="L1171" t="s">
        <v>16</v>
      </c>
      <c r="M1171">
        <v>1870.24</v>
      </c>
    </row>
    <row r="1172" spans="1:13" x14ac:dyDescent="0.25">
      <c r="A1172">
        <v>2170</v>
      </c>
      <c r="B1172" t="s">
        <v>1208</v>
      </c>
      <c r="C1172" t="s">
        <v>28</v>
      </c>
      <c r="D1172" t="s">
        <v>29</v>
      </c>
      <c r="E1172">
        <v>2</v>
      </c>
      <c r="F1172">
        <v>826.11</v>
      </c>
      <c r="G1172">
        <f t="shared" si="36"/>
        <v>1652.22</v>
      </c>
      <c r="H1172" s="3">
        <v>0.99</v>
      </c>
      <c r="I1172">
        <f t="shared" si="37"/>
        <v>16.522200000000016</v>
      </c>
      <c r="K1172" t="s">
        <v>15</v>
      </c>
      <c r="L1172" t="s">
        <v>23</v>
      </c>
      <c r="M1172">
        <v>2666.62</v>
      </c>
    </row>
    <row r="1173" spans="1:13" x14ac:dyDescent="0.25">
      <c r="A1173">
        <v>2171</v>
      </c>
      <c r="B1173" t="s">
        <v>1209</v>
      </c>
      <c r="C1173" t="s">
        <v>31</v>
      </c>
      <c r="D1173" t="s">
        <v>68</v>
      </c>
      <c r="E1173">
        <v>2</v>
      </c>
      <c r="F1173">
        <v>630.28</v>
      </c>
      <c r="G1173">
        <f t="shared" si="36"/>
        <v>1260.56</v>
      </c>
      <c r="I1173">
        <f t="shared" si="37"/>
        <v>1260.56</v>
      </c>
      <c r="J1173" s="1">
        <v>45860</v>
      </c>
      <c r="K1173" t="s">
        <v>15</v>
      </c>
      <c r="L1173" t="s">
        <v>23</v>
      </c>
      <c r="M1173">
        <v>2988.11</v>
      </c>
    </row>
    <row r="1174" spans="1:13" x14ac:dyDescent="0.25">
      <c r="A1174">
        <v>2172</v>
      </c>
      <c r="B1174" t="s">
        <v>1210</v>
      </c>
      <c r="C1174" t="s">
        <v>31</v>
      </c>
      <c r="D1174" t="s">
        <v>68</v>
      </c>
      <c r="E1174">
        <v>-1</v>
      </c>
      <c r="G1174">
        <f t="shared" si="36"/>
        <v>0</v>
      </c>
      <c r="H1174" s="3">
        <v>1.08</v>
      </c>
      <c r="I1174">
        <f t="shared" si="37"/>
        <v>0</v>
      </c>
      <c r="K1174" t="s">
        <v>15</v>
      </c>
      <c r="L1174" t="s">
        <v>16</v>
      </c>
      <c r="M1174">
        <v>2497.36</v>
      </c>
    </row>
    <row r="1175" spans="1:13" x14ac:dyDescent="0.25">
      <c r="A1175">
        <v>2173</v>
      </c>
      <c r="B1175" t="s">
        <v>1211</v>
      </c>
      <c r="C1175" t="s">
        <v>25</v>
      </c>
      <c r="D1175" t="s">
        <v>26</v>
      </c>
      <c r="E1175">
        <v>2</v>
      </c>
      <c r="F1175">
        <v>2679.07</v>
      </c>
      <c r="G1175">
        <f t="shared" si="36"/>
        <v>5358.14</v>
      </c>
      <c r="I1175">
        <f t="shared" si="37"/>
        <v>5358.14</v>
      </c>
      <c r="K1175" t="s">
        <v>22</v>
      </c>
      <c r="L1175" t="s">
        <v>16</v>
      </c>
      <c r="M1175">
        <v>2156.1</v>
      </c>
    </row>
    <row r="1176" spans="1:13" x14ac:dyDescent="0.25">
      <c r="A1176">
        <v>2174</v>
      </c>
      <c r="B1176" t="s">
        <v>1212</v>
      </c>
      <c r="C1176" t="s">
        <v>28</v>
      </c>
      <c r="D1176" t="s">
        <v>29</v>
      </c>
      <c r="E1176">
        <v>0</v>
      </c>
      <c r="F1176">
        <v>810.62</v>
      </c>
      <c r="G1176">
        <f t="shared" si="36"/>
        <v>0</v>
      </c>
      <c r="I1176">
        <f t="shared" si="37"/>
        <v>0</v>
      </c>
      <c r="J1176" s="1">
        <v>45649</v>
      </c>
      <c r="K1176" t="s">
        <v>38</v>
      </c>
      <c r="L1176" t="s">
        <v>16</v>
      </c>
      <c r="M1176">
        <v>-69.8</v>
      </c>
    </row>
    <row r="1177" spans="1:13" x14ac:dyDescent="0.25">
      <c r="A1177">
        <v>2175</v>
      </c>
      <c r="B1177" t="s">
        <v>1213</v>
      </c>
      <c r="C1177" t="s">
        <v>25</v>
      </c>
      <c r="D1177" t="s">
        <v>26</v>
      </c>
      <c r="E1177">
        <v>2</v>
      </c>
      <c r="G1177">
        <f t="shared" si="36"/>
        <v>0</v>
      </c>
      <c r="I1177">
        <f t="shared" si="37"/>
        <v>0</v>
      </c>
      <c r="J1177" s="1">
        <v>45171</v>
      </c>
      <c r="K1177" t="s">
        <v>2517</v>
      </c>
      <c r="L1177" t="s">
        <v>16</v>
      </c>
      <c r="M1177">
        <v>1022.04</v>
      </c>
    </row>
    <row r="1178" spans="1:13" x14ac:dyDescent="0.25">
      <c r="A1178">
        <v>2176</v>
      </c>
      <c r="B1178" t="s">
        <v>1214</v>
      </c>
      <c r="C1178" t="s">
        <v>20</v>
      </c>
      <c r="D1178" t="s">
        <v>21</v>
      </c>
      <c r="E1178">
        <v>6</v>
      </c>
      <c r="F1178">
        <v>4954.67</v>
      </c>
      <c r="G1178">
        <f t="shared" si="36"/>
        <v>29728.02</v>
      </c>
      <c r="I1178">
        <f t="shared" si="37"/>
        <v>29728.02</v>
      </c>
      <c r="J1178" s="1">
        <v>45852</v>
      </c>
      <c r="K1178" t="s">
        <v>2517</v>
      </c>
      <c r="L1178" t="s">
        <v>16</v>
      </c>
      <c r="M1178">
        <v>2176.54</v>
      </c>
    </row>
    <row r="1179" spans="1:13" x14ac:dyDescent="0.25">
      <c r="A1179">
        <v>2177</v>
      </c>
      <c r="B1179" t="s">
        <v>1215</v>
      </c>
      <c r="C1179" t="s">
        <v>25</v>
      </c>
      <c r="D1179" t="s">
        <v>82</v>
      </c>
      <c r="E1179">
        <v>3</v>
      </c>
      <c r="G1179">
        <f t="shared" si="36"/>
        <v>0</v>
      </c>
      <c r="I1179">
        <f t="shared" si="37"/>
        <v>0</v>
      </c>
      <c r="J1179" s="1">
        <v>45672</v>
      </c>
      <c r="K1179" t="s">
        <v>18</v>
      </c>
      <c r="L1179" t="s">
        <v>23</v>
      </c>
      <c r="M1179">
        <v>-723.01</v>
      </c>
    </row>
    <row r="1180" spans="1:13" x14ac:dyDescent="0.25">
      <c r="A1180">
        <v>2178</v>
      </c>
      <c r="B1180" t="s">
        <v>1216</v>
      </c>
      <c r="C1180" t="s">
        <v>25</v>
      </c>
      <c r="D1180" t="s">
        <v>51</v>
      </c>
      <c r="E1180">
        <v>0</v>
      </c>
      <c r="G1180">
        <f t="shared" si="36"/>
        <v>0</v>
      </c>
      <c r="H1180" s="3">
        <v>0.89</v>
      </c>
      <c r="I1180">
        <f t="shared" si="37"/>
        <v>0</v>
      </c>
      <c r="K1180" t="s">
        <v>38</v>
      </c>
      <c r="L1180" t="s">
        <v>16</v>
      </c>
      <c r="M1180">
        <v>2438.98</v>
      </c>
    </row>
    <row r="1181" spans="1:13" x14ac:dyDescent="0.25">
      <c r="A1181">
        <v>2179</v>
      </c>
      <c r="B1181" t="s">
        <v>1217</v>
      </c>
      <c r="C1181" t="s">
        <v>28</v>
      </c>
      <c r="D1181" t="s">
        <v>29</v>
      </c>
      <c r="E1181">
        <v>2</v>
      </c>
      <c r="F1181">
        <v>466.37</v>
      </c>
      <c r="G1181">
        <f t="shared" si="36"/>
        <v>932.74</v>
      </c>
      <c r="I1181">
        <f t="shared" si="37"/>
        <v>932.74</v>
      </c>
      <c r="K1181" t="s">
        <v>2517</v>
      </c>
      <c r="L1181" t="s">
        <v>16</v>
      </c>
      <c r="M1181">
        <v>2807.92</v>
      </c>
    </row>
    <row r="1182" spans="1:13" x14ac:dyDescent="0.25">
      <c r="A1182">
        <v>2180</v>
      </c>
      <c r="B1182" t="s">
        <v>1218</v>
      </c>
      <c r="C1182" t="s">
        <v>25</v>
      </c>
      <c r="D1182" t="s">
        <v>26</v>
      </c>
      <c r="E1182">
        <v>6</v>
      </c>
      <c r="G1182">
        <f t="shared" si="36"/>
        <v>0</v>
      </c>
      <c r="H1182" s="3">
        <v>1.06</v>
      </c>
      <c r="I1182">
        <f t="shared" si="37"/>
        <v>0</v>
      </c>
      <c r="J1182" s="1">
        <v>45694</v>
      </c>
      <c r="K1182" t="s">
        <v>15</v>
      </c>
      <c r="L1182" t="s">
        <v>16</v>
      </c>
      <c r="M1182">
        <v>28.77</v>
      </c>
    </row>
    <row r="1183" spans="1:13" x14ac:dyDescent="0.25">
      <c r="A1183">
        <v>2181</v>
      </c>
      <c r="B1183" t="s">
        <v>1219</v>
      </c>
      <c r="C1183" t="s">
        <v>31</v>
      </c>
      <c r="D1183" t="s">
        <v>78</v>
      </c>
      <c r="E1183">
        <v>0</v>
      </c>
      <c r="G1183">
        <f t="shared" si="36"/>
        <v>0</v>
      </c>
      <c r="I1183">
        <f t="shared" si="37"/>
        <v>0</v>
      </c>
      <c r="J1183" s="1">
        <v>45679</v>
      </c>
      <c r="K1183" t="s">
        <v>22</v>
      </c>
      <c r="L1183" t="s">
        <v>23</v>
      </c>
      <c r="M1183">
        <v>-24.93</v>
      </c>
    </row>
    <row r="1184" spans="1:13" x14ac:dyDescent="0.25">
      <c r="A1184">
        <v>2182</v>
      </c>
      <c r="B1184" t="s">
        <v>1220</v>
      </c>
      <c r="C1184" t="s">
        <v>28</v>
      </c>
      <c r="D1184" t="s">
        <v>137</v>
      </c>
      <c r="E1184">
        <v>2</v>
      </c>
      <c r="G1184">
        <f t="shared" si="36"/>
        <v>0</v>
      </c>
      <c r="H1184" s="3">
        <v>0.53</v>
      </c>
      <c r="I1184">
        <f t="shared" si="37"/>
        <v>0</v>
      </c>
      <c r="J1184" s="1">
        <v>45831</v>
      </c>
      <c r="K1184" t="s">
        <v>2517</v>
      </c>
      <c r="L1184" t="s">
        <v>23</v>
      </c>
      <c r="M1184">
        <v>2192.44</v>
      </c>
    </row>
    <row r="1185" spans="1:13" x14ac:dyDescent="0.25">
      <c r="A1185">
        <v>2183</v>
      </c>
      <c r="B1185" t="s">
        <v>1221</v>
      </c>
      <c r="C1185" t="s">
        <v>13</v>
      </c>
      <c r="D1185" t="s">
        <v>34</v>
      </c>
      <c r="E1185">
        <v>-2</v>
      </c>
      <c r="F1185">
        <v>1332.39</v>
      </c>
      <c r="G1185">
        <f t="shared" si="36"/>
        <v>-2664.78</v>
      </c>
      <c r="H1185" s="3">
        <v>1.0900000000000001</v>
      </c>
      <c r="I1185">
        <f t="shared" si="37"/>
        <v>239.83020000000022</v>
      </c>
      <c r="J1185" s="1">
        <v>45433</v>
      </c>
      <c r="K1185" t="s">
        <v>38</v>
      </c>
      <c r="L1185" t="s">
        <v>16</v>
      </c>
      <c r="M1185">
        <v>707.79</v>
      </c>
    </row>
    <row r="1186" spans="1:13" x14ac:dyDescent="0.25">
      <c r="A1186">
        <v>2184</v>
      </c>
      <c r="B1186" t="s">
        <v>1222</v>
      </c>
      <c r="C1186" t="s">
        <v>25</v>
      </c>
      <c r="D1186" t="s">
        <v>51</v>
      </c>
      <c r="E1186">
        <v>2</v>
      </c>
      <c r="F1186">
        <v>1001.57</v>
      </c>
      <c r="G1186">
        <f t="shared" si="36"/>
        <v>2003.14</v>
      </c>
      <c r="I1186">
        <f t="shared" si="37"/>
        <v>2003.14</v>
      </c>
      <c r="J1186" s="1">
        <v>45846</v>
      </c>
      <c r="K1186" t="s">
        <v>2517</v>
      </c>
      <c r="L1186" t="s">
        <v>16</v>
      </c>
      <c r="M1186">
        <v>2285.61</v>
      </c>
    </row>
    <row r="1187" spans="1:13" x14ac:dyDescent="0.25">
      <c r="A1187">
        <v>2185</v>
      </c>
      <c r="B1187" t="s">
        <v>1223</v>
      </c>
      <c r="C1187" t="s">
        <v>20</v>
      </c>
      <c r="D1187" t="s">
        <v>84</v>
      </c>
      <c r="E1187">
        <v>2</v>
      </c>
      <c r="G1187">
        <f t="shared" si="36"/>
        <v>0</v>
      </c>
      <c r="H1187" s="3">
        <v>0.14000000000000001</v>
      </c>
      <c r="I1187">
        <f t="shared" si="37"/>
        <v>0</v>
      </c>
      <c r="K1187" t="s">
        <v>44</v>
      </c>
      <c r="L1187" t="s">
        <v>16</v>
      </c>
      <c r="M1187">
        <v>-810.97</v>
      </c>
    </row>
    <row r="1188" spans="1:13" x14ac:dyDescent="0.25">
      <c r="A1188">
        <v>2186</v>
      </c>
      <c r="B1188" t="s">
        <v>1224</v>
      </c>
      <c r="C1188" t="s">
        <v>28</v>
      </c>
      <c r="D1188" t="s">
        <v>29</v>
      </c>
      <c r="E1188">
        <v>2</v>
      </c>
      <c r="F1188">
        <v>2036.71</v>
      </c>
      <c r="G1188">
        <f t="shared" si="36"/>
        <v>4073.42</v>
      </c>
      <c r="I1188">
        <f t="shared" si="37"/>
        <v>4073.42</v>
      </c>
      <c r="K1188" t="s">
        <v>15</v>
      </c>
      <c r="L1188" t="s">
        <v>23</v>
      </c>
      <c r="M1188">
        <v>1586.84</v>
      </c>
    </row>
    <row r="1189" spans="1:13" x14ac:dyDescent="0.25">
      <c r="A1189">
        <v>2187</v>
      </c>
      <c r="B1189" t="s">
        <v>1225</v>
      </c>
      <c r="C1189" t="s">
        <v>28</v>
      </c>
      <c r="D1189" t="s">
        <v>116</v>
      </c>
      <c r="E1189">
        <v>2</v>
      </c>
      <c r="F1189">
        <v>2709.1</v>
      </c>
      <c r="G1189">
        <f t="shared" si="36"/>
        <v>5418.2</v>
      </c>
      <c r="H1189" s="3">
        <v>0.82</v>
      </c>
      <c r="I1189">
        <f t="shared" si="37"/>
        <v>975.27600000000018</v>
      </c>
      <c r="J1189" s="1">
        <v>45733</v>
      </c>
      <c r="K1189" t="s">
        <v>15</v>
      </c>
      <c r="L1189" t="s">
        <v>16</v>
      </c>
      <c r="M1189">
        <v>1386.25</v>
      </c>
    </row>
    <row r="1190" spans="1:13" x14ac:dyDescent="0.25">
      <c r="A1190">
        <v>2188</v>
      </c>
      <c r="B1190" t="s">
        <v>1226</v>
      </c>
      <c r="C1190" t="s">
        <v>31</v>
      </c>
      <c r="D1190" t="s">
        <v>42</v>
      </c>
      <c r="E1190">
        <v>2</v>
      </c>
      <c r="F1190">
        <v>3027.66</v>
      </c>
      <c r="G1190">
        <f t="shared" si="36"/>
        <v>6055.32</v>
      </c>
      <c r="H1190" s="3">
        <v>1.21</v>
      </c>
      <c r="I1190">
        <f t="shared" si="37"/>
        <v>-1271.6171999999997</v>
      </c>
      <c r="J1190" s="1">
        <v>45827</v>
      </c>
      <c r="K1190" t="s">
        <v>18</v>
      </c>
      <c r="L1190" t="s">
        <v>23</v>
      </c>
      <c r="M1190">
        <v>1971.23</v>
      </c>
    </row>
    <row r="1191" spans="1:13" x14ac:dyDescent="0.25">
      <c r="A1191">
        <v>2189</v>
      </c>
      <c r="B1191" t="s">
        <v>1227</v>
      </c>
      <c r="C1191" t="s">
        <v>20</v>
      </c>
      <c r="D1191" t="s">
        <v>84</v>
      </c>
      <c r="E1191">
        <v>2</v>
      </c>
      <c r="F1191">
        <v>968.53</v>
      </c>
      <c r="G1191">
        <f t="shared" si="36"/>
        <v>1937.06</v>
      </c>
      <c r="H1191" s="3">
        <v>0.3</v>
      </c>
      <c r="I1191">
        <f t="shared" si="37"/>
        <v>1355.9419999999998</v>
      </c>
      <c r="J1191" s="1">
        <v>45820</v>
      </c>
      <c r="K1191" t="s">
        <v>15</v>
      </c>
      <c r="L1191" t="s">
        <v>16</v>
      </c>
      <c r="M1191">
        <v>-39.14</v>
      </c>
    </row>
    <row r="1192" spans="1:13" x14ac:dyDescent="0.25">
      <c r="A1192">
        <v>2190</v>
      </c>
      <c r="B1192" t="s">
        <v>1228</v>
      </c>
      <c r="C1192" t="s">
        <v>13</v>
      </c>
      <c r="D1192" t="s">
        <v>34</v>
      </c>
      <c r="E1192">
        <v>3</v>
      </c>
      <c r="F1192">
        <v>3887.5</v>
      </c>
      <c r="G1192">
        <f t="shared" si="36"/>
        <v>11662.5</v>
      </c>
      <c r="I1192">
        <f t="shared" si="37"/>
        <v>11662.5</v>
      </c>
      <c r="J1192" s="1">
        <v>45633</v>
      </c>
      <c r="K1192" t="s">
        <v>15</v>
      </c>
      <c r="L1192" t="s">
        <v>16</v>
      </c>
      <c r="M1192">
        <v>1787.25</v>
      </c>
    </row>
    <row r="1193" spans="1:13" x14ac:dyDescent="0.25">
      <c r="A1193">
        <v>2191</v>
      </c>
      <c r="B1193" t="s">
        <v>1229</v>
      </c>
      <c r="C1193" t="s">
        <v>20</v>
      </c>
      <c r="D1193" t="s">
        <v>118</v>
      </c>
      <c r="E1193">
        <v>2</v>
      </c>
      <c r="F1193">
        <v>2267.7199999999998</v>
      </c>
      <c r="G1193">
        <f t="shared" si="36"/>
        <v>4535.4399999999996</v>
      </c>
      <c r="I1193">
        <f t="shared" si="37"/>
        <v>4535.4399999999996</v>
      </c>
      <c r="J1193" s="1">
        <v>45659</v>
      </c>
      <c r="K1193" t="s">
        <v>22</v>
      </c>
      <c r="L1193" t="s">
        <v>16</v>
      </c>
      <c r="M1193">
        <v>-459.62</v>
      </c>
    </row>
    <row r="1194" spans="1:13" x14ac:dyDescent="0.25">
      <c r="A1194">
        <v>2192</v>
      </c>
      <c r="B1194" t="s">
        <v>928</v>
      </c>
      <c r="C1194" t="s">
        <v>28</v>
      </c>
      <c r="D1194" t="s">
        <v>29</v>
      </c>
      <c r="E1194">
        <v>2</v>
      </c>
      <c r="F1194">
        <v>4218.96</v>
      </c>
      <c r="G1194">
        <f t="shared" si="36"/>
        <v>8437.92</v>
      </c>
      <c r="H1194" s="3">
        <v>0.01</v>
      </c>
      <c r="I1194">
        <f t="shared" si="37"/>
        <v>8353.5408000000007</v>
      </c>
      <c r="J1194" s="1">
        <v>45328</v>
      </c>
      <c r="K1194" t="s">
        <v>44</v>
      </c>
      <c r="L1194" t="s">
        <v>23</v>
      </c>
      <c r="M1194">
        <v>1483.9</v>
      </c>
    </row>
    <row r="1195" spans="1:13" x14ac:dyDescent="0.25">
      <c r="A1195">
        <v>2193</v>
      </c>
      <c r="B1195" t="s">
        <v>1230</v>
      </c>
      <c r="C1195" t="s">
        <v>20</v>
      </c>
      <c r="D1195" t="s">
        <v>118</v>
      </c>
      <c r="E1195">
        <v>2</v>
      </c>
      <c r="F1195">
        <v>2712.09</v>
      </c>
      <c r="G1195">
        <f t="shared" si="36"/>
        <v>5424.18</v>
      </c>
      <c r="I1195">
        <f t="shared" si="37"/>
        <v>5424.18</v>
      </c>
      <c r="J1195" s="1">
        <v>45526</v>
      </c>
      <c r="K1195" t="s">
        <v>2517</v>
      </c>
      <c r="L1195" t="s">
        <v>16</v>
      </c>
      <c r="M1195">
        <v>2585.79</v>
      </c>
    </row>
    <row r="1196" spans="1:13" x14ac:dyDescent="0.25">
      <c r="A1196">
        <v>2194</v>
      </c>
      <c r="B1196" t="s">
        <v>1231</v>
      </c>
      <c r="C1196" t="s">
        <v>20</v>
      </c>
      <c r="D1196" t="s">
        <v>118</v>
      </c>
      <c r="E1196">
        <v>2</v>
      </c>
      <c r="F1196">
        <v>3862.58</v>
      </c>
      <c r="G1196">
        <f t="shared" si="36"/>
        <v>7725.16</v>
      </c>
      <c r="I1196">
        <f t="shared" si="37"/>
        <v>7725.16</v>
      </c>
      <c r="J1196" s="1">
        <v>45855</v>
      </c>
      <c r="K1196" t="s">
        <v>18</v>
      </c>
      <c r="L1196" t="s">
        <v>23</v>
      </c>
      <c r="M1196">
        <v>794.8</v>
      </c>
    </row>
    <row r="1197" spans="1:13" x14ac:dyDescent="0.25">
      <c r="A1197">
        <v>2195</v>
      </c>
      <c r="B1197" t="s">
        <v>1232</v>
      </c>
      <c r="C1197" t="s">
        <v>25</v>
      </c>
      <c r="D1197" t="s">
        <v>82</v>
      </c>
      <c r="E1197">
        <v>4</v>
      </c>
      <c r="F1197">
        <v>3491.26</v>
      </c>
      <c r="G1197">
        <f t="shared" si="36"/>
        <v>13965.04</v>
      </c>
      <c r="I1197">
        <f t="shared" si="37"/>
        <v>13965.04</v>
      </c>
      <c r="K1197" t="s">
        <v>2517</v>
      </c>
      <c r="L1197" t="s">
        <v>16</v>
      </c>
      <c r="M1197">
        <v>-165.48</v>
      </c>
    </row>
    <row r="1198" spans="1:13" x14ac:dyDescent="0.25">
      <c r="A1198">
        <v>2196</v>
      </c>
      <c r="B1198" t="s">
        <v>1233</v>
      </c>
      <c r="C1198" t="s">
        <v>36</v>
      </c>
      <c r="D1198" t="s">
        <v>37</v>
      </c>
      <c r="E1198">
        <v>2</v>
      </c>
      <c r="F1198">
        <v>3655.37</v>
      </c>
      <c r="G1198">
        <f t="shared" si="36"/>
        <v>7310.74</v>
      </c>
      <c r="I1198">
        <f t="shared" si="37"/>
        <v>7310.74</v>
      </c>
      <c r="J1198" s="1">
        <v>45413</v>
      </c>
      <c r="K1198" t="s">
        <v>2517</v>
      </c>
      <c r="L1198" t="s">
        <v>16</v>
      </c>
      <c r="M1198">
        <v>-844.23</v>
      </c>
    </row>
    <row r="1199" spans="1:13" x14ac:dyDescent="0.25">
      <c r="A1199">
        <v>2197</v>
      </c>
      <c r="B1199" t="s">
        <v>1234</v>
      </c>
      <c r="C1199" t="s">
        <v>36</v>
      </c>
      <c r="D1199" t="s">
        <v>87</v>
      </c>
      <c r="E1199">
        <v>2</v>
      </c>
      <c r="G1199">
        <f t="shared" si="36"/>
        <v>0</v>
      </c>
      <c r="I1199">
        <f t="shared" si="37"/>
        <v>0</v>
      </c>
      <c r="J1199" s="1">
        <v>45598</v>
      </c>
      <c r="K1199" t="s">
        <v>18</v>
      </c>
      <c r="L1199" t="s">
        <v>16</v>
      </c>
      <c r="M1199">
        <v>24.78</v>
      </c>
    </row>
    <row r="1200" spans="1:13" x14ac:dyDescent="0.25">
      <c r="A1200">
        <v>1004</v>
      </c>
      <c r="B1200" t="s">
        <v>1235</v>
      </c>
      <c r="C1200" t="s">
        <v>25</v>
      </c>
      <c r="D1200" t="s">
        <v>26</v>
      </c>
      <c r="E1200">
        <v>2</v>
      </c>
      <c r="G1200">
        <f t="shared" si="36"/>
        <v>0</v>
      </c>
      <c r="H1200" s="3">
        <v>0.64</v>
      </c>
      <c r="I1200">
        <f t="shared" si="37"/>
        <v>0</v>
      </c>
      <c r="J1200" s="1">
        <v>45658</v>
      </c>
      <c r="K1200" t="s">
        <v>44</v>
      </c>
      <c r="L1200" t="s">
        <v>16</v>
      </c>
      <c r="M1200">
        <v>968.3</v>
      </c>
    </row>
    <row r="1201" spans="1:13" x14ac:dyDescent="0.25">
      <c r="A1201">
        <v>2199</v>
      </c>
      <c r="B1201" t="s">
        <v>1236</v>
      </c>
      <c r="C1201" t="s">
        <v>31</v>
      </c>
      <c r="D1201" t="s">
        <v>32</v>
      </c>
      <c r="E1201">
        <v>6</v>
      </c>
      <c r="G1201">
        <f t="shared" si="36"/>
        <v>0</v>
      </c>
      <c r="I1201">
        <f t="shared" si="37"/>
        <v>0</v>
      </c>
      <c r="J1201" s="1">
        <v>45815</v>
      </c>
      <c r="K1201" t="s">
        <v>2517</v>
      </c>
      <c r="L1201" t="s">
        <v>23</v>
      </c>
      <c r="M1201">
        <v>595.51</v>
      </c>
    </row>
    <row r="1202" spans="1:13" x14ac:dyDescent="0.25">
      <c r="A1202">
        <v>2200</v>
      </c>
      <c r="B1202" t="s">
        <v>1237</v>
      </c>
      <c r="C1202" t="s">
        <v>31</v>
      </c>
      <c r="D1202" t="s">
        <v>42</v>
      </c>
      <c r="E1202">
        <v>-1</v>
      </c>
      <c r="F1202">
        <v>1346.11</v>
      </c>
      <c r="G1202">
        <f t="shared" si="36"/>
        <v>-1346.11</v>
      </c>
      <c r="H1202" s="3">
        <v>0.72</v>
      </c>
      <c r="I1202">
        <f t="shared" si="37"/>
        <v>-376.91079999999999</v>
      </c>
      <c r="K1202" t="s">
        <v>22</v>
      </c>
      <c r="L1202" t="s">
        <v>16</v>
      </c>
      <c r="M1202">
        <v>-763.62</v>
      </c>
    </row>
    <row r="1203" spans="1:13" x14ac:dyDescent="0.25">
      <c r="A1203">
        <v>2201</v>
      </c>
      <c r="B1203" t="s">
        <v>1238</v>
      </c>
      <c r="C1203" t="s">
        <v>36</v>
      </c>
      <c r="D1203" t="s">
        <v>59</v>
      </c>
      <c r="E1203">
        <v>-1</v>
      </c>
      <c r="G1203">
        <f t="shared" si="36"/>
        <v>0</v>
      </c>
      <c r="I1203">
        <f t="shared" si="37"/>
        <v>0</v>
      </c>
      <c r="K1203" t="s">
        <v>38</v>
      </c>
      <c r="L1203" t="s">
        <v>23</v>
      </c>
      <c r="M1203">
        <v>1897.16</v>
      </c>
    </row>
    <row r="1204" spans="1:13" x14ac:dyDescent="0.25">
      <c r="A1204">
        <v>2202</v>
      </c>
      <c r="B1204" t="s">
        <v>1239</v>
      </c>
      <c r="C1204" t="s">
        <v>13</v>
      </c>
      <c r="D1204" t="s">
        <v>47</v>
      </c>
      <c r="E1204">
        <v>2</v>
      </c>
      <c r="G1204">
        <f t="shared" si="36"/>
        <v>0</v>
      </c>
      <c r="H1204" s="3">
        <v>0.92</v>
      </c>
      <c r="I1204">
        <f t="shared" si="37"/>
        <v>0</v>
      </c>
      <c r="J1204" s="1">
        <v>45314</v>
      </c>
      <c r="K1204" t="s">
        <v>18</v>
      </c>
      <c r="L1204" t="s">
        <v>16</v>
      </c>
      <c r="M1204">
        <v>2505.39</v>
      </c>
    </row>
    <row r="1205" spans="1:13" x14ac:dyDescent="0.25">
      <c r="A1205">
        <v>2203</v>
      </c>
      <c r="B1205" t="s">
        <v>1240</v>
      </c>
      <c r="C1205" t="s">
        <v>36</v>
      </c>
      <c r="D1205" t="s">
        <v>55</v>
      </c>
      <c r="E1205">
        <v>2</v>
      </c>
      <c r="F1205">
        <v>1611.02</v>
      </c>
      <c r="G1205">
        <f t="shared" si="36"/>
        <v>3222.04</v>
      </c>
      <c r="I1205">
        <f t="shared" si="37"/>
        <v>3222.04</v>
      </c>
      <c r="J1205" s="1">
        <v>45843</v>
      </c>
      <c r="K1205" t="s">
        <v>44</v>
      </c>
      <c r="L1205" t="s">
        <v>16</v>
      </c>
      <c r="M1205">
        <v>2610.41</v>
      </c>
    </row>
    <row r="1206" spans="1:13" x14ac:dyDescent="0.25">
      <c r="A1206">
        <v>2204</v>
      </c>
      <c r="B1206" t="s">
        <v>1241</v>
      </c>
      <c r="C1206" t="s">
        <v>25</v>
      </c>
      <c r="D1206" t="s">
        <v>51</v>
      </c>
      <c r="E1206">
        <v>2</v>
      </c>
      <c r="G1206">
        <f t="shared" si="36"/>
        <v>0</v>
      </c>
      <c r="I1206">
        <f t="shared" si="37"/>
        <v>0</v>
      </c>
      <c r="K1206" t="s">
        <v>38</v>
      </c>
      <c r="L1206" t="s">
        <v>16</v>
      </c>
      <c r="M1206">
        <v>-875.95</v>
      </c>
    </row>
    <row r="1207" spans="1:13" x14ac:dyDescent="0.25">
      <c r="A1207">
        <v>2205</v>
      </c>
      <c r="B1207" t="s">
        <v>1242</v>
      </c>
      <c r="C1207" t="s">
        <v>31</v>
      </c>
      <c r="D1207" t="s">
        <v>78</v>
      </c>
      <c r="E1207">
        <v>-2</v>
      </c>
      <c r="G1207">
        <f t="shared" si="36"/>
        <v>0</v>
      </c>
      <c r="H1207" s="3">
        <v>0.14000000000000001</v>
      </c>
      <c r="I1207">
        <f t="shared" si="37"/>
        <v>0</v>
      </c>
      <c r="J1207" s="1">
        <v>45270</v>
      </c>
      <c r="K1207" t="s">
        <v>2517</v>
      </c>
      <c r="L1207" t="s">
        <v>16</v>
      </c>
      <c r="M1207">
        <v>-512.13</v>
      </c>
    </row>
    <row r="1208" spans="1:13" x14ac:dyDescent="0.25">
      <c r="A1208">
        <v>2206</v>
      </c>
      <c r="B1208" t="s">
        <v>797</v>
      </c>
      <c r="C1208" t="s">
        <v>28</v>
      </c>
      <c r="D1208" t="s">
        <v>116</v>
      </c>
      <c r="E1208">
        <v>2</v>
      </c>
      <c r="F1208">
        <v>2349.3000000000002</v>
      </c>
      <c r="G1208">
        <f t="shared" si="36"/>
        <v>4698.6000000000004</v>
      </c>
      <c r="H1208" s="3">
        <v>0.18</v>
      </c>
      <c r="I1208">
        <f t="shared" si="37"/>
        <v>3852.8520000000008</v>
      </c>
      <c r="J1208" s="1">
        <v>45705</v>
      </c>
      <c r="K1208" t="s">
        <v>15</v>
      </c>
      <c r="L1208" t="s">
        <v>16</v>
      </c>
      <c r="M1208">
        <v>2503.67</v>
      </c>
    </row>
    <row r="1209" spans="1:13" x14ac:dyDescent="0.25">
      <c r="A1209">
        <v>2207</v>
      </c>
      <c r="B1209" t="s">
        <v>1243</v>
      </c>
      <c r="C1209" t="s">
        <v>28</v>
      </c>
      <c r="D1209" t="s">
        <v>116</v>
      </c>
      <c r="E1209">
        <v>3</v>
      </c>
      <c r="F1209">
        <v>2146.0700000000002</v>
      </c>
      <c r="G1209">
        <f t="shared" si="36"/>
        <v>6438.2100000000009</v>
      </c>
      <c r="I1209">
        <f t="shared" si="37"/>
        <v>6438.2100000000009</v>
      </c>
      <c r="K1209" t="s">
        <v>44</v>
      </c>
      <c r="L1209" t="s">
        <v>16</v>
      </c>
      <c r="M1209">
        <v>199.99</v>
      </c>
    </row>
    <row r="1210" spans="1:13" x14ac:dyDescent="0.25">
      <c r="A1210">
        <v>2208</v>
      </c>
      <c r="B1210" t="s">
        <v>1244</v>
      </c>
      <c r="C1210" t="s">
        <v>28</v>
      </c>
      <c r="D1210" t="s">
        <v>40</v>
      </c>
      <c r="E1210">
        <v>2</v>
      </c>
      <c r="G1210">
        <f t="shared" si="36"/>
        <v>0</v>
      </c>
      <c r="I1210">
        <f t="shared" si="37"/>
        <v>0</v>
      </c>
      <c r="J1210" s="1">
        <v>45703</v>
      </c>
      <c r="K1210" t="s">
        <v>44</v>
      </c>
      <c r="L1210" t="s">
        <v>16</v>
      </c>
      <c r="M1210">
        <v>2347.0500000000002</v>
      </c>
    </row>
    <row r="1211" spans="1:13" x14ac:dyDescent="0.25">
      <c r="A1211">
        <v>2209</v>
      </c>
      <c r="B1211" t="s">
        <v>1245</v>
      </c>
      <c r="C1211" t="s">
        <v>31</v>
      </c>
      <c r="D1211" t="s">
        <v>32</v>
      </c>
      <c r="E1211">
        <v>-2</v>
      </c>
      <c r="G1211">
        <f t="shared" si="36"/>
        <v>0</v>
      </c>
      <c r="H1211" s="3">
        <v>0.95</v>
      </c>
      <c r="I1211">
        <f t="shared" si="37"/>
        <v>0</v>
      </c>
      <c r="K1211" t="s">
        <v>44</v>
      </c>
      <c r="L1211" t="s">
        <v>23</v>
      </c>
      <c r="M1211">
        <v>2492.83</v>
      </c>
    </row>
    <row r="1212" spans="1:13" x14ac:dyDescent="0.25">
      <c r="A1212">
        <v>2210</v>
      </c>
      <c r="B1212" t="s">
        <v>1246</v>
      </c>
      <c r="C1212" t="s">
        <v>20</v>
      </c>
      <c r="D1212" t="s">
        <v>76</v>
      </c>
      <c r="E1212">
        <v>2</v>
      </c>
      <c r="F1212">
        <v>4368.12</v>
      </c>
      <c r="G1212">
        <f t="shared" si="36"/>
        <v>8736.24</v>
      </c>
      <c r="I1212">
        <f t="shared" si="37"/>
        <v>8736.24</v>
      </c>
      <c r="J1212" s="1">
        <v>45779</v>
      </c>
      <c r="K1212" t="s">
        <v>15</v>
      </c>
      <c r="L1212" t="s">
        <v>16</v>
      </c>
      <c r="M1212">
        <v>2434.6</v>
      </c>
    </row>
    <row r="1213" spans="1:13" x14ac:dyDescent="0.25">
      <c r="A1213">
        <v>2211</v>
      </c>
      <c r="B1213" t="s">
        <v>1247</v>
      </c>
      <c r="C1213" t="s">
        <v>20</v>
      </c>
      <c r="D1213" t="s">
        <v>84</v>
      </c>
      <c r="E1213">
        <v>2</v>
      </c>
      <c r="G1213">
        <f t="shared" si="36"/>
        <v>0</v>
      </c>
      <c r="H1213" s="3">
        <v>1.08</v>
      </c>
      <c r="I1213">
        <f t="shared" si="37"/>
        <v>0</v>
      </c>
      <c r="J1213" s="1">
        <v>45416</v>
      </c>
      <c r="K1213" t="s">
        <v>22</v>
      </c>
      <c r="L1213" t="s">
        <v>23</v>
      </c>
      <c r="M1213">
        <v>902.93</v>
      </c>
    </row>
    <row r="1214" spans="1:13" x14ac:dyDescent="0.25">
      <c r="A1214">
        <v>1031</v>
      </c>
      <c r="B1214" t="s">
        <v>1248</v>
      </c>
      <c r="C1214" t="s">
        <v>31</v>
      </c>
      <c r="D1214" t="s">
        <v>42</v>
      </c>
      <c r="E1214">
        <v>2</v>
      </c>
      <c r="G1214">
        <f t="shared" si="36"/>
        <v>0</v>
      </c>
      <c r="H1214" s="3">
        <v>0.57999999999999996</v>
      </c>
      <c r="I1214">
        <f t="shared" si="37"/>
        <v>0</v>
      </c>
      <c r="K1214" t="s">
        <v>15</v>
      </c>
      <c r="L1214" t="s">
        <v>16</v>
      </c>
      <c r="M1214">
        <v>652.37</v>
      </c>
    </row>
    <row r="1215" spans="1:13" x14ac:dyDescent="0.25">
      <c r="A1215">
        <v>2213</v>
      </c>
      <c r="B1215" t="s">
        <v>1249</v>
      </c>
      <c r="C1215" t="s">
        <v>13</v>
      </c>
      <c r="D1215" t="s">
        <v>34</v>
      </c>
      <c r="E1215">
        <v>2</v>
      </c>
      <c r="F1215">
        <v>2543.9299999999998</v>
      </c>
      <c r="G1215">
        <f t="shared" si="36"/>
        <v>5087.8599999999997</v>
      </c>
      <c r="I1215">
        <f t="shared" si="37"/>
        <v>5087.8599999999997</v>
      </c>
      <c r="J1215" s="1">
        <v>45824</v>
      </c>
      <c r="K1215" t="s">
        <v>18</v>
      </c>
      <c r="L1215" t="s">
        <v>16</v>
      </c>
      <c r="M1215">
        <v>2177.8200000000002</v>
      </c>
    </row>
    <row r="1216" spans="1:13" x14ac:dyDescent="0.25">
      <c r="A1216">
        <v>2214</v>
      </c>
      <c r="B1216" t="s">
        <v>1250</v>
      </c>
      <c r="C1216" t="s">
        <v>36</v>
      </c>
      <c r="D1216" t="s">
        <v>37</v>
      </c>
      <c r="E1216">
        <v>-1</v>
      </c>
      <c r="F1216">
        <v>4854.03</v>
      </c>
      <c r="G1216">
        <f t="shared" si="36"/>
        <v>-4854.03</v>
      </c>
      <c r="I1216">
        <f t="shared" si="37"/>
        <v>-4854.03</v>
      </c>
      <c r="J1216" s="1">
        <v>45577</v>
      </c>
      <c r="K1216" t="s">
        <v>18</v>
      </c>
      <c r="L1216" t="s">
        <v>16</v>
      </c>
      <c r="M1216">
        <v>864.66</v>
      </c>
    </row>
    <row r="1217" spans="1:13" x14ac:dyDescent="0.25">
      <c r="A1217">
        <v>2215</v>
      </c>
      <c r="B1217" t="s">
        <v>1251</v>
      </c>
      <c r="C1217" t="s">
        <v>20</v>
      </c>
      <c r="D1217" t="s">
        <v>118</v>
      </c>
      <c r="E1217">
        <v>-2</v>
      </c>
      <c r="F1217">
        <v>442.41</v>
      </c>
      <c r="G1217">
        <f t="shared" si="36"/>
        <v>-884.82</v>
      </c>
      <c r="I1217">
        <f t="shared" si="37"/>
        <v>-884.82</v>
      </c>
      <c r="K1217" t="s">
        <v>15</v>
      </c>
      <c r="L1217" t="s">
        <v>16</v>
      </c>
      <c r="M1217">
        <v>1628.57</v>
      </c>
    </row>
    <row r="1218" spans="1:13" x14ac:dyDescent="0.25">
      <c r="A1218">
        <v>2216</v>
      </c>
      <c r="B1218" t="s">
        <v>1252</v>
      </c>
      <c r="C1218" t="s">
        <v>20</v>
      </c>
      <c r="D1218" t="s">
        <v>84</v>
      </c>
      <c r="E1218">
        <v>3</v>
      </c>
      <c r="G1218">
        <f t="shared" si="36"/>
        <v>0</v>
      </c>
      <c r="H1218" s="3">
        <v>0.05</v>
      </c>
      <c r="I1218">
        <f t="shared" si="37"/>
        <v>0</v>
      </c>
      <c r="J1218" s="1">
        <v>45795</v>
      </c>
      <c r="K1218" t="s">
        <v>44</v>
      </c>
      <c r="L1218" t="s">
        <v>16</v>
      </c>
      <c r="M1218">
        <v>-823.2</v>
      </c>
    </row>
    <row r="1219" spans="1:13" x14ac:dyDescent="0.25">
      <c r="A1219">
        <v>2217</v>
      </c>
      <c r="B1219" t="s">
        <v>1253</v>
      </c>
      <c r="C1219" t="s">
        <v>13</v>
      </c>
      <c r="D1219" t="s">
        <v>98</v>
      </c>
      <c r="E1219">
        <v>2</v>
      </c>
      <c r="F1219">
        <v>1540.5</v>
      </c>
      <c r="G1219">
        <f t="shared" ref="G1219:G1282" si="38">F1219*E1219</f>
        <v>3081</v>
      </c>
      <c r="I1219">
        <f t="shared" ref="I1219:I1282" si="39">G1219*(1-H1219)</f>
        <v>3081</v>
      </c>
      <c r="J1219" s="1">
        <v>45639</v>
      </c>
      <c r="K1219" t="s">
        <v>22</v>
      </c>
      <c r="L1219" t="s">
        <v>23</v>
      </c>
      <c r="M1219">
        <v>1385.44</v>
      </c>
    </row>
    <row r="1220" spans="1:13" x14ac:dyDescent="0.25">
      <c r="A1220">
        <v>2218</v>
      </c>
      <c r="B1220" t="s">
        <v>1254</v>
      </c>
      <c r="C1220" t="s">
        <v>13</v>
      </c>
      <c r="D1220" t="s">
        <v>98</v>
      </c>
      <c r="E1220">
        <v>2</v>
      </c>
      <c r="G1220">
        <f t="shared" si="38"/>
        <v>0</v>
      </c>
      <c r="I1220">
        <f t="shared" si="39"/>
        <v>0</v>
      </c>
      <c r="J1220" s="1">
        <v>45680</v>
      </c>
      <c r="K1220" t="s">
        <v>2517</v>
      </c>
      <c r="L1220" t="s">
        <v>23</v>
      </c>
      <c r="M1220">
        <v>2077.4899999999998</v>
      </c>
    </row>
    <row r="1221" spans="1:13" x14ac:dyDescent="0.25">
      <c r="A1221">
        <v>2219</v>
      </c>
      <c r="B1221" t="s">
        <v>1255</v>
      </c>
      <c r="C1221" t="s">
        <v>31</v>
      </c>
      <c r="D1221" t="s">
        <v>78</v>
      </c>
      <c r="E1221">
        <v>4</v>
      </c>
      <c r="F1221">
        <v>2403.9499999999998</v>
      </c>
      <c r="G1221">
        <f t="shared" si="38"/>
        <v>9615.7999999999993</v>
      </c>
      <c r="I1221">
        <f t="shared" si="39"/>
        <v>9615.7999999999993</v>
      </c>
      <c r="J1221" s="1">
        <v>45588</v>
      </c>
      <c r="K1221" t="s">
        <v>22</v>
      </c>
      <c r="L1221" t="s">
        <v>16</v>
      </c>
      <c r="M1221">
        <v>858.23</v>
      </c>
    </row>
    <row r="1222" spans="1:13" x14ac:dyDescent="0.25">
      <c r="A1222">
        <v>2220</v>
      </c>
      <c r="B1222" t="s">
        <v>1256</v>
      </c>
      <c r="C1222" t="s">
        <v>28</v>
      </c>
      <c r="D1222" t="s">
        <v>29</v>
      </c>
      <c r="E1222">
        <v>-1</v>
      </c>
      <c r="F1222">
        <v>2170.71</v>
      </c>
      <c r="G1222">
        <f t="shared" si="38"/>
        <v>-2170.71</v>
      </c>
      <c r="H1222" s="3">
        <v>0.57999999999999996</v>
      </c>
      <c r="I1222">
        <f t="shared" si="39"/>
        <v>-911.69820000000016</v>
      </c>
      <c r="J1222" s="1">
        <v>45810</v>
      </c>
      <c r="K1222" t="s">
        <v>38</v>
      </c>
      <c r="L1222" t="s">
        <v>16</v>
      </c>
      <c r="M1222">
        <v>1689.68</v>
      </c>
    </row>
    <row r="1223" spans="1:13" x14ac:dyDescent="0.25">
      <c r="A1223">
        <v>2221</v>
      </c>
      <c r="B1223" t="s">
        <v>464</v>
      </c>
      <c r="C1223" t="s">
        <v>31</v>
      </c>
      <c r="D1223" t="s">
        <v>32</v>
      </c>
      <c r="E1223">
        <v>2</v>
      </c>
      <c r="F1223">
        <v>1762.23</v>
      </c>
      <c r="G1223">
        <f t="shared" si="38"/>
        <v>3524.46</v>
      </c>
      <c r="I1223">
        <f t="shared" si="39"/>
        <v>3524.46</v>
      </c>
      <c r="J1223" s="1">
        <v>45560</v>
      </c>
      <c r="K1223" t="s">
        <v>38</v>
      </c>
      <c r="L1223" t="s">
        <v>16</v>
      </c>
      <c r="M1223">
        <v>-736.69</v>
      </c>
    </row>
    <row r="1224" spans="1:13" x14ac:dyDescent="0.25">
      <c r="A1224">
        <v>2222</v>
      </c>
      <c r="B1224" t="s">
        <v>1257</v>
      </c>
      <c r="C1224" t="s">
        <v>36</v>
      </c>
      <c r="D1224" t="s">
        <v>59</v>
      </c>
      <c r="E1224">
        <v>2</v>
      </c>
      <c r="F1224">
        <v>2161.8000000000002</v>
      </c>
      <c r="G1224">
        <f t="shared" si="38"/>
        <v>4323.6000000000004</v>
      </c>
      <c r="I1224">
        <f t="shared" si="39"/>
        <v>4323.6000000000004</v>
      </c>
      <c r="K1224" t="s">
        <v>18</v>
      </c>
      <c r="L1224" t="s">
        <v>23</v>
      </c>
      <c r="M1224">
        <v>1722.2</v>
      </c>
    </row>
    <row r="1225" spans="1:13" x14ac:dyDescent="0.25">
      <c r="A1225">
        <v>2223</v>
      </c>
      <c r="B1225" t="s">
        <v>1258</v>
      </c>
      <c r="C1225" t="s">
        <v>13</v>
      </c>
      <c r="D1225" t="s">
        <v>47</v>
      </c>
      <c r="E1225">
        <v>-1</v>
      </c>
      <c r="F1225">
        <v>3445.9</v>
      </c>
      <c r="G1225">
        <f t="shared" si="38"/>
        <v>-3445.9</v>
      </c>
      <c r="H1225" s="3">
        <v>0.81</v>
      </c>
      <c r="I1225">
        <f t="shared" si="39"/>
        <v>-654.72099999999989</v>
      </c>
      <c r="J1225" s="1">
        <v>45654</v>
      </c>
      <c r="K1225" t="s">
        <v>22</v>
      </c>
      <c r="L1225" t="s">
        <v>23</v>
      </c>
      <c r="M1225">
        <v>2374.1799999999998</v>
      </c>
    </row>
    <row r="1226" spans="1:13" x14ac:dyDescent="0.25">
      <c r="A1226">
        <v>2224</v>
      </c>
      <c r="B1226" t="s">
        <v>1259</v>
      </c>
      <c r="C1226" t="s">
        <v>25</v>
      </c>
      <c r="D1226" t="s">
        <v>62</v>
      </c>
      <c r="E1226">
        <v>2</v>
      </c>
      <c r="G1226">
        <f t="shared" si="38"/>
        <v>0</v>
      </c>
      <c r="I1226">
        <f t="shared" si="39"/>
        <v>0</v>
      </c>
      <c r="J1226" s="1">
        <v>45621</v>
      </c>
      <c r="K1226" t="s">
        <v>18</v>
      </c>
      <c r="L1226" t="s">
        <v>23</v>
      </c>
      <c r="M1226">
        <v>691.31</v>
      </c>
    </row>
    <row r="1227" spans="1:13" x14ac:dyDescent="0.25">
      <c r="A1227">
        <v>2225</v>
      </c>
      <c r="B1227" t="s">
        <v>1260</v>
      </c>
      <c r="C1227" t="s">
        <v>28</v>
      </c>
      <c r="D1227" t="s">
        <v>137</v>
      </c>
      <c r="E1227">
        <v>2</v>
      </c>
      <c r="G1227">
        <f t="shared" si="38"/>
        <v>0</v>
      </c>
      <c r="I1227">
        <f t="shared" si="39"/>
        <v>0</v>
      </c>
      <c r="K1227" t="s">
        <v>2517</v>
      </c>
      <c r="L1227" t="s">
        <v>23</v>
      </c>
      <c r="M1227">
        <v>2362.63</v>
      </c>
    </row>
    <row r="1228" spans="1:13" x14ac:dyDescent="0.25">
      <c r="A1228">
        <v>2226</v>
      </c>
      <c r="B1228" t="s">
        <v>1261</v>
      </c>
      <c r="C1228" t="s">
        <v>31</v>
      </c>
      <c r="D1228" t="s">
        <v>78</v>
      </c>
      <c r="E1228">
        <v>2</v>
      </c>
      <c r="F1228">
        <v>4484.13</v>
      </c>
      <c r="G1228">
        <f t="shared" si="38"/>
        <v>8968.26</v>
      </c>
      <c r="H1228" s="3">
        <v>0.79</v>
      </c>
      <c r="I1228">
        <f t="shared" si="39"/>
        <v>1883.3345999999997</v>
      </c>
      <c r="K1228" t="s">
        <v>2517</v>
      </c>
      <c r="L1228" t="s">
        <v>23</v>
      </c>
      <c r="M1228">
        <v>821.13</v>
      </c>
    </row>
    <row r="1229" spans="1:13" x14ac:dyDescent="0.25">
      <c r="A1229">
        <v>2227</v>
      </c>
      <c r="B1229" t="s">
        <v>1262</v>
      </c>
      <c r="C1229" t="s">
        <v>36</v>
      </c>
      <c r="D1229" t="s">
        <v>59</v>
      </c>
      <c r="E1229">
        <v>2</v>
      </c>
      <c r="G1229">
        <f t="shared" si="38"/>
        <v>0</v>
      </c>
      <c r="I1229">
        <f t="shared" si="39"/>
        <v>0</v>
      </c>
      <c r="J1229" s="1">
        <v>45846</v>
      </c>
      <c r="K1229" t="s">
        <v>44</v>
      </c>
      <c r="L1229" t="s">
        <v>23</v>
      </c>
      <c r="M1229">
        <v>2766.36</v>
      </c>
    </row>
    <row r="1230" spans="1:13" x14ac:dyDescent="0.25">
      <c r="A1230">
        <v>2228</v>
      </c>
      <c r="B1230" t="s">
        <v>1263</v>
      </c>
      <c r="C1230" t="s">
        <v>28</v>
      </c>
      <c r="D1230" t="s">
        <v>40</v>
      </c>
      <c r="E1230">
        <v>2</v>
      </c>
      <c r="G1230">
        <f t="shared" si="38"/>
        <v>0</v>
      </c>
      <c r="H1230" s="3">
        <v>0.93</v>
      </c>
      <c r="I1230">
        <f t="shared" si="39"/>
        <v>0</v>
      </c>
      <c r="J1230" s="1">
        <v>45675</v>
      </c>
      <c r="K1230" t="s">
        <v>2517</v>
      </c>
      <c r="L1230" t="s">
        <v>16</v>
      </c>
      <c r="M1230">
        <v>-980.89</v>
      </c>
    </row>
    <row r="1231" spans="1:13" x14ac:dyDescent="0.25">
      <c r="A1231">
        <v>2229</v>
      </c>
      <c r="B1231" t="s">
        <v>1264</v>
      </c>
      <c r="C1231" t="s">
        <v>20</v>
      </c>
      <c r="D1231" t="s">
        <v>21</v>
      </c>
      <c r="E1231">
        <v>1</v>
      </c>
      <c r="G1231">
        <f t="shared" si="38"/>
        <v>0</v>
      </c>
      <c r="I1231">
        <f t="shared" si="39"/>
        <v>0</v>
      </c>
      <c r="J1231" s="1">
        <v>45495</v>
      </c>
      <c r="K1231" t="s">
        <v>22</v>
      </c>
      <c r="L1231" t="s">
        <v>16</v>
      </c>
      <c r="M1231">
        <v>623.39</v>
      </c>
    </row>
    <row r="1232" spans="1:13" x14ac:dyDescent="0.25">
      <c r="A1232">
        <v>2230</v>
      </c>
      <c r="B1232" t="s">
        <v>1265</v>
      </c>
      <c r="C1232" t="s">
        <v>36</v>
      </c>
      <c r="D1232" t="s">
        <v>59</v>
      </c>
      <c r="E1232">
        <v>3</v>
      </c>
      <c r="F1232">
        <v>4524.6400000000003</v>
      </c>
      <c r="G1232">
        <f t="shared" si="38"/>
        <v>13573.920000000002</v>
      </c>
      <c r="H1232" s="3">
        <v>1.0900000000000001</v>
      </c>
      <c r="I1232">
        <f t="shared" si="39"/>
        <v>-1221.6528000000012</v>
      </c>
      <c r="J1232" s="1">
        <v>45806</v>
      </c>
      <c r="K1232" t="s">
        <v>44</v>
      </c>
      <c r="L1232" t="s">
        <v>16</v>
      </c>
      <c r="M1232">
        <v>1906</v>
      </c>
    </row>
    <row r="1233" spans="1:13" x14ac:dyDescent="0.25">
      <c r="A1233">
        <v>2231</v>
      </c>
      <c r="B1233" t="s">
        <v>1266</v>
      </c>
      <c r="C1233" t="s">
        <v>25</v>
      </c>
      <c r="D1233" t="s">
        <v>26</v>
      </c>
      <c r="E1233">
        <v>2</v>
      </c>
      <c r="G1233">
        <f t="shared" si="38"/>
        <v>0</v>
      </c>
      <c r="I1233">
        <f t="shared" si="39"/>
        <v>0</v>
      </c>
      <c r="J1233" s="1">
        <v>45709</v>
      </c>
      <c r="K1233" t="s">
        <v>18</v>
      </c>
      <c r="L1233" t="s">
        <v>16</v>
      </c>
      <c r="M1233">
        <v>1342.52</v>
      </c>
    </row>
    <row r="1234" spans="1:13" x14ac:dyDescent="0.25">
      <c r="A1234">
        <v>2232</v>
      </c>
      <c r="B1234" t="s">
        <v>1267</v>
      </c>
      <c r="C1234" t="s">
        <v>36</v>
      </c>
      <c r="D1234" t="s">
        <v>37</v>
      </c>
      <c r="E1234">
        <v>2</v>
      </c>
      <c r="G1234">
        <f t="shared" si="38"/>
        <v>0</v>
      </c>
      <c r="I1234">
        <f t="shared" si="39"/>
        <v>0</v>
      </c>
      <c r="J1234" s="1">
        <v>45800</v>
      </c>
      <c r="K1234" t="s">
        <v>15</v>
      </c>
      <c r="L1234" t="s">
        <v>23</v>
      </c>
      <c r="M1234">
        <v>2915.25</v>
      </c>
    </row>
    <row r="1235" spans="1:13" x14ac:dyDescent="0.25">
      <c r="A1235">
        <v>2233</v>
      </c>
      <c r="B1235" t="s">
        <v>1268</v>
      </c>
      <c r="C1235" t="s">
        <v>36</v>
      </c>
      <c r="D1235" t="s">
        <v>37</v>
      </c>
      <c r="E1235">
        <v>1</v>
      </c>
      <c r="F1235">
        <v>4604.8500000000004</v>
      </c>
      <c r="G1235">
        <f t="shared" si="38"/>
        <v>4604.8500000000004</v>
      </c>
      <c r="H1235" s="3">
        <v>0.14000000000000001</v>
      </c>
      <c r="I1235">
        <f t="shared" si="39"/>
        <v>3960.1710000000003</v>
      </c>
      <c r="J1235" s="1">
        <v>45854</v>
      </c>
      <c r="K1235" t="s">
        <v>2517</v>
      </c>
      <c r="L1235" t="s">
        <v>16</v>
      </c>
      <c r="M1235">
        <v>-627.16999999999996</v>
      </c>
    </row>
    <row r="1236" spans="1:13" x14ac:dyDescent="0.25">
      <c r="A1236">
        <v>2234</v>
      </c>
      <c r="B1236" t="s">
        <v>1269</v>
      </c>
      <c r="C1236" t="s">
        <v>28</v>
      </c>
      <c r="D1236" t="s">
        <v>137</v>
      </c>
      <c r="E1236">
        <v>-2</v>
      </c>
      <c r="G1236">
        <f t="shared" si="38"/>
        <v>0</v>
      </c>
      <c r="I1236">
        <f t="shared" si="39"/>
        <v>0</v>
      </c>
      <c r="J1236" s="1">
        <v>45248</v>
      </c>
      <c r="K1236" t="s">
        <v>22</v>
      </c>
      <c r="L1236" t="s">
        <v>16</v>
      </c>
      <c r="M1236">
        <v>-345.61</v>
      </c>
    </row>
    <row r="1237" spans="1:13" x14ac:dyDescent="0.25">
      <c r="A1237">
        <v>2235</v>
      </c>
      <c r="B1237" t="s">
        <v>1270</v>
      </c>
      <c r="C1237" t="s">
        <v>13</v>
      </c>
      <c r="D1237" t="s">
        <v>47</v>
      </c>
      <c r="E1237">
        <v>2</v>
      </c>
      <c r="G1237">
        <f t="shared" si="38"/>
        <v>0</v>
      </c>
      <c r="I1237">
        <f t="shared" si="39"/>
        <v>0</v>
      </c>
      <c r="J1237" s="1">
        <v>45696</v>
      </c>
      <c r="K1237" t="s">
        <v>22</v>
      </c>
      <c r="L1237" t="s">
        <v>16</v>
      </c>
      <c r="M1237">
        <v>-758.81</v>
      </c>
    </row>
    <row r="1238" spans="1:13" x14ac:dyDescent="0.25">
      <c r="A1238">
        <v>2236</v>
      </c>
      <c r="B1238" t="s">
        <v>1271</v>
      </c>
      <c r="C1238" t="s">
        <v>25</v>
      </c>
      <c r="D1238" t="s">
        <v>62</v>
      </c>
      <c r="E1238">
        <v>2</v>
      </c>
      <c r="F1238">
        <v>2420.16</v>
      </c>
      <c r="G1238">
        <f t="shared" si="38"/>
        <v>4840.32</v>
      </c>
      <c r="I1238">
        <f t="shared" si="39"/>
        <v>4840.32</v>
      </c>
      <c r="J1238" s="1">
        <v>45800</v>
      </c>
      <c r="K1238" t="s">
        <v>15</v>
      </c>
      <c r="L1238" t="s">
        <v>16</v>
      </c>
      <c r="M1238">
        <v>2707.96</v>
      </c>
    </row>
    <row r="1239" spans="1:13" x14ac:dyDescent="0.25">
      <c r="A1239">
        <v>2237</v>
      </c>
      <c r="B1239" t="s">
        <v>1272</v>
      </c>
      <c r="C1239" t="s">
        <v>36</v>
      </c>
      <c r="D1239" t="s">
        <v>37</v>
      </c>
      <c r="E1239">
        <v>1</v>
      </c>
      <c r="F1239">
        <v>2496.17</v>
      </c>
      <c r="G1239">
        <f t="shared" si="38"/>
        <v>2496.17</v>
      </c>
      <c r="H1239" s="3">
        <v>1.1100000000000001</v>
      </c>
      <c r="I1239">
        <f t="shared" si="39"/>
        <v>-274.57870000000025</v>
      </c>
      <c r="J1239" s="1">
        <v>45669</v>
      </c>
      <c r="K1239" t="s">
        <v>44</v>
      </c>
      <c r="L1239" t="s">
        <v>16</v>
      </c>
      <c r="M1239">
        <v>810.82</v>
      </c>
    </row>
    <row r="1240" spans="1:13" x14ac:dyDescent="0.25">
      <c r="A1240">
        <v>2238</v>
      </c>
      <c r="B1240" t="s">
        <v>1273</v>
      </c>
      <c r="C1240" t="s">
        <v>31</v>
      </c>
      <c r="D1240" t="s">
        <v>68</v>
      </c>
      <c r="E1240">
        <v>-1</v>
      </c>
      <c r="F1240">
        <v>4808.3500000000004</v>
      </c>
      <c r="G1240">
        <f t="shared" si="38"/>
        <v>-4808.3500000000004</v>
      </c>
      <c r="I1240">
        <f t="shared" si="39"/>
        <v>-4808.3500000000004</v>
      </c>
      <c r="J1240" s="1">
        <v>45744</v>
      </c>
      <c r="K1240" t="s">
        <v>18</v>
      </c>
      <c r="L1240" t="s">
        <v>16</v>
      </c>
      <c r="M1240">
        <v>-282.61</v>
      </c>
    </row>
    <row r="1241" spans="1:13" x14ac:dyDescent="0.25">
      <c r="A1241">
        <v>2239</v>
      </c>
      <c r="B1241" t="s">
        <v>1274</v>
      </c>
      <c r="C1241" t="s">
        <v>28</v>
      </c>
      <c r="D1241" t="s">
        <v>116</v>
      </c>
      <c r="E1241">
        <v>2</v>
      </c>
      <c r="F1241">
        <v>3427.66</v>
      </c>
      <c r="G1241">
        <f t="shared" si="38"/>
        <v>6855.32</v>
      </c>
      <c r="I1241">
        <f t="shared" si="39"/>
        <v>6855.32</v>
      </c>
      <c r="J1241" s="1">
        <v>45627</v>
      </c>
      <c r="K1241" t="s">
        <v>22</v>
      </c>
      <c r="L1241" t="s">
        <v>16</v>
      </c>
      <c r="M1241">
        <v>1441.3</v>
      </c>
    </row>
    <row r="1242" spans="1:13" x14ac:dyDescent="0.25">
      <c r="A1242">
        <v>2240</v>
      </c>
      <c r="B1242" t="s">
        <v>1275</v>
      </c>
      <c r="C1242" t="s">
        <v>31</v>
      </c>
      <c r="D1242" t="s">
        <v>42</v>
      </c>
      <c r="E1242">
        <v>2</v>
      </c>
      <c r="F1242">
        <v>4205.29</v>
      </c>
      <c r="G1242">
        <f t="shared" si="38"/>
        <v>8410.58</v>
      </c>
      <c r="I1242">
        <f t="shared" si="39"/>
        <v>8410.58</v>
      </c>
      <c r="J1242" s="1">
        <v>45562</v>
      </c>
      <c r="K1242" t="s">
        <v>2517</v>
      </c>
      <c r="L1242" t="s">
        <v>16</v>
      </c>
      <c r="M1242">
        <v>2223.0300000000002</v>
      </c>
    </row>
    <row r="1243" spans="1:13" x14ac:dyDescent="0.25">
      <c r="A1243">
        <v>2241</v>
      </c>
      <c r="B1243" t="s">
        <v>1276</v>
      </c>
      <c r="C1243" t="s">
        <v>31</v>
      </c>
      <c r="D1243" t="s">
        <v>42</v>
      </c>
      <c r="E1243">
        <v>2</v>
      </c>
      <c r="F1243">
        <v>1600.21</v>
      </c>
      <c r="G1243">
        <f t="shared" si="38"/>
        <v>3200.42</v>
      </c>
      <c r="I1243">
        <f t="shared" si="39"/>
        <v>3200.42</v>
      </c>
      <c r="K1243" t="s">
        <v>44</v>
      </c>
      <c r="L1243" t="s">
        <v>16</v>
      </c>
      <c r="M1243">
        <v>2933.71</v>
      </c>
    </row>
    <row r="1244" spans="1:13" x14ac:dyDescent="0.25">
      <c r="A1244">
        <v>2242</v>
      </c>
      <c r="B1244" t="s">
        <v>1277</v>
      </c>
      <c r="C1244" t="s">
        <v>25</v>
      </c>
      <c r="D1244" t="s">
        <v>26</v>
      </c>
      <c r="E1244">
        <v>6</v>
      </c>
      <c r="F1244">
        <v>4450.17</v>
      </c>
      <c r="G1244">
        <f t="shared" si="38"/>
        <v>26701.02</v>
      </c>
      <c r="I1244">
        <f t="shared" si="39"/>
        <v>26701.02</v>
      </c>
      <c r="J1244" s="1">
        <v>45613</v>
      </c>
      <c r="K1244" t="s">
        <v>18</v>
      </c>
      <c r="L1244" t="s">
        <v>16</v>
      </c>
      <c r="M1244">
        <v>-96.55</v>
      </c>
    </row>
    <row r="1245" spans="1:13" x14ac:dyDescent="0.25">
      <c r="A1245">
        <v>2243</v>
      </c>
      <c r="B1245" t="s">
        <v>1278</v>
      </c>
      <c r="C1245" t="s">
        <v>28</v>
      </c>
      <c r="D1245" t="s">
        <v>137</v>
      </c>
      <c r="E1245">
        <v>2</v>
      </c>
      <c r="G1245">
        <f t="shared" si="38"/>
        <v>0</v>
      </c>
      <c r="I1245">
        <f t="shared" si="39"/>
        <v>0</v>
      </c>
      <c r="J1245" s="1">
        <v>45814</v>
      </c>
      <c r="K1245" t="s">
        <v>18</v>
      </c>
      <c r="L1245" t="s">
        <v>16</v>
      </c>
      <c r="M1245">
        <v>773.71</v>
      </c>
    </row>
    <row r="1246" spans="1:13" x14ac:dyDescent="0.25">
      <c r="A1246">
        <v>2244</v>
      </c>
      <c r="B1246" t="s">
        <v>1279</v>
      </c>
      <c r="C1246" t="s">
        <v>36</v>
      </c>
      <c r="D1246" t="s">
        <v>55</v>
      </c>
      <c r="E1246">
        <v>3</v>
      </c>
      <c r="G1246">
        <f t="shared" si="38"/>
        <v>0</v>
      </c>
      <c r="H1246" s="3">
        <v>0.62</v>
      </c>
      <c r="I1246">
        <f t="shared" si="39"/>
        <v>0</v>
      </c>
      <c r="J1246" s="1">
        <v>45568</v>
      </c>
      <c r="K1246" t="s">
        <v>38</v>
      </c>
      <c r="L1246" t="s">
        <v>16</v>
      </c>
      <c r="M1246">
        <v>-835.44</v>
      </c>
    </row>
    <row r="1247" spans="1:13" x14ac:dyDescent="0.25">
      <c r="A1247">
        <v>2245</v>
      </c>
      <c r="B1247" t="s">
        <v>1280</v>
      </c>
      <c r="C1247" t="s">
        <v>31</v>
      </c>
      <c r="D1247" t="s">
        <v>78</v>
      </c>
      <c r="E1247">
        <v>2</v>
      </c>
      <c r="G1247">
        <f t="shared" si="38"/>
        <v>0</v>
      </c>
      <c r="H1247" s="3">
        <v>1.27</v>
      </c>
      <c r="I1247">
        <f t="shared" si="39"/>
        <v>0</v>
      </c>
      <c r="K1247" t="s">
        <v>38</v>
      </c>
      <c r="L1247" t="s">
        <v>23</v>
      </c>
      <c r="M1247">
        <v>1929.41</v>
      </c>
    </row>
    <row r="1248" spans="1:13" x14ac:dyDescent="0.25">
      <c r="A1248">
        <v>2246</v>
      </c>
      <c r="B1248" t="s">
        <v>1281</v>
      </c>
      <c r="C1248" t="s">
        <v>25</v>
      </c>
      <c r="D1248" t="s">
        <v>62</v>
      </c>
      <c r="E1248">
        <v>2</v>
      </c>
      <c r="G1248">
        <f t="shared" si="38"/>
        <v>0</v>
      </c>
      <c r="H1248" s="3">
        <v>1.25</v>
      </c>
      <c r="I1248">
        <f t="shared" si="39"/>
        <v>0</v>
      </c>
      <c r="J1248" s="1">
        <v>45321</v>
      </c>
      <c r="K1248" t="s">
        <v>44</v>
      </c>
      <c r="L1248" t="s">
        <v>16</v>
      </c>
      <c r="M1248">
        <v>311.56</v>
      </c>
    </row>
    <row r="1249" spans="1:13" x14ac:dyDescent="0.25">
      <c r="A1249">
        <v>2247</v>
      </c>
      <c r="B1249" t="s">
        <v>1282</v>
      </c>
      <c r="C1249" t="s">
        <v>36</v>
      </c>
      <c r="D1249" t="s">
        <v>59</v>
      </c>
      <c r="E1249">
        <v>2</v>
      </c>
      <c r="F1249">
        <v>2209.4899999999998</v>
      </c>
      <c r="G1249">
        <f t="shared" si="38"/>
        <v>4418.9799999999996</v>
      </c>
      <c r="I1249">
        <f t="shared" si="39"/>
        <v>4418.9799999999996</v>
      </c>
      <c r="J1249" s="1">
        <v>45769</v>
      </c>
      <c r="K1249" t="s">
        <v>2517</v>
      </c>
      <c r="L1249" t="s">
        <v>16</v>
      </c>
      <c r="M1249">
        <v>1944.57</v>
      </c>
    </row>
    <row r="1250" spans="1:13" x14ac:dyDescent="0.25">
      <c r="A1250">
        <v>2248</v>
      </c>
      <c r="B1250" t="s">
        <v>1283</v>
      </c>
      <c r="C1250" t="s">
        <v>13</v>
      </c>
      <c r="D1250" t="s">
        <v>47</v>
      </c>
      <c r="E1250">
        <v>2</v>
      </c>
      <c r="G1250">
        <f t="shared" si="38"/>
        <v>0</v>
      </c>
      <c r="I1250">
        <f t="shared" si="39"/>
        <v>0</v>
      </c>
      <c r="J1250" s="1">
        <v>45849</v>
      </c>
      <c r="K1250" t="s">
        <v>2517</v>
      </c>
      <c r="L1250" t="s">
        <v>16</v>
      </c>
      <c r="M1250">
        <v>-306.57</v>
      </c>
    </row>
    <row r="1251" spans="1:13" x14ac:dyDescent="0.25">
      <c r="A1251">
        <v>2249</v>
      </c>
      <c r="B1251" t="s">
        <v>1284</v>
      </c>
      <c r="C1251" t="s">
        <v>36</v>
      </c>
      <c r="D1251" t="s">
        <v>55</v>
      </c>
      <c r="E1251">
        <v>1</v>
      </c>
      <c r="G1251">
        <f t="shared" si="38"/>
        <v>0</v>
      </c>
      <c r="I1251">
        <f t="shared" si="39"/>
        <v>0</v>
      </c>
      <c r="J1251" s="1">
        <v>45398</v>
      </c>
      <c r="K1251" t="s">
        <v>22</v>
      </c>
      <c r="L1251" t="s">
        <v>16</v>
      </c>
      <c r="M1251">
        <v>-132.08000000000001</v>
      </c>
    </row>
    <row r="1252" spans="1:13" x14ac:dyDescent="0.25">
      <c r="A1252">
        <v>2250</v>
      </c>
      <c r="B1252" t="s">
        <v>1285</v>
      </c>
      <c r="C1252" t="s">
        <v>20</v>
      </c>
      <c r="D1252" t="s">
        <v>21</v>
      </c>
      <c r="E1252">
        <v>2</v>
      </c>
      <c r="G1252">
        <f t="shared" si="38"/>
        <v>0</v>
      </c>
      <c r="H1252" s="3">
        <v>1.17</v>
      </c>
      <c r="I1252">
        <f t="shared" si="39"/>
        <v>0</v>
      </c>
      <c r="K1252" t="s">
        <v>22</v>
      </c>
      <c r="L1252" t="s">
        <v>16</v>
      </c>
      <c r="M1252">
        <v>2594.9</v>
      </c>
    </row>
    <row r="1253" spans="1:13" x14ac:dyDescent="0.25">
      <c r="A1253">
        <v>2251</v>
      </c>
      <c r="B1253" t="s">
        <v>1286</v>
      </c>
      <c r="C1253" t="s">
        <v>36</v>
      </c>
      <c r="D1253" t="s">
        <v>37</v>
      </c>
      <c r="E1253">
        <v>2</v>
      </c>
      <c r="F1253">
        <v>1438.68</v>
      </c>
      <c r="G1253">
        <f t="shared" si="38"/>
        <v>2877.36</v>
      </c>
      <c r="I1253">
        <f t="shared" si="39"/>
        <v>2877.36</v>
      </c>
      <c r="J1253" s="1">
        <v>45722</v>
      </c>
      <c r="K1253" t="s">
        <v>18</v>
      </c>
      <c r="L1253" t="s">
        <v>16</v>
      </c>
      <c r="M1253">
        <v>2726.72</v>
      </c>
    </row>
    <row r="1254" spans="1:13" x14ac:dyDescent="0.25">
      <c r="A1254">
        <v>2252</v>
      </c>
      <c r="B1254" t="s">
        <v>1287</v>
      </c>
      <c r="C1254" t="s">
        <v>25</v>
      </c>
      <c r="D1254" t="s">
        <v>51</v>
      </c>
      <c r="E1254">
        <v>6</v>
      </c>
      <c r="F1254">
        <v>2755.37</v>
      </c>
      <c r="G1254">
        <f t="shared" si="38"/>
        <v>16532.22</v>
      </c>
      <c r="I1254">
        <f t="shared" si="39"/>
        <v>16532.22</v>
      </c>
      <c r="J1254" s="1">
        <v>45793</v>
      </c>
      <c r="K1254" t="s">
        <v>15</v>
      </c>
      <c r="L1254" t="s">
        <v>16</v>
      </c>
      <c r="M1254">
        <v>613.59</v>
      </c>
    </row>
    <row r="1255" spans="1:13" x14ac:dyDescent="0.25">
      <c r="A1255">
        <v>2253</v>
      </c>
      <c r="B1255" t="s">
        <v>1288</v>
      </c>
      <c r="C1255" t="s">
        <v>20</v>
      </c>
      <c r="D1255" t="s">
        <v>118</v>
      </c>
      <c r="E1255">
        <v>0</v>
      </c>
      <c r="G1255">
        <f t="shared" si="38"/>
        <v>0</v>
      </c>
      <c r="I1255">
        <f t="shared" si="39"/>
        <v>0</v>
      </c>
      <c r="J1255" s="1">
        <v>45700</v>
      </c>
      <c r="K1255" t="s">
        <v>38</v>
      </c>
      <c r="L1255" t="s">
        <v>23</v>
      </c>
      <c r="M1255">
        <v>716.99</v>
      </c>
    </row>
    <row r="1256" spans="1:13" x14ac:dyDescent="0.25">
      <c r="A1256">
        <v>2254</v>
      </c>
      <c r="B1256" t="s">
        <v>1289</v>
      </c>
      <c r="C1256" t="s">
        <v>31</v>
      </c>
      <c r="D1256" t="s">
        <v>68</v>
      </c>
      <c r="E1256">
        <v>2</v>
      </c>
      <c r="F1256">
        <v>4998.91</v>
      </c>
      <c r="G1256">
        <f t="shared" si="38"/>
        <v>9997.82</v>
      </c>
      <c r="I1256">
        <f t="shared" si="39"/>
        <v>9997.82</v>
      </c>
      <c r="K1256" t="s">
        <v>22</v>
      </c>
      <c r="L1256" t="s">
        <v>23</v>
      </c>
      <c r="M1256">
        <v>-396.07</v>
      </c>
    </row>
    <row r="1257" spans="1:13" x14ac:dyDescent="0.25">
      <c r="A1257">
        <v>2255</v>
      </c>
      <c r="B1257" t="s">
        <v>1290</v>
      </c>
      <c r="C1257" t="s">
        <v>28</v>
      </c>
      <c r="D1257" t="s">
        <v>29</v>
      </c>
      <c r="E1257">
        <v>-2</v>
      </c>
      <c r="F1257">
        <v>4478.08</v>
      </c>
      <c r="G1257">
        <f t="shared" si="38"/>
        <v>-8956.16</v>
      </c>
      <c r="I1257">
        <f t="shared" si="39"/>
        <v>-8956.16</v>
      </c>
      <c r="J1257" s="1">
        <v>45782</v>
      </c>
      <c r="K1257" t="s">
        <v>44</v>
      </c>
      <c r="L1257" t="s">
        <v>16</v>
      </c>
      <c r="M1257">
        <v>2090.38</v>
      </c>
    </row>
    <row r="1258" spans="1:13" x14ac:dyDescent="0.25">
      <c r="A1258">
        <v>2256</v>
      </c>
      <c r="B1258" t="s">
        <v>1291</v>
      </c>
      <c r="C1258" t="s">
        <v>36</v>
      </c>
      <c r="D1258" t="s">
        <v>37</v>
      </c>
      <c r="E1258">
        <v>2</v>
      </c>
      <c r="F1258">
        <v>535.27</v>
      </c>
      <c r="G1258">
        <f t="shared" si="38"/>
        <v>1070.54</v>
      </c>
      <c r="I1258">
        <f t="shared" si="39"/>
        <v>1070.54</v>
      </c>
      <c r="J1258" s="1">
        <v>45740</v>
      </c>
      <c r="K1258" t="s">
        <v>18</v>
      </c>
      <c r="L1258" t="s">
        <v>23</v>
      </c>
      <c r="M1258">
        <v>1787.52</v>
      </c>
    </row>
    <row r="1259" spans="1:13" x14ac:dyDescent="0.25">
      <c r="A1259">
        <v>2257</v>
      </c>
      <c r="B1259" t="s">
        <v>1292</v>
      </c>
      <c r="C1259" t="s">
        <v>36</v>
      </c>
      <c r="D1259" t="s">
        <v>87</v>
      </c>
      <c r="E1259">
        <v>2</v>
      </c>
      <c r="G1259">
        <f t="shared" si="38"/>
        <v>0</v>
      </c>
      <c r="I1259">
        <f t="shared" si="39"/>
        <v>0</v>
      </c>
      <c r="J1259" s="1">
        <v>45678</v>
      </c>
      <c r="K1259" t="s">
        <v>22</v>
      </c>
      <c r="L1259" t="s">
        <v>16</v>
      </c>
      <c r="M1259">
        <v>980.52</v>
      </c>
    </row>
    <row r="1260" spans="1:13" x14ac:dyDescent="0.25">
      <c r="A1260">
        <v>2258</v>
      </c>
      <c r="B1260" t="s">
        <v>1293</v>
      </c>
      <c r="C1260" t="s">
        <v>25</v>
      </c>
      <c r="D1260" t="s">
        <v>82</v>
      </c>
      <c r="E1260">
        <v>2</v>
      </c>
      <c r="G1260">
        <f t="shared" si="38"/>
        <v>0</v>
      </c>
      <c r="I1260">
        <f t="shared" si="39"/>
        <v>0</v>
      </c>
      <c r="J1260" s="1">
        <v>45810</v>
      </c>
      <c r="K1260" t="s">
        <v>38</v>
      </c>
      <c r="L1260" t="s">
        <v>16</v>
      </c>
      <c r="M1260">
        <v>1444.24</v>
      </c>
    </row>
    <row r="1261" spans="1:13" x14ac:dyDescent="0.25">
      <c r="A1261">
        <v>2259</v>
      </c>
      <c r="B1261" t="s">
        <v>1294</v>
      </c>
      <c r="C1261" t="s">
        <v>25</v>
      </c>
      <c r="D1261" t="s">
        <v>51</v>
      </c>
      <c r="E1261">
        <v>1</v>
      </c>
      <c r="F1261">
        <v>2854.4</v>
      </c>
      <c r="G1261">
        <f t="shared" si="38"/>
        <v>2854.4</v>
      </c>
      <c r="I1261">
        <f t="shared" si="39"/>
        <v>2854.4</v>
      </c>
      <c r="J1261" s="1">
        <v>45508</v>
      </c>
      <c r="K1261" t="s">
        <v>38</v>
      </c>
      <c r="L1261" t="s">
        <v>16</v>
      </c>
      <c r="M1261">
        <v>542.9</v>
      </c>
    </row>
    <row r="1262" spans="1:13" x14ac:dyDescent="0.25">
      <c r="A1262">
        <v>2260</v>
      </c>
      <c r="B1262" t="s">
        <v>1295</v>
      </c>
      <c r="C1262" t="s">
        <v>13</v>
      </c>
      <c r="D1262" t="s">
        <v>98</v>
      </c>
      <c r="E1262">
        <v>-1</v>
      </c>
      <c r="G1262">
        <f t="shared" si="38"/>
        <v>0</v>
      </c>
      <c r="I1262">
        <f t="shared" si="39"/>
        <v>0</v>
      </c>
      <c r="K1262" t="s">
        <v>2517</v>
      </c>
      <c r="L1262" t="s">
        <v>23</v>
      </c>
      <c r="M1262">
        <v>2697.38</v>
      </c>
    </row>
    <row r="1263" spans="1:13" x14ac:dyDescent="0.25">
      <c r="A1263">
        <v>1039</v>
      </c>
      <c r="B1263" t="s">
        <v>1296</v>
      </c>
      <c r="C1263" t="s">
        <v>31</v>
      </c>
      <c r="D1263" t="s">
        <v>32</v>
      </c>
      <c r="E1263">
        <v>2</v>
      </c>
      <c r="F1263">
        <v>633.23</v>
      </c>
      <c r="G1263">
        <f t="shared" si="38"/>
        <v>1266.46</v>
      </c>
      <c r="I1263">
        <f t="shared" si="39"/>
        <v>1266.46</v>
      </c>
      <c r="J1263" s="1">
        <v>45539</v>
      </c>
      <c r="K1263" t="s">
        <v>22</v>
      </c>
      <c r="L1263" t="s">
        <v>16</v>
      </c>
      <c r="M1263">
        <v>232.2</v>
      </c>
    </row>
    <row r="1264" spans="1:13" x14ac:dyDescent="0.25">
      <c r="A1264">
        <v>2262</v>
      </c>
      <c r="B1264" t="s">
        <v>1297</v>
      </c>
      <c r="C1264" t="s">
        <v>36</v>
      </c>
      <c r="D1264" t="s">
        <v>55</v>
      </c>
      <c r="E1264">
        <v>2</v>
      </c>
      <c r="F1264">
        <v>2957.48</v>
      </c>
      <c r="G1264">
        <f t="shared" si="38"/>
        <v>5914.96</v>
      </c>
      <c r="I1264">
        <f t="shared" si="39"/>
        <v>5914.96</v>
      </c>
      <c r="J1264" s="1">
        <v>45544</v>
      </c>
      <c r="K1264" t="s">
        <v>2517</v>
      </c>
      <c r="L1264" t="s">
        <v>23</v>
      </c>
      <c r="M1264">
        <v>2744.25</v>
      </c>
    </row>
    <row r="1265" spans="1:13" x14ac:dyDescent="0.25">
      <c r="A1265">
        <v>2263</v>
      </c>
      <c r="B1265" t="s">
        <v>1298</v>
      </c>
      <c r="C1265" t="s">
        <v>25</v>
      </c>
      <c r="D1265" t="s">
        <v>82</v>
      </c>
      <c r="E1265">
        <v>2</v>
      </c>
      <c r="F1265">
        <v>4252.05</v>
      </c>
      <c r="G1265">
        <f t="shared" si="38"/>
        <v>8504.1</v>
      </c>
      <c r="I1265">
        <f t="shared" si="39"/>
        <v>8504.1</v>
      </c>
      <c r="K1265" t="s">
        <v>22</v>
      </c>
      <c r="L1265" t="s">
        <v>16</v>
      </c>
      <c r="M1265">
        <v>-396.3</v>
      </c>
    </row>
    <row r="1266" spans="1:13" x14ac:dyDescent="0.25">
      <c r="A1266">
        <v>2264</v>
      </c>
      <c r="B1266" t="s">
        <v>1299</v>
      </c>
      <c r="C1266" t="s">
        <v>13</v>
      </c>
      <c r="D1266" t="s">
        <v>47</v>
      </c>
      <c r="E1266">
        <v>2</v>
      </c>
      <c r="F1266">
        <v>3541.13</v>
      </c>
      <c r="G1266">
        <f t="shared" si="38"/>
        <v>7082.26</v>
      </c>
      <c r="H1266" s="3">
        <v>1.3</v>
      </c>
      <c r="I1266">
        <f t="shared" si="39"/>
        <v>-2124.6780000000003</v>
      </c>
      <c r="K1266" t="s">
        <v>2517</v>
      </c>
      <c r="L1266" t="s">
        <v>23</v>
      </c>
      <c r="M1266">
        <v>1711.99</v>
      </c>
    </row>
    <row r="1267" spans="1:13" x14ac:dyDescent="0.25">
      <c r="A1267">
        <v>2265</v>
      </c>
      <c r="B1267" t="s">
        <v>1300</v>
      </c>
      <c r="C1267" t="s">
        <v>31</v>
      </c>
      <c r="D1267" t="s">
        <v>78</v>
      </c>
      <c r="E1267">
        <v>2</v>
      </c>
      <c r="G1267">
        <f t="shared" si="38"/>
        <v>0</v>
      </c>
      <c r="H1267" s="3">
        <v>0.5</v>
      </c>
      <c r="I1267">
        <f t="shared" si="39"/>
        <v>0</v>
      </c>
      <c r="J1267" s="1">
        <v>45736</v>
      </c>
      <c r="K1267" t="s">
        <v>38</v>
      </c>
      <c r="L1267" t="s">
        <v>16</v>
      </c>
      <c r="M1267">
        <v>399.62</v>
      </c>
    </row>
    <row r="1268" spans="1:13" x14ac:dyDescent="0.25">
      <c r="A1268">
        <v>1036</v>
      </c>
      <c r="B1268" t="s">
        <v>1301</v>
      </c>
      <c r="C1268" t="s">
        <v>25</v>
      </c>
      <c r="D1268" t="s">
        <v>82</v>
      </c>
      <c r="E1268">
        <v>6</v>
      </c>
      <c r="F1268">
        <v>4437.4399999999996</v>
      </c>
      <c r="G1268">
        <f t="shared" si="38"/>
        <v>26624.639999999999</v>
      </c>
      <c r="I1268">
        <f t="shared" si="39"/>
        <v>26624.639999999999</v>
      </c>
      <c r="J1268" s="1">
        <v>45539</v>
      </c>
      <c r="K1268" t="s">
        <v>44</v>
      </c>
      <c r="L1268" t="s">
        <v>16</v>
      </c>
      <c r="M1268">
        <v>493.76</v>
      </c>
    </row>
    <row r="1269" spans="1:13" x14ac:dyDescent="0.25">
      <c r="A1269">
        <v>2267</v>
      </c>
      <c r="B1269" t="s">
        <v>1302</v>
      </c>
      <c r="C1269" t="s">
        <v>36</v>
      </c>
      <c r="D1269" t="s">
        <v>37</v>
      </c>
      <c r="E1269">
        <v>2</v>
      </c>
      <c r="G1269">
        <f t="shared" si="38"/>
        <v>0</v>
      </c>
      <c r="I1269">
        <f t="shared" si="39"/>
        <v>0</v>
      </c>
      <c r="K1269" t="s">
        <v>38</v>
      </c>
      <c r="L1269" t="s">
        <v>16</v>
      </c>
      <c r="M1269">
        <v>1989.07</v>
      </c>
    </row>
    <row r="1270" spans="1:13" x14ac:dyDescent="0.25">
      <c r="A1270">
        <v>2268</v>
      </c>
      <c r="B1270" t="s">
        <v>1303</v>
      </c>
      <c r="C1270" t="s">
        <v>25</v>
      </c>
      <c r="D1270" t="s">
        <v>26</v>
      </c>
      <c r="E1270">
        <v>2</v>
      </c>
      <c r="F1270">
        <v>4300.05</v>
      </c>
      <c r="G1270">
        <f t="shared" si="38"/>
        <v>8600.1</v>
      </c>
      <c r="I1270">
        <f t="shared" si="39"/>
        <v>8600.1</v>
      </c>
      <c r="J1270" s="1">
        <v>45618</v>
      </c>
      <c r="K1270" t="s">
        <v>38</v>
      </c>
      <c r="L1270" t="s">
        <v>23</v>
      </c>
      <c r="M1270">
        <v>-589.26</v>
      </c>
    </row>
    <row r="1271" spans="1:13" x14ac:dyDescent="0.25">
      <c r="A1271">
        <v>2269</v>
      </c>
      <c r="B1271" t="s">
        <v>1304</v>
      </c>
      <c r="C1271" t="s">
        <v>25</v>
      </c>
      <c r="D1271" t="s">
        <v>82</v>
      </c>
      <c r="E1271">
        <v>2</v>
      </c>
      <c r="G1271">
        <f t="shared" si="38"/>
        <v>0</v>
      </c>
      <c r="I1271">
        <f t="shared" si="39"/>
        <v>0</v>
      </c>
      <c r="J1271" s="1">
        <v>45834</v>
      </c>
      <c r="K1271" t="s">
        <v>2517</v>
      </c>
      <c r="L1271" t="s">
        <v>16</v>
      </c>
      <c r="M1271">
        <v>742.42</v>
      </c>
    </row>
    <row r="1272" spans="1:13" x14ac:dyDescent="0.25">
      <c r="A1272">
        <v>2270</v>
      </c>
      <c r="B1272" t="s">
        <v>1305</v>
      </c>
      <c r="C1272" t="s">
        <v>36</v>
      </c>
      <c r="D1272" t="s">
        <v>55</v>
      </c>
      <c r="E1272">
        <v>1</v>
      </c>
      <c r="F1272">
        <v>2710.56</v>
      </c>
      <c r="G1272">
        <f t="shared" si="38"/>
        <v>2710.56</v>
      </c>
      <c r="I1272">
        <f t="shared" si="39"/>
        <v>2710.56</v>
      </c>
      <c r="J1272" s="1">
        <v>45783</v>
      </c>
      <c r="K1272" t="s">
        <v>15</v>
      </c>
      <c r="L1272" t="s">
        <v>16</v>
      </c>
      <c r="M1272">
        <v>2414.4699999999998</v>
      </c>
    </row>
    <row r="1273" spans="1:13" x14ac:dyDescent="0.25">
      <c r="A1273">
        <v>2271</v>
      </c>
      <c r="B1273" t="s">
        <v>1306</v>
      </c>
      <c r="C1273" t="s">
        <v>28</v>
      </c>
      <c r="D1273" t="s">
        <v>40</v>
      </c>
      <c r="E1273">
        <v>2</v>
      </c>
      <c r="G1273">
        <f t="shared" si="38"/>
        <v>0</v>
      </c>
      <c r="H1273" s="3">
        <v>0.36</v>
      </c>
      <c r="I1273">
        <f t="shared" si="39"/>
        <v>0</v>
      </c>
      <c r="K1273" t="s">
        <v>38</v>
      </c>
      <c r="L1273" t="s">
        <v>16</v>
      </c>
      <c r="M1273">
        <v>999.24</v>
      </c>
    </row>
    <row r="1274" spans="1:13" x14ac:dyDescent="0.25">
      <c r="A1274">
        <v>2272</v>
      </c>
      <c r="B1274" t="s">
        <v>1307</v>
      </c>
      <c r="C1274" t="s">
        <v>20</v>
      </c>
      <c r="D1274" t="s">
        <v>118</v>
      </c>
      <c r="E1274">
        <v>4</v>
      </c>
      <c r="F1274">
        <v>2540.1</v>
      </c>
      <c r="G1274">
        <f t="shared" si="38"/>
        <v>10160.4</v>
      </c>
      <c r="H1274" s="3">
        <v>0.69</v>
      </c>
      <c r="I1274">
        <f t="shared" si="39"/>
        <v>3149.7240000000006</v>
      </c>
      <c r="J1274" s="1">
        <v>45803</v>
      </c>
      <c r="K1274" t="s">
        <v>22</v>
      </c>
      <c r="L1274" t="s">
        <v>16</v>
      </c>
      <c r="M1274">
        <v>733.06</v>
      </c>
    </row>
    <row r="1275" spans="1:13" x14ac:dyDescent="0.25">
      <c r="A1275">
        <v>2273</v>
      </c>
      <c r="B1275" t="s">
        <v>1308</v>
      </c>
      <c r="C1275" t="s">
        <v>13</v>
      </c>
      <c r="D1275" t="s">
        <v>98</v>
      </c>
      <c r="E1275">
        <v>6</v>
      </c>
      <c r="F1275">
        <v>3064.21</v>
      </c>
      <c r="G1275">
        <f t="shared" si="38"/>
        <v>18385.260000000002</v>
      </c>
      <c r="I1275">
        <f t="shared" si="39"/>
        <v>18385.260000000002</v>
      </c>
      <c r="J1275" s="1">
        <v>45571</v>
      </c>
      <c r="K1275" t="s">
        <v>15</v>
      </c>
      <c r="L1275" t="s">
        <v>16</v>
      </c>
      <c r="M1275">
        <v>1569.81</v>
      </c>
    </row>
    <row r="1276" spans="1:13" x14ac:dyDescent="0.25">
      <c r="A1276">
        <v>2274</v>
      </c>
      <c r="B1276" t="s">
        <v>1309</v>
      </c>
      <c r="C1276" t="s">
        <v>36</v>
      </c>
      <c r="D1276" t="s">
        <v>59</v>
      </c>
      <c r="E1276">
        <v>2</v>
      </c>
      <c r="F1276">
        <v>4456.6499999999996</v>
      </c>
      <c r="G1276">
        <f t="shared" si="38"/>
        <v>8913.2999999999993</v>
      </c>
      <c r="I1276">
        <f t="shared" si="39"/>
        <v>8913.2999999999993</v>
      </c>
      <c r="J1276" s="1">
        <v>45572</v>
      </c>
      <c r="K1276" t="s">
        <v>15</v>
      </c>
      <c r="L1276" t="s">
        <v>16</v>
      </c>
      <c r="M1276">
        <v>9.1</v>
      </c>
    </row>
    <row r="1277" spans="1:13" x14ac:dyDescent="0.25">
      <c r="A1277">
        <v>2275</v>
      </c>
      <c r="B1277" t="s">
        <v>1310</v>
      </c>
      <c r="C1277" t="s">
        <v>28</v>
      </c>
      <c r="D1277" t="s">
        <v>40</v>
      </c>
      <c r="E1277">
        <v>2</v>
      </c>
      <c r="F1277">
        <v>3899.04</v>
      </c>
      <c r="G1277">
        <f t="shared" si="38"/>
        <v>7798.08</v>
      </c>
      <c r="I1277">
        <f t="shared" si="39"/>
        <v>7798.08</v>
      </c>
      <c r="J1277" s="1">
        <v>45497</v>
      </c>
      <c r="K1277" t="s">
        <v>18</v>
      </c>
      <c r="L1277" t="s">
        <v>16</v>
      </c>
      <c r="M1277">
        <v>2522.67</v>
      </c>
    </row>
    <row r="1278" spans="1:13" x14ac:dyDescent="0.25">
      <c r="A1278">
        <v>2276</v>
      </c>
      <c r="B1278" t="s">
        <v>1311</v>
      </c>
      <c r="C1278" t="s">
        <v>20</v>
      </c>
      <c r="D1278" t="s">
        <v>118</v>
      </c>
      <c r="E1278">
        <v>3</v>
      </c>
      <c r="G1278">
        <f t="shared" si="38"/>
        <v>0</v>
      </c>
      <c r="I1278">
        <f t="shared" si="39"/>
        <v>0</v>
      </c>
      <c r="J1278" s="1">
        <v>45216</v>
      </c>
      <c r="K1278" t="s">
        <v>38</v>
      </c>
      <c r="L1278" t="s">
        <v>16</v>
      </c>
      <c r="M1278">
        <v>2089.34</v>
      </c>
    </row>
    <row r="1279" spans="1:13" x14ac:dyDescent="0.25">
      <c r="A1279">
        <v>2277</v>
      </c>
      <c r="B1279" t="s">
        <v>1312</v>
      </c>
      <c r="C1279" t="s">
        <v>13</v>
      </c>
      <c r="D1279" t="s">
        <v>34</v>
      </c>
      <c r="E1279">
        <v>3</v>
      </c>
      <c r="G1279">
        <f t="shared" si="38"/>
        <v>0</v>
      </c>
      <c r="I1279">
        <f t="shared" si="39"/>
        <v>0</v>
      </c>
      <c r="J1279" s="1">
        <v>45597</v>
      </c>
      <c r="K1279" t="s">
        <v>22</v>
      </c>
      <c r="L1279" t="s">
        <v>16</v>
      </c>
      <c r="M1279">
        <v>2814.36</v>
      </c>
    </row>
    <row r="1280" spans="1:13" x14ac:dyDescent="0.25">
      <c r="A1280">
        <v>2278</v>
      </c>
      <c r="B1280" t="s">
        <v>1313</v>
      </c>
      <c r="C1280" t="s">
        <v>36</v>
      </c>
      <c r="D1280" t="s">
        <v>37</v>
      </c>
      <c r="E1280">
        <v>2</v>
      </c>
      <c r="G1280">
        <f t="shared" si="38"/>
        <v>0</v>
      </c>
      <c r="H1280" s="3">
        <v>0.95</v>
      </c>
      <c r="I1280">
        <f t="shared" si="39"/>
        <v>0</v>
      </c>
      <c r="J1280" s="1">
        <v>45816</v>
      </c>
      <c r="K1280" t="s">
        <v>22</v>
      </c>
      <c r="L1280" t="s">
        <v>23</v>
      </c>
      <c r="M1280">
        <v>787.23</v>
      </c>
    </row>
    <row r="1281" spans="1:13" x14ac:dyDescent="0.25">
      <c r="A1281">
        <v>2279</v>
      </c>
      <c r="B1281" t="s">
        <v>1314</v>
      </c>
      <c r="C1281" t="s">
        <v>28</v>
      </c>
      <c r="D1281" t="s">
        <v>29</v>
      </c>
      <c r="E1281">
        <v>6</v>
      </c>
      <c r="F1281">
        <v>3294.21</v>
      </c>
      <c r="G1281">
        <f t="shared" si="38"/>
        <v>19765.260000000002</v>
      </c>
      <c r="H1281" s="3">
        <v>0.89</v>
      </c>
      <c r="I1281">
        <f t="shared" si="39"/>
        <v>2174.1786000000002</v>
      </c>
      <c r="J1281" s="1">
        <v>45572</v>
      </c>
      <c r="K1281" t="s">
        <v>44</v>
      </c>
      <c r="L1281" t="s">
        <v>16</v>
      </c>
      <c r="M1281">
        <v>1874.46</v>
      </c>
    </row>
    <row r="1282" spans="1:13" x14ac:dyDescent="0.25">
      <c r="A1282">
        <v>2280</v>
      </c>
      <c r="B1282" t="s">
        <v>1315</v>
      </c>
      <c r="C1282" t="s">
        <v>31</v>
      </c>
      <c r="D1282" t="s">
        <v>32</v>
      </c>
      <c r="E1282">
        <v>2</v>
      </c>
      <c r="G1282">
        <f t="shared" si="38"/>
        <v>0</v>
      </c>
      <c r="H1282" s="3">
        <v>1.1499999999999999</v>
      </c>
      <c r="I1282">
        <f t="shared" si="39"/>
        <v>0</v>
      </c>
      <c r="J1282" s="1">
        <v>45860</v>
      </c>
      <c r="K1282" t="s">
        <v>18</v>
      </c>
      <c r="L1282" t="s">
        <v>16</v>
      </c>
      <c r="M1282">
        <v>-230.98</v>
      </c>
    </row>
    <row r="1283" spans="1:13" x14ac:dyDescent="0.25">
      <c r="A1283">
        <v>2281</v>
      </c>
      <c r="B1283" t="s">
        <v>1316</v>
      </c>
      <c r="C1283" t="s">
        <v>36</v>
      </c>
      <c r="D1283" t="s">
        <v>37</v>
      </c>
      <c r="E1283">
        <v>-1</v>
      </c>
      <c r="G1283">
        <f t="shared" ref="G1283:G1346" si="40">F1283*E1283</f>
        <v>0</v>
      </c>
      <c r="I1283">
        <f t="shared" ref="I1283:I1346" si="41">G1283*(1-H1283)</f>
        <v>0</v>
      </c>
      <c r="K1283" t="s">
        <v>44</v>
      </c>
      <c r="L1283" t="s">
        <v>16</v>
      </c>
      <c r="M1283">
        <v>-308.93</v>
      </c>
    </row>
    <row r="1284" spans="1:13" x14ac:dyDescent="0.25">
      <c r="A1284">
        <v>2282</v>
      </c>
      <c r="B1284" t="s">
        <v>1317</v>
      </c>
      <c r="C1284" t="s">
        <v>20</v>
      </c>
      <c r="D1284" t="s">
        <v>21</v>
      </c>
      <c r="E1284">
        <v>2</v>
      </c>
      <c r="F1284">
        <v>491.36</v>
      </c>
      <c r="G1284">
        <f t="shared" si="40"/>
        <v>982.72</v>
      </c>
      <c r="H1284" s="3">
        <v>0.42</v>
      </c>
      <c r="I1284">
        <f t="shared" si="41"/>
        <v>569.97760000000005</v>
      </c>
      <c r="J1284" s="1">
        <v>45276</v>
      </c>
      <c r="K1284" t="s">
        <v>15</v>
      </c>
      <c r="L1284" t="s">
        <v>16</v>
      </c>
      <c r="M1284">
        <v>1231.3699999999999</v>
      </c>
    </row>
    <row r="1285" spans="1:13" x14ac:dyDescent="0.25">
      <c r="A1285">
        <v>2283</v>
      </c>
      <c r="B1285" t="s">
        <v>1318</v>
      </c>
      <c r="C1285" t="s">
        <v>20</v>
      </c>
      <c r="D1285" t="s">
        <v>84</v>
      </c>
      <c r="E1285">
        <v>6</v>
      </c>
      <c r="G1285">
        <f t="shared" si="40"/>
        <v>0</v>
      </c>
      <c r="H1285" s="3">
        <v>0.94</v>
      </c>
      <c r="I1285">
        <f t="shared" si="41"/>
        <v>0</v>
      </c>
      <c r="J1285" s="1">
        <v>45762</v>
      </c>
      <c r="K1285" t="s">
        <v>38</v>
      </c>
      <c r="L1285" t="s">
        <v>16</v>
      </c>
      <c r="M1285">
        <v>2079.0100000000002</v>
      </c>
    </row>
    <row r="1286" spans="1:13" x14ac:dyDescent="0.25">
      <c r="A1286">
        <v>2284</v>
      </c>
      <c r="B1286" t="s">
        <v>1319</v>
      </c>
      <c r="C1286" t="s">
        <v>28</v>
      </c>
      <c r="D1286" t="s">
        <v>137</v>
      </c>
      <c r="E1286">
        <v>2</v>
      </c>
      <c r="F1286">
        <v>3736.2</v>
      </c>
      <c r="G1286">
        <f t="shared" si="40"/>
        <v>7472.4</v>
      </c>
      <c r="I1286">
        <f t="shared" si="41"/>
        <v>7472.4</v>
      </c>
      <c r="J1286" s="1">
        <v>45743</v>
      </c>
      <c r="K1286" t="s">
        <v>15</v>
      </c>
      <c r="L1286" t="s">
        <v>16</v>
      </c>
      <c r="M1286">
        <v>-440.98</v>
      </c>
    </row>
    <row r="1287" spans="1:13" x14ac:dyDescent="0.25">
      <c r="A1287">
        <v>2285</v>
      </c>
      <c r="B1287" t="s">
        <v>1320</v>
      </c>
      <c r="C1287" t="s">
        <v>25</v>
      </c>
      <c r="D1287" t="s">
        <v>26</v>
      </c>
      <c r="E1287">
        <v>2</v>
      </c>
      <c r="F1287">
        <v>2287.67</v>
      </c>
      <c r="G1287">
        <f t="shared" si="40"/>
        <v>4575.34</v>
      </c>
      <c r="H1287" s="3">
        <v>0.56000000000000005</v>
      </c>
      <c r="I1287">
        <f t="shared" si="41"/>
        <v>2013.1495999999997</v>
      </c>
      <c r="J1287" s="1">
        <v>45391</v>
      </c>
      <c r="K1287" t="s">
        <v>2517</v>
      </c>
      <c r="L1287" t="s">
        <v>23</v>
      </c>
      <c r="M1287">
        <v>-827.66</v>
      </c>
    </row>
    <row r="1288" spans="1:13" x14ac:dyDescent="0.25">
      <c r="A1288">
        <v>2286</v>
      </c>
      <c r="B1288" t="s">
        <v>1321</v>
      </c>
      <c r="C1288" t="s">
        <v>20</v>
      </c>
      <c r="D1288" t="s">
        <v>84</v>
      </c>
      <c r="E1288">
        <v>1</v>
      </c>
      <c r="G1288">
        <f t="shared" si="40"/>
        <v>0</v>
      </c>
      <c r="I1288">
        <f t="shared" si="41"/>
        <v>0</v>
      </c>
      <c r="J1288" s="1">
        <v>45770</v>
      </c>
      <c r="K1288" t="s">
        <v>44</v>
      </c>
      <c r="L1288" t="s">
        <v>16</v>
      </c>
      <c r="M1288">
        <v>-810.33</v>
      </c>
    </row>
    <row r="1289" spans="1:13" x14ac:dyDescent="0.25">
      <c r="A1289">
        <v>2287</v>
      </c>
      <c r="B1289" t="s">
        <v>1322</v>
      </c>
      <c r="C1289" t="s">
        <v>25</v>
      </c>
      <c r="D1289" t="s">
        <v>26</v>
      </c>
      <c r="E1289">
        <v>4</v>
      </c>
      <c r="G1289">
        <f t="shared" si="40"/>
        <v>0</v>
      </c>
      <c r="I1289">
        <f t="shared" si="41"/>
        <v>0</v>
      </c>
      <c r="K1289" t="s">
        <v>38</v>
      </c>
      <c r="L1289" t="s">
        <v>23</v>
      </c>
      <c r="M1289">
        <v>715.96</v>
      </c>
    </row>
    <row r="1290" spans="1:13" x14ac:dyDescent="0.25">
      <c r="A1290">
        <v>2288</v>
      </c>
      <c r="B1290" t="s">
        <v>1323</v>
      </c>
      <c r="C1290" t="s">
        <v>36</v>
      </c>
      <c r="D1290" t="s">
        <v>59</v>
      </c>
      <c r="E1290">
        <v>4</v>
      </c>
      <c r="G1290">
        <f t="shared" si="40"/>
        <v>0</v>
      </c>
      <c r="I1290">
        <f t="shared" si="41"/>
        <v>0</v>
      </c>
      <c r="K1290" t="s">
        <v>38</v>
      </c>
      <c r="L1290" t="s">
        <v>16</v>
      </c>
      <c r="M1290">
        <v>1167.1600000000001</v>
      </c>
    </row>
    <row r="1291" spans="1:13" x14ac:dyDescent="0.25">
      <c r="A1291">
        <v>2289</v>
      </c>
      <c r="B1291" t="s">
        <v>1324</v>
      </c>
      <c r="C1291" t="s">
        <v>36</v>
      </c>
      <c r="D1291" t="s">
        <v>37</v>
      </c>
      <c r="E1291">
        <v>0</v>
      </c>
      <c r="F1291">
        <v>3407.2</v>
      </c>
      <c r="G1291">
        <f t="shared" si="40"/>
        <v>0</v>
      </c>
      <c r="I1291">
        <f t="shared" si="41"/>
        <v>0</v>
      </c>
      <c r="K1291" t="s">
        <v>18</v>
      </c>
      <c r="L1291" t="s">
        <v>16</v>
      </c>
      <c r="M1291">
        <v>2344.16</v>
      </c>
    </row>
    <row r="1292" spans="1:13" x14ac:dyDescent="0.25">
      <c r="A1292">
        <v>2290</v>
      </c>
      <c r="B1292" t="s">
        <v>1325</v>
      </c>
      <c r="C1292" t="s">
        <v>36</v>
      </c>
      <c r="D1292" t="s">
        <v>37</v>
      </c>
      <c r="E1292">
        <v>4</v>
      </c>
      <c r="F1292">
        <v>1405.39</v>
      </c>
      <c r="G1292">
        <f t="shared" si="40"/>
        <v>5621.56</v>
      </c>
      <c r="I1292">
        <f t="shared" si="41"/>
        <v>5621.56</v>
      </c>
      <c r="J1292" s="1">
        <v>45527</v>
      </c>
      <c r="K1292" t="s">
        <v>38</v>
      </c>
      <c r="L1292" t="s">
        <v>16</v>
      </c>
      <c r="M1292">
        <v>712.37</v>
      </c>
    </row>
    <row r="1293" spans="1:13" x14ac:dyDescent="0.25">
      <c r="A1293">
        <v>2291</v>
      </c>
      <c r="B1293" t="s">
        <v>1326</v>
      </c>
      <c r="C1293" t="s">
        <v>36</v>
      </c>
      <c r="D1293" t="s">
        <v>87</v>
      </c>
      <c r="E1293">
        <v>4</v>
      </c>
      <c r="F1293">
        <v>3217.82</v>
      </c>
      <c r="G1293">
        <f t="shared" si="40"/>
        <v>12871.28</v>
      </c>
      <c r="I1293">
        <f t="shared" si="41"/>
        <v>12871.28</v>
      </c>
      <c r="K1293" t="s">
        <v>38</v>
      </c>
      <c r="L1293" t="s">
        <v>23</v>
      </c>
      <c r="M1293">
        <v>2909.8</v>
      </c>
    </row>
    <row r="1294" spans="1:13" x14ac:dyDescent="0.25">
      <c r="A1294">
        <v>2292</v>
      </c>
      <c r="B1294" t="s">
        <v>1327</v>
      </c>
      <c r="C1294" t="s">
        <v>36</v>
      </c>
      <c r="D1294" t="s">
        <v>87</v>
      </c>
      <c r="E1294">
        <v>2</v>
      </c>
      <c r="F1294">
        <v>3974.58</v>
      </c>
      <c r="G1294">
        <f t="shared" si="40"/>
        <v>7949.16</v>
      </c>
      <c r="I1294">
        <f t="shared" si="41"/>
        <v>7949.16</v>
      </c>
      <c r="J1294" s="1">
        <v>45726</v>
      </c>
      <c r="K1294" t="s">
        <v>2517</v>
      </c>
      <c r="L1294" t="s">
        <v>16</v>
      </c>
      <c r="M1294">
        <v>-0.12</v>
      </c>
    </row>
    <row r="1295" spans="1:13" x14ac:dyDescent="0.25">
      <c r="A1295">
        <v>2293</v>
      </c>
      <c r="B1295" t="s">
        <v>1328</v>
      </c>
      <c r="C1295" t="s">
        <v>25</v>
      </c>
      <c r="D1295" t="s">
        <v>26</v>
      </c>
      <c r="E1295">
        <v>2</v>
      </c>
      <c r="F1295">
        <v>3241.57</v>
      </c>
      <c r="G1295">
        <f t="shared" si="40"/>
        <v>6483.14</v>
      </c>
      <c r="I1295">
        <f t="shared" si="41"/>
        <v>6483.14</v>
      </c>
      <c r="J1295" s="1">
        <v>45500</v>
      </c>
      <c r="K1295" t="s">
        <v>18</v>
      </c>
      <c r="L1295" t="s">
        <v>16</v>
      </c>
      <c r="M1295">
        <v>2518.36</v>
      </c>
    </row>
    <row r="1296" spans="1:13" x14ac:dyDescent="0.25">
      <c r="A1296">
        <v>2294</v>
      </c>
      <c r="B1296" t="s">
        <v>1329</v>
      </c>
      <c r="C1296" t="s">
        <v>36</v>
      </c>
      <c r="D1296" t="s">
        <v>55</v>
      </c>
      <c r="E1296">
        <v>-1</v>
      </c>
      <c r="G1296">
        <f t="shared" si="40"/>
        <v>0</v>
      </c>
      <c r="H1296" s="3">
        <v>0.16</v>
      </c>
      <c r="I1296">
        <f t="shared" si="41"/>
        <v>0</v>
      </c>
      <c r="J1296" s="1">
        <v>45147</v>
      </c>
      <c r="K1296" t="s">
        <v>15</v>
      </c>
      <c r="L1296" t="s">
        <v>16</v>
      </c>
      <c r="M1296">
        <v>1019.45</v>
      </c>
    </row>
    <row r="1297" spans="1:13" x14ac:dyDescent="0.25">
      <c r="A1297">
        <v>2295</v>
      </c>
      <c r="B1297" t="s">
        <v>1330</v>
      </c>
      <c r="C1297" t="s">
        <v>25</v>
      </c>
      <c r="D1297" t="s">
        <v>51</v>
      </c>
      <c r="E1297">
        <v>2</v>
      </c>
      <c r="F1297">
        <v>3189.35</v>
      </c>
      <c r="G1297">
        <f t="shared" si="40"/>
        <v>6378.7</v>
      </c>
      <c r="I1297">
        <f t="shared" si="41"/>
        <v>6378.7</v>
      </c>
      <c r="J1297" s="1">
        <v>45569</v>
      </c>
      <c r="K1297" t="s">
        <v>38</v>
      </c>
      <c r="L1297" t="s">
        <v>16</v>
      </c>
      <c r="M1297">
        <v>-683.11</v>
      </c>
    </row>
    <row r="1298" spans="1:13" x14ac:dyDescent="0.25">
      <c r="A1298">
        <v>1014</v>
      </c>
      <c r="B1298" t="s">
        <v>1331</v>
      </c>
      <c r="C1298" t="s">
        <v>31</v>
      </c>
      <c r="D1298" t="s">
        <v>78</v>
      </c>
      <c r="E1298">
        <v>6</v>
      </c>
      <c r="G1298">
        <f t="shared" si="40"/>
        <v>0</v>
      </c>
      <c r="H1298" s="3">
        <v>0.28999999999999998</v>
      </c>
      <c r="I1298">
        <f t="shared" si="41"/>
        <v>0</v>
      </c>
      <c r="J1298" s="1">
        <v>45840</v>
      </c>
      <c r="K1298" t="s">
        <v>44</v>
      </c>
      <c r="L1298" t="s">
        <v>16</v>
      </c>
      <c r="M1298">
        <v>-958.22</v>
      </c>
    </row>
    <row r="1299" spans="1:13" x14ac:dyDescent="0.25">
      <c r="A1299">
        <v>2297</v>
      </c>
      <c r="B1299" t="s">
        <v>1332</v>
      </c>
      <c r="C1299" t="s">
        <v>36</v>
      </c>
      <c r="D1299" t="s">
        <v>87</v>
      </c>
      <c r="E1299">
        <v>2</v>
      </c>
      <c r="G1299">
        <f t="shared" si="40"/>
        <v>0</v>
      </c>
      <c r="H1299" s="3">
        <v>0.28999999999999998</v>
      </c>
      <c r="I1299">
        <f t="shared" si="41"/>
        <v>0</v>
      </c>
      <c r="J1299" s="1">
        <v>45666</v>
      </c>
      <c r="K1299" t="s">
        <v>15</v>
      </c>
      <c r="L1299" t="s">
        <v>16</v>
      </c>
      <c r="M1299">
        <v>2879.59</v>
      </c>
    </row>
    <row r="1300" spans="1:13" x14ac:dyDescent="0.25">
      <c r="A1300">
        <v>2298</v>
      </c>
      <c r="B1300" t="s">
        <v>1333</v>
      </c>
      <c r="C1300" t="s">
        <v>31</v>
      </c>
      <c r="D1300" t="s">
        <v>78</v>
      </c>
      <c r="E1300">
        <v>2</v>
      </c>
      <c r="G1300">
        <f t="shared" si="40"/>
        <v>0</v>
      </c>
      <c r="I1300">
        <f t="shared" si="41"/>
        <v>0</v>
      </c>
      <c r="J1300" s="1">
        <v>45812</v>
      </c>
      <c r="K1300" t="s">
        <v>18</v>
      </c>
      <c r="L1300" t="s">
        <v>16</v>
      </c>
      <c r="M1300">
        <v>-778.84</v>
      </c>
    </row>
    <row r="1301" spans="1:13" x14ac:dyDescent="0.25">
      <c r="A1301">
        <v>2299</v>
      </c>
      <c r="B1301" t="s">
        <v>1334</v>
      </c>
      <c r="C1301" t="s">
        <v>31</v>
      </c>
      <c r="D1301" t="s">
        <v>78</v>
      </c>
      <c r="E1301">
        <v>-2</v>
      </c>
      <c r="G1301">
        <f t="shared" si="40"/>
        <v>0</v>
      </c>
      <c r="H1301" s="3">
        <v>1.27</v>
      </c>
      <c r="I1301">
        <f t="shared" si="41"/>
        <v>0</v>
      </c>
      <c r="J1301" s="1">
        <v>45770</v>
      </c>
      <c r="K1301" t="s">
        <v>22</v>
      </c>
      <c r="L1301" t="s">
        <v>16</v>
      </c>
      <c r="M1301">
        <v>2892.16</v>
      </c>
    </row>
    <row r="1302" spans="1:13" x14ac:dyDescent="0.25">
      <c r="A1302">
        <v>2300</v>
      </c>
      <c r="B1302" t="s">
        <v>1335</v>
      </c>
      <c r="C1302" t="s">
        <v>28</v>
      </c>
      <c r="D1302" t="s">
        <v>40</v>
      </c>
      <c r="E1302">
        <v>2</v>
      </c>
      <c r="G1302">
        <f t="shared" si="40"/>
        <v>0</v>
      </c>
      <c r="I1302">
        <f t="shared" si="41"/>
        <v>0</v>
      </c>
      <c r="K1302" t="s">
        <v>2517</v>
      </c>
      <c r="L1302" t="s">
        <v>16</v>
      </c>
      <c r="M1302">
        <v>-59.16</v>
      </c>
    </row>
    <row r="1303" spans="1:13" x14ac:dyDescent="0.25">
      <c r="A1303">
        <v>2301</v>
      </c>
      <c r="B1303" t="s">
        <v>1336</v>
      </c>
      <c r="C1303" t="s">
        <v>36</v>
      </c>
      <c r="D1303" t="s">
        <v>55</v>
      </c>
      <c r="E1303">
        <v>2</v>
      </c>
      <c r="F1303">
        <v>3335.27</v>
      </c>
      <c r="G1303">
        <f t="shared" si="40"/>
        <v>6670.54</v>
      </c>
      <c r="H1303" s="3">
        <v>1.1299999999999999</v>
      </c>
      <c r="I1303">
        <f t="shared" si="41"/>
        <v>-867.17019999999934</v>
      </c>
      <c r="J1303" s="1">
        <v>45626</v>
      </c>
      <c r="K1303" t="s">
        <v>22</v>
      </c>
      <c r="L1303" t="s">
        <v>16</v>
      </c>
      <c r="M1303">
        <v>1415.8</v>
      </c>
    </row>
    <row r="1304" spans="1:13" x14ac:dyDescent="0.25">
      <c r="A1304">
        <v>2302</v>
      </c>
      <c r="B1304" t="s">
        <v>1337</v>
      </c>
      <c r="C1304" t="s">
        <v>36</v>
      </c>
      <c r="D1304" t="s">
        <v>87</v>
      </c>
      <c r="E1304">
        <v>1</v>
      </c>
      <c r="G1304">
        <f t="shared" si="40"/>
        <v>0</v>
      </c>
      <c r="I1304">
        <f t="shared" si="41"/>
        <v>0</v>
      </c>
      <c r="K1304" t="s">
        <v>18</v>
      </c>
      <c r="L1304" t="s">
        <v>16</v>
      </c>
      <c r="M1304">
        <v>1520.6</v>
      </c>
    </row>
    <row r="1305" spans="1:13" x14ac:dyDescent="0.25">
      <c r="A1305">
        <v>2303</v>
      </c>
      <c r="B1305" t="s">
        <v>1338</v>
      </c>
      <c r="C1305" t="s">
        <v>25</v>
      </c>
      <c r="D1305" t="s">
        <v>51</v>
      </c>
      <c r="E1305">
        <v>6</v>
      </c>
      <c r="F1305">
        <v>2201.87</v>
      </c>
      <c r="G1305">
        <f t="shared" si="40"/>
        <v>13211.22</v>
      </c>
      <c r="I1305">
        <f t="shared" si="41"/>
        <v>13211.22</v>
      </c>
      <c r="K1305" t="s">
        <v>2517</v>
      </c>
      <c r="L1305" t="s">
        <v>16</v>
      </c>
      <c r="M1305">
        <v>1919.35</v>
      </c>
    </row>
    <row r="1306" spans="1:13" x14ac:dyDescent="0.25">
      <c r="A1306">
        <v>2304</v>
      </c>
      <c r="B1306" t="s">
        <v>1339</v>
      </c>
      <c r="C1306" t="s">
        <v>28</v>
      </c>
      <c r="D1306" t="s">
        <v>137</v>
      </c>
      <c r="E1306">
        <v>2</v>
      </c>
      <c r="G1306">
        <f t="shared" si="40"/>
        <v>0</v>
      </c>
      <c r="H1306" s="3">
        <v>0.3</v>
      </c>
      <c r="I1306">
        <f t="shared" si="41"/>
        <v>0</v>
      </c>
      <c r="J1306" s="1">
        <v>45811</v>
      </c>
      <c r="K1306" t="s">
        <v>44</v>
      </c>
      <c r="L1306" t="s">
        <v>16</v>
      </c>
      <c r="M1306">
        <v>2013.34</v>
      </c>
    </row>
    <row r="1307" spans="1:13" x14ac:dyDescent="0.25">
      <c r="A1307">
        <v>2305</v>
      </c>
      <c r="B1307" t="s">
        <v>1340</v>
      </c>
      <c r="C1307" t="s">
        <v>20</v>
      </c>
      <c r="D1307" t="s">
        <v>76</v>
      </c>
      <c r="E1307">
        <v>2</v>
      </c>
      <c r="F1307">
        <v>3476.06</v>
      </c>
      <c r="G1307">
        <f t="shared" si="40"/>
        <v>6952.12</v>
      </c>
      <c r="I1307">
        <f t="shared" si="41"/>
        <v>6952.12</v>
      </c>
      <c r="K1307" t="s">
        <v>38</v>
      </c>
      <c r="L1307" t="s">
        <v>16</v>
      </c>
      <c r="M1307">
        <v>1379.32</v>
      </c>
    </row>
    <row r="1308" spans="1:13" x14ac:dyDescent="0.25">
      <c r="A1308">
        <v>2306</v>
      </c>
      <c r="B1308" t="s">
        <v>1341</v>
      </c>
      <c r="C1308" t="s">
        <v>25</v>
      </c>
      <c r="D1308" t="s">
        <v>82</v>
      </c>
      <c r="E1308">
        <v>-2</v>
      </c>
      <c r="G1308">
        <f t="shared" si="40"/>
        <v>0</v>
      </c>
      <c r="H1308" s="3">
        <v>1.1499999999999999</v>
      </c>
      <c r="I1308">
        <f t="shared" si="41"/>
        <v>0</v>
      </c>
      <c r="J1308" s="1">
        <v>45260</v>
      </c>
      <c r="K1308" t="s">
        <v>18</v>
      </c>
      <c r="L1308" t="s">
        <v>16</v>
      </c>
      <c r="M1308">
        <v>2166.71</v>
      </c>
    </row>
    <row r="1309" spans="1:13" x14ac:dyDescent="0.25">
      <c r="A1309">
        <v>2307</v>
      </c>
      <c r="B1309" t="s">
        <v>1342</v>
      </c>
      <c r="C1309" t="s">
        <v>25</v>
      </c>
      <c r="D1309" t="s">
        <v>82</v>
      </c>
      <c r="E1309">
        <v>2</v>
      </c>
      <c r="G1309">
        <f t="shared" si="40"/>
        <v>0</v>
      </c>
      <c r="I1309">
        <f t="shared" si="41"/>
        <v>0</v>
      </c>
      <c r="J1309" s="1">
        <v>45283</v>
      </c>
      <c r="K1309" t="s">
        <v>44</v>
      </c>
      <c r="L1309" t="s">
        <v>16</v>
      </c>
      <c r="M1309">
        <v>1998.57</v>
      </c>
    </row>
    <row r="1310" spans="1:13" x14ac:dyDescent="0.25">
      <c r="A1310">
        <v>2308</v>
      </c>
      <c r="B1310" t="s">
        <v>1343</v>
      </c>
      <c r="C1310" t="s">
        <v>36</v>
      </c>
      <c r="D1310" t="s">
        <v>55</v>
      </c>
      <c r="E1310">
        <v>2</v>
      </c>
      <c r="F1310">
        <v>3978.48</v>
      </c>
      <c r="G1310">
        <f t="shared" si="40"/>
        <v>7956.96</v>
      </c>
      <c r="I1310">
        <f t="shared" si="41"/>
        <v>7956.96</v>
      </c>
      <c r="J1310" s="1">
        <v>45632</v>
      </c>
      <c r="K1310" t="s">
        <v>15</v>
      </c>
      <c r="L1310" t="s">
        <v>16</v>
      </c>
      <c r="M1310">
        <v>929.92</v>
      </c>
    </row>
    <row r="1311" spans="1:13" x14ac:dyDescent="0.25">
      <c r="A1311">
        <v>2309</v>
      </c>
      <c r="B1311" t="s">
        <v>1344</v>
      </c>
      <c r="C1311" t="s">
        <v>13</v>
      </c>
      <c r="D1311" t="s">
        <v>34</v>
      </c>
      <c r="E1311">
        <v>1</v>
      </c>
      <c r="G1311">
        <f t="shared" si="40"/>
        <v>0</v>
      </c>
      <c r="I1311">
        <f t="shared" si="41"/>
        <v>0</v>
      </c>
      <c r="K1311" t="s">
        <v>15</v>
      </c>
      <c r="L1311" t="s">
        <v>23</v>
      </c>
      <c r="M1311">
        <v>-464.01</v>
      </c>
    </row>
    <row r="1312" spans="1:13" x14ac:dyDescent="0.25">
      <c r="A1312">
        <v>1003</v>
      </c>
      <c r="B1312" t="s">
        <v>1345</v>
      </c>
      <c r="C1312" t="s">
        <v>13</v>
      </c>
      <c r="D1312" t="s">
        <v>47</v>
      </c>
      <c r="E1312">
        <v>-1</v>
      </c>
      <c r="F1312">
        <v>4426.82</v>
      </c>
      <c r="G1312">
        <f t="shared" si="40"/>
        <v>-4426.82</v>
      </c>
      <c r="I1312">
        <f t="shared" si="41"/>
        <v>-4426.82</v>
      </c>
      <c r="J1312" s="1">
        <v>45780</v>
      </c>
      <c r="K1312" t="s">
        <v>2517</v>
      </c>
      <c r="L1312" t="s">
        <v>16</v>
      </c>
      <c r="M1312">
        <v>2095.4499999999998</v>
      </c>
    </row>
    <row r="1313" spans="1:13" x14ac:dyDescent="0.25">
      <c r="A1313">
        <v>1034</v>
      </c>
      <c r="B1313" t="s">
        <v>1346</v>
      </c>
      <c r="C1313" t="s">
        <v>20</v>
      </c>
      <c r="D1313" t="s">
        <v>118</v>
      </c>
      <c r="E1313">
        <v>2</v>
      </c>
      <c r="F1313">
        <v>3062.79</v>
      </c>
      <c r="G1313">
        <f t="shared" si="40"/>
        <v>6125.58</v>
      </c>
      <c r="I1313">
        <f t="shared" si="41"/>
        <v>6125.58</v>
      </c>
      <c r="J1313" s="1">
        <v>45503</v>
      </c>
      <c r="K1313" t="s">
        <v>2517</v>
      </c>
      <c r="L1313" t="s">
        <v>16</v>
      </c>
      <c r="M1313">
        <v>1135.53</v>
      </c>
    </row>
    <row r="1314" spans="1:13" x14ac:dyDescent="0.25">
      <c r="A1314">
        <v>2312</v>
      </c>
      <c r="B1314" t="s">
        <v>1347</v>
      </c>
      <c r="C1314" t="s">
        <v>13</v>
      </c>
      <c r="D1314" t="s">
        <v>47</v>
      </c>
      <c r="E1314">
        <v>2</v>
      </c>
      <c r="F1314">
        <v>2688.08</v>
      </c>
      <c r="G1314">
        <f t="shared" si="40"/>
        <v>5376.16</v>
      </c>
      <c r="I1314">
        <f t="shared" si="41"/>
        <v>5376.16</v>
      </c>
      <c r="J1314" s="1">
        <v>45521</v>
      </c>
      <c r="K1314" t="s">
        <v>44</v>
      </c>
      <c r="L1314" t="s">
        <v>23</v>
      </c>
      <c r="M1314">
        <v>1913.21</v>
      </c>
    </row>
    <row r="1315" spans="1:13" x14ac:dyDescent="0.25">
      <c r="A1315">
        <v>2313</v>
      </c>
      <c r="B1315" t="s">
        <v>1348</v>
      </c>
      <c r="C1315" t="s">
        <v>36</v>
      </c>
      <c r="D1315" t="s">
        <v>37</v>
      </c>
      <c r="E1315">
        <v>2</v>
      </c>
      <c r="F1315">
        <v>2440.38</v>
      </c>
      <c r="G1315">
        <f t="shared" si="40"/>
        <v>4880.76</v>
      </c>
      <c r="I1315">
        <f t="shared" si="41"/>
        <v>4880.76</v>
      </c>
      <c r="J1315" s="1">
        <v>45724</v>
      </c>
      <c r="K1315" t="s">
        <v>38</v>
      </c>
      <c r="L1315" t="s">
        <v>23</v>
      </c>
      <c r="M1315">
        <v>-899.53</v>
      </c>
    </row>
    <row r="1316" spans="1:13" x14ac:dyDescent="0.25">
      <c r="A1316">
        <v>2314</v>
      </c>
      <c r="B1316" t="s">
        <v>1349</v>
      </c>
      <c r="C1316" t="s">
        <v>28</v>
      </c>
      <c r="D1316" t="s">
        <v>116</v>
      </c>
      <c r="E1316">
        <v>2</v>
      </c>
      <c r="G1316">
        <f t="shared" si="40"/>
        <v>0</v>
      </c>
      <c r="I1316">
        <f t="shared" si="41"/>
        <v>0</v>
      </c>
      <c r="J1316" s="1">
        <v>45642</v>
      </c>
      <c r="K1316" t="s">
        <v>44</v>
      </c>
      <c r="L1316" t="s">
        <v>23</v>
      </c>
      <c r="M1316">
        <v>949.17</v>
      </c>
    </row>
    <row r="1317" spans="1:13" x14ac:dyDescent="0.25">
      <c r="A1317">
        <v>2315</v>
      </c>
      <c r="B1317" t="s">
        <v>1350</v>
      </c>
      <c r="C1317" t="s">
        <v>36</v>
      </c>
      <c r="D1317" t="s">
        <v>37</v>
      </c>
      <c r="E1317">
        <v>1</v>
      </c>
      <c r="G1317">
        <f t="shared" si="40"/>
        <v>0</v>
      </c>
      <c r="I1317">
        <f t="shared" si="41"/>
        <v>0</v>
      </c>
      <c r="J1317" s="1">
        <v>45710</v>
      </c>
      <c r="K1317" t="s">
        <v>44</v>
      </c>
      <c r="L1317" t="s">
        <v>23</v>
      </c>
      <c r="M1317">
        <v>261.63</v>
      </c>
    </row>
    <row r="1318" spans="1:13" x14ac:dyDescent="0.25">
      <c r="A1318">
        <v>2316</v>
      </c>
      <c r="B1318" t="s">
        <v>1351</v>
      </c>
      <c r="C1318" t="s">
        <v>13</v>
      </c>
      <c r="D1318" t="s">
        <v>98</v>
      </c>
      <c r="E1318">
        <v>4</v>
      </c>
      <c r="F1318">
        <v>1529.48</v>
      </c>
      <c r="G1318">
        <f t="shared" si="40"/>
        <v>6117.92</v>
      </c>
      <c r="I1318">
        <f t="shared" si="41"/>
        <v>6117.92</v>
      </c>
      <c r="J1318" s="1">
        <v>45410</v>
      </c>
      <c r="K1318" t="s">
        <v>22</v>
      </c>
      <c r="L1318" t="s">
        <v>16</v>
      </c>
      <c r="M1318">
        <v>1325.56</v>
      </c>
    </row>
    <row r="1319" spans="1:13" x14ac:dyDescent="0.25">
      <c r="A1319">
        <v>2317</v>
      </c>
      <c r="B1319" t="s">
        <v>1352</v>
      </c>
      <c r="C1319" t="s">
        <v>25</v>
      </c>
      <c r="D1319" t="s">
        <v>82</v>
      </c>
      <c r="E1319">
        <v>2</v>
      </c>
      <c r="F1319">
        <v>1005.41</v>
      </c>
      <c r="G1319">
        <f t="shared" si="40"/>
        <v>2010.82</v>
      </c>
      <c r="I1319">
        <f t="shared" si="41"/>
        <v>2010.82</v>
      </c>
      <c r="J1319" s="1">
        <v>45814</v>
      </c>
      <c r="K1319" t="s">
        <v>15</v>
      </c>
      <c r="L1319" t="s">
        <v>16</v>
      </c>
      <c r="M1319">
        <v>566.17999999999995</v>
      </c>
    </row>
    <row r="1320" spans="1:13" x14ac:dyDescent="0.25">
      <c r="A1320">
        <v>2318</v>
      </c>
      <c r="B1320" t="s">
        <v>1353</v>
      </c>
      <c r="C1320" t="s">
        <v>31</v>
      </c>
      <c r="D1320" t="s">
        <v>32</v>
      </c>
      <c r="E1320">
        <v>2</v>
      </c>
      <c r="G1320">
        <f t="shared" si="40"/>
        <v>0</v>
      </c>
      <c r="I1320">
        <f t="shared" si="41"/>
        <v>0</v>
      </c>
      <c r="J1320" s="1">
        <v>45760</v>
      </c>
      <c r="K1320" t="s">
        <v>2517</v>
      </c>
      <c r="L1320" t="s">
        <v>16</v>
      </c>
      <c r="M1320">
        <v>1145.48</v>
      </c>
    </row>
    <row r="1321" spans="1:13" x14ac:dyDescent="0.25">
      <c r="A1321">
        <v>2319</v>
      </c>
      <c r="B1321" t="s">
        <v>1354</v>
      </c>
      <c r="C1321" t="s">
        <v>36</v>
      </c>
      <c r="D1321" t="s">
        <v>59</v>
      </c>
      <c r="E1321">
        <v>2</v>
      </c>
      <c r="F1321">
        <v>881.41</v>
      </c>
      <c r="G1321">
        <f t="shared" si="40"/>
        <v>1762.82</v>
      </c>
      <c r="H1321" s="3">
        <v>1.22</v>
      </c>
      <c r="I1321">
        <f t="shared" si="41"/>
        <v>-387.82039999999995</v>
      </c>
      <c r="K1321" t="s">
        <v>44</v>
      </c>
      <c r="L1321" t="s">
        <v>16</v>
      </c>
      <c r="M1321">
        <v>1541.77</v>
      </c>
    </row>
    <row r="1322" spans="1:13" x14ac:dyDescent="0.25">
      <c r="A1322">
        <v>2320</v>
      </c>
      <c r="B1322" t="s">
        <v>1355</v>
      </c>
      <c r="C1322" t="s">
        <v>13</v>
      </c>
      <c r="D1322" t="s">
        <v>47</v>
      </c>
      <c r="E1322">
        <v>2</v>
      </c>
      <c r="G1322">
        <f t="shared" si="40"/>
        <v>0</v>
      </c>
      <c r="H1322" s="3">
        <v>1.27</v>
      </c>
      <c r="I1322">
        <f t="shared" si="41"/>
        <v>0</v>
      </c>
      <c r="J1322" s="1">
        <v>45505</v>
      </c>
      <c r="K1322" t="s">
        <v>2517</v>
      </c>
      <c r="L1322" t="s">
        <v>16</v>
      </c>
      <c r="M1322">
        <v>1960.76</v>
      </c>
    </row>
    <row r="1323" spans="1:13" x14ac:dyDescent="0.25">
      <c r="A1323">
        <v>2321</v>
      </c>
      <c r="B1323" t="s">
        <v>1356</v>
      </c>
      <c r="C1323" t="s">
        <v>25</v>
      </c>
      <c r="D1323" t="s">
        <v>51</v>
      </c>
      <c r="E1323">
        <v>2</v>
      </c>
      <c r="G1323">
        <f t="shared" si="40"/>
        <v>0</v>
      </c>
      <c r="I1323">
        <f t="shared" si="41"/>
        <v>0</v>
      </c>
      <c r="J1323" s="1">
        <v>45742</v>
      </c>
      <c r="K1323" t="s">
        <v>44</v>
      </c>
      <c r="L1323" t="s">
        <v>23</v>
      </c>
      <c r="M1323">
        <v>1864.22</v>
      </c>
    </row>
    <row r="1324" spans="1:13" x14ac:dyDescent="0.25">
      <c r="A1324">
        <v>2322</v>
      </c>
      <c r="B1324" t="s">
        <v>1357</v>
      </c>
      <c r="C1324" t="s">
        <v>31</v>
      </c>
      <c r="D1324" t="s">
        <v>32</v>
      </c>
      <c r="E1324">
        <v>2</v>
      </c>
      <c r="G1324">
        <f t="shared" si="40"/>
        <v>0</v>
      </c>
      <c r="H1324" s="3">
        <v>0.98</v>
      </c>
      <c r="I1324">
        <f t="shared" si="41"/>
        <v>0</v>
      </c>
      <c r="K1324" t="s">
        <v>44</v>
      </c>
      <c r="L1324" t="s">
        <v>16</v>
      </c>
      <c r="M1324">
        <v>195.27</v>
      </c>
    </row>
    <row r="1325" spans="1:13" x14ac:dyDescent="0.25">
      <c r="A1325">
        <v>2323</v>
      </c>
      <c r="B1325" t="s">
        <v>1358</v>
      </c>
      <c r="C1325" t="s">
        <v>13</v>
      </c>
      <c r="D1325" t="s">
        <v>47</v>
      </c>
      <c r="E1325">
        <v>2</v>
      </c>
      <c r="G1325">
        <f t="shared" si="40"/>
        <v>0</v>
      </c>
      <c r="I1325">
        <f t="shared" si="41"/>
        <v>0</v>
      </c>
      <c r="J1325" s="1">
        <v>45694</v>
      </c>
      <c r="K1325" t="s">
        <v>44</v>
      </c>
      <c r="L1325" t="s">
        <v>16</v>
      </c>
      <c r="M1325">
        <v>2903.66</v>
      </c>
    </row>
    <row r="1326" spans="1:13" x14ac:dyDescent="0.25">
      <c r="A1326">
        <v>1025</v>
      </c>
      <c r="B1326" t="s">
        <v>1359</v>
      </c>
      <c r="C1326" t="s">
        <v>31</v>
      </c>
      <c r="D1326" t="s">
        <v>42</v>
      </c>
      <c r="E1326">
        <v>2</v>
      </c>
      <c r="G1326">
        <f t="shared" si="40"/>
        <v>0</v>
      </c>
      <c r="I1326">
        <f t="shared" si="41"/>
        <v>0</v>
      </c>
      <c r="K1326" t="s">
        <v>15</v>
      </c>
      <c r="L1326" t="s">
        <v>23</v>
      </c>
      <c r="M1326">
        <v>-973.7</v>
      </c>
    </row>
    <row r="1327" spans="1:13" x14ac:dyDescent="0.25">
      <c r="A1327">
        <v>2325</v>
      </c>
      <c r="B1327" t="s">
        <v>1360</v>
      </c>
      <c r="C1327" t="s">
        <v>36</v>
      </c>
      <c r="D1327" t="s">
        <v>87</v>
      </c>
      <c r="E1327">
        <v>1</v>
      </c>
      <c r="G1327">
        <f t="shared" si="40"/>
        <v>0</v>
      </c>
      <c r="H1327" s="3">
        <v>1.19</v>
      </c>
      <c r="I1327">
        <f t="shared" si="41"/>
        <v>0</v>
      </c>
      <c r="K1327" t="s">
        <v>38</v>
      </c>
      <c r="L1327" t="s">
        <v>23</v>
      </c>
      <c r="M1327">
        <v>1634.79</v>
      </c>
    </row>
    <row r="1328" spans="1:13" x14ac:dyDescent="0.25">
      <c r="A1328">
        <v>2326</v>
      </c>
      <c r="B1328" t="s">
        <v>1361</v>
      </c>
      <c r="C1328" t="s">
        <v>25</v>
      </c>
      <c r="D1328" t="s">
        <v>51</v>
      </c>
      <c r="E1328">
        <v>2</v>
      </c>
      <c r="F1328">
        <v>1718.14</v>
      </c>
      <c r="G1328">
        <f t="shared" si="40"/>
        <v>3436.28</v>
      </c>
      <c r="I1328">
        <f t="shared" si="41"/>
        <v>3436.28</v>
      </c>
      <c r="J1328" s="1">
        <v>45736</v>
      </c>
      <c r="K1328" t="s">
        <v>18</v>
      </c>
      <c r="L1328" t="s">
        <v>23</v>
      </c>
      <c r="M1328">
        <v>1309.05</v>
      </c>
    </row>
    <row r="1329" spans="1:13" x14ac:dyDescent="0.25">
      <c r="A1329">
        <v>2327</v>
      </c>
      <c r="B1329" t="s">
        <v>1362</v>
      </c>
      <c r="C1329" t="s">
        <v>25</v>
      </c>
      <c r="D1329" t="s">
        <v>62</v>
      </c>
      <c r="E1329">
        <v>-2</v>
      </c>
      <c r="G1329">
        <f t="shared" si="40"/>
        <v>0</v>
      </c>
      <c r="H1329" s="3">
        <v>0.76</v>
      </c>
      <c r="I1329">
        <f t="shared" si="41"/>
        <v>0</v>
      </c>
      <c r="J1329" s="1">
        <v>45714</v>
      </c>
      <c r="K1329" t="s">
        <v>44</v>
      </c>
      <c r="L1329" t="s">
        <v>16</v>
      </c>
      <c r="M1329">
        <v>-357.33</v>
      </c>
    </row>
    <row r="1330" spans="1:13" x14ac:dyDescent="0.25">
      <c r="A1330">
        <v>2328</v>
      </c>
      <c r="B1330" t="s">
        <v>1363</v>
      </c>
      <c r="C1330" t="s">
        <v>13</v>
      </c>
      <c r="D1330" t="s">
        <v>34</v>
      </c>
      <c r="E1330">
        <v>2</v>
      </c>
      <c r="G1330">
        <f t="shared" si="40"/>
        <v>0</v>
      </c>
      <c r="I1330">
        <f t="shared" si="41"/>
        <v>0</v>
      </c>
      <c r="K1330" t="s">
        <v>22</v>
      </c>
      <c r="L1330" t="s">
        <v>16</v>
      </c>
      <c r="M1330">
        <v>1385.5</v>
      </c>
    </row>
    <row r="1331" spans="1:13" x14ac:dyDescent="0.25">
      <c r="A1331">
        <v>1024</v>
      </c>
      <c r="B1331" t="s">
        <v>1364</v>
      </c>
      <c r="C1331" t="s">
        <v>13</v>
      </c>
      <c r="D1331" t="s">
        <v>47</v>
      </c>
      <c r="E1331">
        <v>2</v>
      </c>
      <c r="F1331">
        <v>1580.59</v>
      </c>
      <c r="G1331">
        <f t="shared" si="40"/>
        <v>3161.18</v>
      </c>
      <c r="H1331" s="3">
        <v>0.08</v>
      </c>
      <c r="I1331">
        <f t="shared" si="41"/>
        <v>2908.2856000000002</v>
      </c>
      <c r="J1331" s="1">
        <v>45782</v>
      </c>
      <c r="K1331" t="s">
        <v>15</v>
      </c>
      <c r="L1331" t="s">
        <v>23</v>
      </c>
      <c r="M1331">
        <v>1786.82</v>
      </c>
    </row>
    <row r="1332" spans="1:13" x14ac:dyDescent="0.25">
      <c r="A1332">
        <v>2330</v>
      </c>
      <c r="B1332" t="s">
        <v>1365</v>
      </c>
      <c r="C1332" t="s">
        <v>25</v>
      </c>
      <c r="D1332" t="s">
        <v>82</v>
      </c>
      <c r="E1332">
        <v>6</v>
      </c>
      <c r="G1332">
        <f t="shared" si="40"/>
        <v>0</v>
      </c>
      <c r="H1332" s="3">
        <v>0.53</v>
      </c>
      <c r="I1332">
        <f t="shared" si="41"/>
        <v>0</v>
      </c>
      <c r="K1332" t="s">
        <v>44</v>
      </c>
      <c r="L1332" t="s">
        <v>16</v>
      </c>
      <c r="M1332">
        <v>-44.8</v>
      </c>
    </row>
    <row r="1333" spans="1:13" x14ac:dyDescent="0.25">
      <c r="A1333">
        <v>2331</v>
      </c>
      <c r="B1333" t="s">
        <v>1366</v>
      </c>
      <c r="C1333" t="s">
        <v>36</v>
      </c>
      <c r="D1333" t="s">
        <v>37</v>
      </c>
      <c r="E1333">
        <v>-2</v>
      </c>
      <c r="F1333">
        <v>2967.49</v>
      </c>
      <c r="G1333">
        <f t="shared" si="40"/>
        <v>-5934.98</v>
      </c>
      <c r="I1333">
        <f t="shared" si="41"/>
        <v>-5934.98</v>
      </c>
      <c r="J1333" s="1">
        <v>45781</v>
      </c>
      <c r="K1333" t="s">
        <v>44</v>
      </c>
      <c r="L1333" t="s">
        <v>16</v>
      </c>
      <c r="M1333">
        <v>1890.42</v>
      </c>
    </row>
    <row r="1334" spans="1:13" x14ac:dyDescent="0.25">
      <c r="A1334">
        <v>2332</v>
      </c>
      <c r="B1334" t="s">
        <v>1367</v>
      </c>
      <c r="C1334" t="s">
        <v>20</v>
      </c>
      <c r="D1334" t="s">
        <v>118</v>
      </c>
      <c r="E1334">
        <v>2</v>
      </c>
      <c r="F1334">
        <v>4066.97</v>
      </c>
      <c r="G1334">
        <f t="shared" si="40"/>
        <v>8133.94</v>
      </c>
      <c r="H1334" s="3">
        <v>0.59</v>
      </c>
      <c r="I1334">
        <f t="shared" si="41"/>
        <v>3334.9153999999999</v>
      </c>
      <c r="J1334" s="1">
        <v>45806</v>
      </c>
      <c r="K1334" t="s">
        <v>22</v>
      </c>
      <c r="L1334" t="s">
        <v>16</v>
      </c>
      <c r="M1334">
        <v>977.09</v>
      </c>
    </row>
    <row r="1335" spans="1:13" x14ac:dyDescent="0.25">
      <c r="A1335">
        <v>2333</v>
      </c>
      <c r="B1335" t="s">
        <v>1368</v>
      </c>
      <c r="C1335" t="s">
        <v>36</v>
      </c>
      <c r="D1335" t="s">
        <v>37</v>
      </c>
      <c r="E1335">
        <v>2</v>
      </c>
      <c r="G1335">
        <f t="shared" si="40"/>
        <v>0</v>
      </c>
      <c r="I1335">
        <f t="shared" si="41"/>
        <v>0</v>
      </c>
      <c r="J1335" s="1">
        <v>45313</v>
      </c>
      <c r="K1335" t="s">
        <v>18</v>
      </c>
      <c r="L1335" t="s">
        <v>16</v>
      </c>
      <c r="M1335">
        <v>761.35</v>
      </c>
    </row>
    <row r="1336" spans="1:13" x14ac:dyDescent="0.25">
      <c r="A1336">
        <v>2334</v>
      </c>
      <c r="B1336" t="s">
        <v>1369</v>
      </c>
      <c r="C1336" t="s">
        <v>13</v>
      </c>
      <c r="D1336" t="s">
        <v>98</v>
      </c>
      <c r="E1336">
        <v>2</v>
      </c>
      <c r="F1336">
        <v>2295.4899999999998</v>
      </c>
      <c r="G1336">
        <f t="shared" si="40"/>
        <v>4590.9799999999996</v>
      </c>
      <c r="I1336">
        <f t="shared" si="41"/>
        <v>4590.9799999999996</v>
      </c>
      <c r="K1336" t="s">
        <v>44</v>
      </c>
      <c r="L1336" t="s">
        <v>16</v>
      </c>
      <c r="M1336">
        <v>2846.96</v>
      </c>
    </row>
    <row r="1337" spans="1:13" x14ac:dyDescent="0.25">
      <c r="A1337">
        <v>2335</v>
      </c>
      <c r="B1337" t="s">
        <v>1370</v>
      </c>
      <c r="C1337" t="s">
        <v>28</v>
      </c>
      <c r="D1337" t="s">
        <v>137</v>
      </c>
      <c r="E1337">
        <v>1</v>
      </c>
      <c r="F1337">
        <v>3508.21</v>
      </c>
      <c r="G1337">
        <f t="shared" si="40"/>
        <v>3508.21</v>
      </c>
      <c r="H1337" s="3">
        <v>0.62</v>
      </c>
      <c r="I1337">
        <f t="shared" si="41"/>
        <v>1333.1197999999999</v>
      </c>
      <c r="J1337" s="1">
        <v>45586</v>
      </c>
      <c r="K1337" t="s">
        <v>38</v>
      </c>
      <c r="L1337" t="s">
        <v>23</v>
      </c>
      <c r="M1337">
        <v>-309.14999999999998</v>
      </c>
    </row>
    <row r="1338" spans="1:13" x14ac:dyDescent="0.25">
      <c r="A1338">
        <v>2336</v>
      </c>
      <c r="B1338" t="s">
        <v>1371</v>
      </c>
      <c r="C1338" t="s">
        <v>20</v>
      </c>
      <c r="D1338" t="s">
        <v>118</v>
      </c>
      <c r="E1338">
        <v>4</v>
      </c>
      <c r="G1338">
        <f t="shared" si="40"/>
        <v>0</v>
      </c>
      <c r="I1338">
        <f t="shared" si="41"/>
        <v>0</v>
      </c>
      <c r="J1338" s="1">
        <v>45587</v>
      </c>
      <c r="K1338" t="s">
        <v>18</v>
      </c>
      <c r="L1338" t="s">
        <v>16</v>
      </c>
      <c r="M1338">
        <v>1339.62</v>
      </c>
    </row>
    <row r="1339" spans="1:13" x14ac:dyDescent="0.25">
      <c r="A1339">
        <v>2337</v>
      </c>
      <c r="B1339" t="s">
        <v>1372</v>
      </c>
      <c r="C1339" t="s">
        <v>13</v>
      </c>
      <c r="D1339" t="s">
        <v>34</v>
      </c>
      <c r="E1339">
        <v>0</v>
      </c>
      <c r="F1339">
        <v>1295.44</v>
      </c>
      <c r="G1339">
        <f t="shared" si="40"/>
        <v>0</v>
      </c>
      <c r="I1339">
        <f t="shared" si="41"/>
        <v>0</v>
      </c>
      <c r="J1339" s="1">
        <v>45704</v>
      </c>
      <c r="K1339" t="s">
        <v>18</v>
      </c>
      <c r="L1339" t="s">
        <v>16</v>
      </c>
      <c r="M1339">
        <v>1552.41</v>
      </c>
    </row>
    <row r="1340" spans="1:13" x14ac:dyDescent="0.25">
      <c r="A1340">
        <v>2338</v>
      </c>
      <c r="B1340" t="s">
        <v>1373</v>
      </c>
      <c r="C1340" t="s">
        <v>36</v>
      </c>
      <c r="D1340" t="s">
        <v>59</v>
      </c>
      <c r="E1340">
        <v>5</v>
      </c>
      <c r="F1340">
        <v>1378.76</v>
      </c>
      <c r="G1340">
        <f t="shared" si="40"/>
        <v>6893.8</v>
      </c>
      <c r="H1340" s="3">
        <v>0.19</v>
      </c>
      <c r="I1340">
        <f t="shared" si="41"/>
        <v>5583.9780000000001</v>
      </c>
      <c r="J1340" s="1">
        <v>45699</v>
      </c>
      <c r="K1340" t="s">
        <v>22</v>
      </c>
      <c r="L1340" t="s">
        <v>23</v>
      </c>
      <c r="M1340">
        <v>2284.9699999999998</v>
      </c>
    </row>
    <row r="1341" spans="1:13" x14ac:dyDescent="0.25">
      <c r="A1341">
        <v>2339</v>
      </c>
      <c r="B1341" t="s">
        <v>1374</v>
      </c>
      <c r="C1341" t="s">
        <v>13</v>
      </c>
      <c r="D1341" t="s">
        <v>98</v>
      </c>
      <c r="E1341">
        <v>1</v>
      </c>
      <c r="F1341">
        <v>1289.24</v>
      </c>
      <c r="G1341">
        <f t="shared" si="40"/>
        <v>1289.24</v>
      </c>
      <c r="I1341">
        <f t="shared" si="41"/>
        <v>1289.24</v>
      </c>
      <c r="J1341" s="1">
        <v>45595</v>
      </c>
      <c r="K1341" t="s">
        <v>22</v>
      </c>
      <c r="L1341" t="s">
        <v>23</v>
      </c>
      <c r="M1341">
        <v>555.48</v>
      </c>
    </row>
    <row r="1342" spans="1:13" x14ac:dyDescent="0.25">
      <c r="A1342">
        <v>2340</v>
      </c>
      <c r="B1342" t="s">
        <v>1375</v>
      </c>
      <c r="C1342" t="s">
        <v>25</v>
      </c>
      <c r="D1342" t="s">
        <v>62</v>
      </c>
      <c r="E1342">
        <v>-2</v>
      </c>
      <c r="G1342">
        <f t="shared" si="40"/>
        <v>0</v>
      </c>
      <c r="I1342">
        <f t="shared" si="41"/>
        <v>0</v>
      </c>
      <c r="K1342" t="s">
        <v>2517</v>
      </c>
      <c r="L1342" t="s">
        <v>23</v>
      </c>
      <c r="M1342">
        <v>345.45</v>
      </c>
    </row>
    <row r="1343" spans="1:13" x14ac:dyDescent="0.25">
      <c r="A1343">
        <v>2341</v>
      </c>
      <c r="B1343" t="s">
        <v>1376</v>
      </c>
      <c r="C1343" t="s">
        <v>31</v>
      </c>
      <c r="D1343" t="s">
        <v>68</v>
      </c>
      <c r="E1343">
        <v>2</v>
      </c>
      <c r="G1343">
        <f t="shared" si="40"/>
        <v>0</v>
      </c>
      <c r="H1343" s="3">
        <v>0.59</v>
      </c>
      <c r="I1343">
        <f t="shared" si="41"/>
        <v>0</v>
      </c>
      <c r="J1343" s="1">
        <v>45609</v>
      </c>
      <c r="K1343" t="s">
        <v>18</v>
      </c>
      <c r="L1343" t="s">
        <v>16</v>
      </c>
      <c r="M1343">
        <v>259.57</v>
      </c>
    </row>
    <row r="1344" spans="1:13" x14ac:dyDescent="0.25">
      <c r="A1344">
        <v>2342</v>
      </c>
      <c r="B1344" t="s">
        <v>1377</v>
      </c>
      <c r="C1344" t="s">
        <v>31</v>
      </c>
      <c r="D1344" t="s">
        <v>42</v>
      </c>
      <c r="E1344">
        <v>2</v>
      </c>
      <c r="F1344">
        <v>1042.4100000000001</v>
      </c>
      <c r="G1344">
        <f t="shared" si="40"/>
        <v>2084.8200000000002</v>
      </c>
      <c r="I1344">
        <f t="shared" si="41"/>
        <v>2084.8200000000002</v>
      </c>
      <c r="J1344" s="1">
        <v>45322</v>
      </c>
      <c r="K1344" t="s">
        <v>18</v>
      </c>
      <c r="L1344" t="s">
        <v>16</v>
      </c>
      <c r="M1344">
        <v>2778.49</v>
      </c>
    </row>
    <row r="1345" spans="1:13" x14ac:dyDescent="0.25">
      <c r="A1345">
        <v>2343</v>
      </c>
      <c r="B1345" t="s">
        <v>1378</v>
      </c>
      <c r="C1345" t="s">
        <v>13</v>
      </c>
      <c r="D1345" t="s">
        <v>14</v>
      </c>
      <c r="E1345">
        <v>2</v>
      </c>
      <c r="G1345">
        <f t="shared" si="40"/>
        <v>0</v>
      </c>
      <c r="I1345">
        <f t="shared" si="41"/>
        <v>0</v>
      </c>
      <c r="J1345" s="1">
        <v>45795</v>
      </c>
      <c r="K1345" t="s">
        <v>18</v>
      </c>
      <c r="L1345" t="s">
        <v>16</v>
      </c>
      <c r="M1345">
        <v>2829.76</v>
      </c>
    </row>
    <row r="1346" spans="1:13" x14ac:dyDescent="0.25">
      <c r="A1346">
        <v>2344</v>
      </c>
      <c r="B1346" t="s">
        <v>1379</v>
      </c>
      <c r="C1346" t="s">
        <v>13</v>
      </c>
      <c r="D1346" t="s">
        <v>14</v>
      </c>
      <c r="E1346">
        <v>2</v>
      </c>
      <c r="G1346">
        <f t="shared" si="40"/>
        <v>0</v>
      </c>
      <c r="H1346" s="3">
        <v>1.0900000000000001</v>
      </c>
      <c r="I1346">
        <f t="shared" si="41"/>
        <v>0</v>
      </c>
      <c r="J1346" s="1">
        <v>45833</v>
      </c>
      <c r="K1346" t="s">
        <v>2517</v>
      </c>
      <c r="L1346" t="s">
        <v>16</v>
      </c>
      <c r="M1346">
        <v>1854.64</v>
      </c>
    </row>
    <row r="1347" spans="1:13" x14ac:dyDescent="0.25">
      <c r="A1347">
        <v>2345</v>
      </c>
      <c r="B1347" t="s">
        <v>1380</v>
      </c>
      <c r="C1347" t="s">
        <v>13</v>
      </c>
      <c r="D1347" t="s">
        <v>14</v>
      </c>
      <c r="E1347">
        <v>1</v>
      </c>
      <c r="F1347">
        <v>1095.03</v>
      </c>
      <c r="G1347">
        <f t="shared" ref="G1347:G1410" si="42">F1347*E1347</f>
        <v>1095.03</v>
      </c>
      <c r="I1347">
        <f t="shared" ref="I1347:I1410" si="43">G1347*(1-H1347)</f>
        <v>1095.03</v>
      </c>
      <c r="J1347" s="1">
        <v>45645</v>
      </c>
      <c r="K1347" t="s">
        <v>18</v>
      </c>
      <c r="L1347" t="s">
        <v>16</v>
      </c>
      <c r="M1347">
        <v>1317.75</v>
      </c>
    </row>
    <row r="1348" spans="1:13" x14ac:dyDescent="0.25">
      <c r="A1348">
        <v>2346</v>
      </c>
      <c r="B1348" t="s">
        <v>1381</v>
      </c>
      <c r="C1348" t="s">
        <v>13</v>
      </c>
      <c r="D1348" t="s">
        <v>34</v>
      </c>
      <c r="E1348">
        <v>-2</v>
      </c>
      <c r="F1348">
        <v>4922.99</v>
      </c>
      <c r="G1348">
        <f t="shared" si="42"/>
        <v>-9845.98</v>
      </c>
      <c r="I1348">
        <f t="shared" si="43"/>
        <v>-9845.98</v>
      </c>
      <c r="J1348" s="1">
        <v>45612</v>
      </c>
      <c r="K1348" t="s">
        <v>38</v>
      </c>
      <c r="L1348" t="s">
        <v>23</v>
      </c>
      <c r="M1348">
        <v>-712.37</v>
      </c>
    </row>
    <row r="1349" spans="1:13" x14ac:dyDescent="0.25">
      <c r="A1349">
        <v>2347</v>
      </c>
      <c r="B1349" t="s">
        <v>1382</v>
      </c>
      <c r="C1349" t="s">
        <v>36</v>
      </c>
      <c r="D1349" t="s">
        <v>37</v>
      </c>
      <c r="E1349">
        <v>2</v>
      </c>
      <c r="F1349">
        <v>1207.99</v>
      </c>
      <c r="G1349">
        <f t="shared" si="42"/>
        <v>2415.98</v>
      </c>
      <c r="I1349">
        <f t="shared" si="43"/>
        <v>2415.98</v>
      </c>
      <c r="J1349" s="1">
        <v>45723</v>
      </c>
      <c r="K1349" t="s">
        <v>38</v>
      </c>
      <c r="L1349" t="s">
        <v>16</v>
      </c>
      <c r="M1349">
        <v>2195.11</v>
      </c>
    </row>
    <row r="1350" spans="1:13" x14ac:dyDescent="0.25">
      <c r="A1350">
        <v>2348</v>
      </c>
      <c r="B1350" t="s">
        <v>1383</v>
      </c>
      <c r="C1350" t="s">
        <v>25</v>
      </c>
      <c r="D1350" t="s">
        <v>82</v>
      </c>
      <c r="E1350">
        <v>2</v>
      </c>
      <c r="G1350">
        <f t="shared" si="42"/>
        <v>0</v>
      </c>
      <c r="I1350">
        <f t="shared" si="43"/>
        <v>0</v>
      </c>
      <c r="J1350" s="1">
        <v>45574</v>
      </c>
      <c r="K1350" t="s">
        <v>44</v>
      </c>
      <c r="L1350" t="s">
        <v>16</v>
      </c>
      <c r="M1350">
        <v>371.77</v>
      </c>
    </row>
    <row r="1351" spans="1:13" x14ac:dyDescent="0.25">
      <c r="A1351">
        <v>2349</v>
      </c>
      <c r="B1351" t="s">
        <v>1384</v>
      </c>
      <c r="C1351" t="s">
        <v>20</v>
      </c>
      <c r="D1351" t="s">
        <v>21</v>
      </c>
      <c r="E1351">
        <v>2</v>
      </c>
      <c r="G1351">
        <f t="shared" si="42"/>
        <v>0</v>
      </c>
      <c r="H1351" s="3">
        <v>0.34</v>
      </c>
      <c r="I1351">
        <f t="shared" si="43"/>
        <v>0</v>
      </c>
      <c r="J1351" s="1">
        <v>45505</v>
      </c>
      <c r="K1351" t="s">
        <v>15</v>
      </c>
      <c r="L1351" t="s">
        <v>23</v>
      </c>
      <c r="M1351">
        <v>-496.94</v>
      </c>
    </row>
    <row r="1352" spans="1:13" x14ac:dyDescent="0.25">
      <c r="A1352">
        <v>2350</v>
      </c>
      <c r="B1352" t="s">
        <v>1385</v>
      </c>
      <c r="C1352" t="s">
        <v>25</v>
      </c>
      <c r="D1352" t="s">
        <v>62</v>
      </c>
      <c r="E1352">
        <v>-1</v>
      </c>
      <c r="F1352">
        <v>3148.46</v>
      </c>
      <c r="G1352">
        <f t="shared" si="42"/>
        <v>-3148.46</v>
      </c>
      <c r="I1352">
        <f t="shared" si="43"/>
        <v>-3148.46</v>
      </c>
      <c r="J1352" s="1">
        <v>45192</v>
      </c>
      <c r="K1352" t="s">
        <v>38</v>
      </c>
      <c r="L1352" t="s">
        <v>23</v>
      </c>
      <c r="M1352">
        <v>-165.49</v>
      </c>
    </row>
    <row r="1353" spans="1:13" x14ac:dyDescent="0.25">
      <c r="A1353">
        <v>2351</v>
      </c>
      <c r="B1353" t="s">
        <v>1386</v>
      </c>
      <c r="C1353" t="s">
        <v>36</v>
      </c>
      <c r="D1353" t="s">
        <v>37</v>
      </c>
      <c r="E1353">
        <v>-1</v>
      </c>
      <c r="F1353">
        <v>1875.17</v>
      </c>
      <c r="G1353">
        <f t="shared" si="42"/>
        <v>-1875.17</v>
      </c>
      <c r="I1353">
        <f t="shared" si="43"/>
        <v>-1875.17</v>
      </c>
      <c r="K1353" t="s">
        <v>18</v>
      </c>
      <c r="L1353" t="s">
        <v>16</v>
      </c>
      <c r="M1353">
        <v>1406.99</v>
      </c>
    </row>
    <row r="1354" spans="1:13" x14ac:dyDescent="0.25">
      <c r="A1354">
        <v>2352</v>
      </c>
      <c r="B1354" t="s">
        <v>1387</v>
      </c>
      <c r="C1354" t="s">
        <v>36</v>
      </c>
      <c r="D1354" t="s">
        <v>55</v>
      </c>
      <c r="E1354">
        <v>2</v>
      </c>
      <c r="G1354">
        <f t="shared" si="42"/>
        <v>0</v>
      </c>
      <c r="H1354" s="3">
        <v>1.18</v>
      </c>
      <c r="I1354">
        <f t="shared" si="43"/>
        <v>0</v>
      </c>
      <c r="K1354" t="s">
        <v>44</v>
      </c>
      <c r="L1354" t="s">
        <v>16</v>
      </c>
      <c r="M1354">
        <v>590.80999999999995</v>
      </c>
    </row>
    <row r="1355" spans="1:13" x14ac:dyDescent="0.25">
      <c r="A1355">
        <v>2353</v>
      </c>
      <c r="B1355" t="s">
        <v>1388</v>
      </c>
      <c r="C1355" t="s">
        <v>25</v>
      </c>
      <c r="D1355" t="s">
        <v>82</v>
      </c>
      <c r="E1355">
        <v>-1</v>
      </c>
      <c r="G1355">
        <f t="shared" si="42"/>
        <v>0</v>
      </c>
      <c r="I1355">
        <f t="shared" si="43"/>
        <v>0</v>
      </c>
      <c r="J1355" s="1">
        <v>45533</v>
      </c>
      <c r="K1355" t="s">
        <v>2517</v>
      </c>
      <c r="L1355" t="s">
        <v>16</v>
      </c>
      <c r="M1355">
        <v>-397.76</v>
      </c>
    </row>
    <row r="1356" spans="1:13" x14ac:dyDescent="0.25">
      <c r="A1356">
        <v>2354</v>
      </c>
      <c r="B1356" t="s">
        <v>1389</v>
      </c>
      <c r="C1356" t="s">
        <v>25</v>
      </c>
      <c r="D1356" t="s">
        <v>82</v>
      </c>
      <c r="E1356">
        <v>2</v>
      </c>
      <c r="G1356">
        <f t="shared" si="42"/>
        <v>0</v>
      </c>
      <c r="I1356">
        <f t="shared" si="43"/>
        <v>0</v>
      </c>
      <c r="J1356" s="1">
        <v>45699</v>
      </c>
      <c r="K1356" t="s">
        <v>2517</v>
      </c>
      <c r="L1356" t="s">
        <v>23</v>
      </c>
      <c r="M1356">
        <v>2233.2800000000002</v>
      </c>
    </row>
    <row r="1357" spans="1:13" x14ac:dyDescent="0.25">
      <c r="A1357">
        <v>2355</v>
      </c>
      <c r="B1357" t="s">
        <v>1390</v>
      </c>
      <c r="C1357" t="s">
        <v>13</v>
      </c>
      <c r="D1357" t="s">
        <v>98</v>
      </c>
      <c r="E1357">
        <v>2</v>
      </c>
      <c r="G1357">
        <f t="shared" si="42"/>
        <v>0</v>
      </c>
      <c r="H1357" s="3">
        <v>0.14000000000000001</v>
      </c>
      <c r="I1357">
        <f t="shared" si="43"/>
        <v>0</v>
      </c>
      <c r="K1357" t="s">
        <v>2517</v>
      </c>
      <c r="L1357" t="s">
        <v>23</v>
      </c>
      <c r="M1357">
        <v>1303.8900000000001</v>
      </c>
    </row>
    <row r="1358" spans="1:13" x14ac:dyDescent="0.25">
      <c r="A1358">
        <v>2356</v>
      </c>
      <c r="B1358" t="s">
        <v>1391</v>
      </c>
      <c r="C1358" t="s">
        <v>28</v>
      </c>
      <c r="D1358" t="s">
        <v>137</v>
      </c>
      <c r="E1358">
        <v>2</v>
      </c>
      <c r="F1358">
        <v>3412.15</v>
      </c>
      <c r="G1358">
        <f t="shared" si="42"/>
        <v>6824.3</v>
      </c>
      <c r="H1358" s="3">
        <v>0.01</v>
      </c>
      <c r="I1358">
        <f t="shared" si="43"/>
        <v>6756.0569999999998</v>
      </c>
      <c r="J1358" s="1">
        <v>45763</v>
      </c>
      <c r="K1358" t="s">
        <v>2517</v>
      </c>
      <c r="L1358" t="s">
        <v>23</v>
      </c>
      <c r="M1358">
        <v>1862.5</v>
      </c>
    </row>
    <row r="1359" spans="1:13" x14ac:dyDescent="0.25">
      <c r="A1359">
        <v>2357</v>
      </c>
      <c r="B1359" t="s">
        <v>1392</v>
      </c>
      <c r="C1359" t="s">
        <v>13</v>
      </c>
      <c r="D1359" t="s">
        <v>98</v>
      </c>
      <c r="E1359">
        <v>5</v>
      </c>
      <c r="F1359">
        <v>509.54</v>
      </c>
      <c r="G1359">
        <f t="shared" si="42"/>
        <v>2547.7000000000003</v>
      </c>
      <c r="I1359">
        <f t="shared" si="43"/>
        <v>2547.7000000000003</v>
      </c>
      <c r="J1359" s="1">
        <v>45649</v>
      </c>
      <c r="K1359" t="s">
        <v>15</v>
      </c>
      <c r="L1359" t="s">
        <v>16</v>
      </c>
      <c r="M1359">
        <v>2233.39</v>
      </c>
    </row>
    <row r="1360" spans="1:13" x14ac:dyDescent="0.25">
      <c r="A1360">
        <v>2358</v>
      </c>
      <c r="B1360" t="s">
        <v>1393</v>
      </c>
      <c r="C1360" t="s">
        <v>13</v>
      </c>
      <c r="D1360" t="s">
        <v>47</v>
      </c>
      <c r="E1360">
        <v>-1</v>
      </c>
      <c r="F1360">
        <v>3099.15</v>
      </c>
      <c r="G1360">
        <f t="shared" si="42"/>
        <v>-3099.15</v>
      </c>
      <c r="I1360">
        <f t="shared" si="43"/>
        <v>-3099.15</v>
      </c>
      <c r="K1360" t="s">
        <v>22</v>
      </c>
      <c r="L1360" t="s">
        <v>23</v>
      </c>
      <c r="M1360">
        <v>-860.89</v>
      </c>
    </row>
    <row r="1361" spans="1:13" x14ac:dyDescent="0.25">
      <c r="A1361">
        <v>2359</v>
      </c>
      <c r="B1361" t="s">
        <v>1394</v>
      </c>
      <c r="C1361" t="s">
        <v>25</v>
      </c>
      <c r="D1361" t="s">
        <v>26</v>
      </c>
      <c r="E1361">
        <v>-1</v>
      </c>
      <c r="G1361">
        <f t="shared" si="42"/>
        <v>0</v>
      </c>
      <c r="I1361">
        <f t="shared" si="43"/>
        <v>0</v>
      </c>
      <c r="J1361" s="1">
        <v>45502</v>
      </c>
      <c r="K1361" t="s">
        <v>44</v>
      </c>
      <c r="L1361" t="s">
        <v>16</v>
      </c>
      <c r="M1361">
        <v>2256.67</v>
      </c>
    </row>
    <row r="1362" spans="1:13" x14ac:dyDescent="0.25">
      <c r="A1362">
        <v>2360</v>
      </c>
      <c r="B1362" t="s">
        <v>1395</v>
      </c>
      <c r="C1362" t="s">
        <v>28</v>
      </c>
      <c r="D1362" t="s">
        <v>116</v>
      </c>
      <c r="E1362">
        <v>5</v>
      </c>
      <c r="G1362">
        <f t="shared" si="42"/>
        <v>0</v>
      </c>
      <c r="I1362">
        <f t="shared" si="43"/>
        <v>0</v>
      </c>
      <c r="J1362" s="1">
        <v>45842</v>
      </c>
      <c r="K1362" t="s">
        <v>44</v>
      </c>
      <c r="L1362" t="s">
        <v>16</v>
      </c>
      <c r="M1362">
        <v>829.94</v>
      </c>
    </row>
    <row r="1363" spans="1:13" x14ac:dyDescent="0.25">
      <c r="A1363">
        <v>2361</v>
      </c>
      <c r="B1363" t="s">
        <v>1396</v>
      </c>
      <c r="C1363" t="s">
        <v>31</v>
      </c>
      <c r="D1363" t="s">
        <v>32</v>
      </c>
      <c r="E1363">
        <v>2</v>
      </c>
      <c r="F1363">
        <v>899.41</v>
      </c>
      <c r="G1363">
        <f t="shared" si="42"/>
        <v>1798.82</v>
      </c>
      <c r="I1363">
        <f t="shared" si="43"/>
        <v>1798.82</v>
      </c>
      <c r="J1363" s="1">
        <v>45622</v>
      </c>
      <c r="K1363" t="s">
        <v>15</v>
      </c>
      <c r="L1363" t="s">
        <v>16</v>
      </c>
      <c r="M1363">
        <v>477.1</v>
      </c>
    </row>
    <row r="1364" spans="1:13" x14ac:dyDescent="0.25">
      <c r="A1364">
        <v>2362</v>
      </c>
      <c r="B1364" t="s">
        <v>1397</v>
      </c>
      <c r="C1364" t="s">
        <v>36</v>
      </c>
      <c r="D1364" t="s">
        <v>37</v>
      </c>
      <c r="E1364">
        <v>0</v>
      </c>
      <c r="F1364">
        <v>2550.98</v>
      </c>
      <c r="G1364">
        <f t="shared" si="42"/>
        <v>0</v>
      </c>
      <c r="I1364">
        <f t="shared" si="43"/>
        <v>0</v>
      </c>
      <c r="J1364" s="1">
        <v>45664</v>
      </c>
      <c r="K1364" t="s">
        <v>15</v>
      </c>
      <c r="L1364" t="s">
        <v>23</v>
      </c>
      <c r="M1364">
        <v>2161.7800000000002</v>
      </c>
    </row>
    <row r="1365" spans="1:13" x14ac:dyDescent="0.25">
      <c r="A1365">
        <v>2363</v>
      </c>
      <c r="B1365" t="s">
        <v>1398</v>
      </c>
      <c r="C1365" t="s">
        <v>13</v>
      </c>
      <c r="D1365" t="s">
        <v>34</v>
      </c>
      <c r="E1365">
        <v>-1</v>
      </c>
      <c r="F1365">
        <v>3640.29</v>
      </c>
      <c r="G1365">
        <f t="shared" si="42"/>
        <v>-3640.29</v>
      </c>
      <c r="H1365" s="3">
        <v>0.86</v>
      </c>
      <c r="I1365">
        <f t="shared" si="43"/>
        <v>-509.64060000000006</v>
      </c>
      <c r="J1365" s="1">
        <v>45628</v>
      </c>
      <c r="K1365" t="s">
        <v>2517</v>
      </c>
      <c r="L1365" t="s">
        <v>16</v>
      </c>
      <c r="M1365">
        <v>879.32</v>
      </c>
    </row>
    <row r="1366" spans="1:13" x14ac:dyDescent="0.25">
      <c r="A1366">
        <v>2364</v>
      </c>
      <c r="B1366" t="s">
        <v>1399</v>
      </c>
      <c r="C1366" t="s">
        <v>28</v>
      </c>
      <c r="D1366" t="s">
        <v>137</v>
      </c>
      <c r="E1366">
        <v>2</v>
      </c>
      <c r="F1366">
        <v>857.68</v>
      </c>
      <c r="G1366">
        <f t="shared" si="42"/>
        <v>1715.36</v>
      </c>
      <c r="I1366">
        <f t="shared" si="43"/>
        <v>1715.36</v>
      </c>
      <c r="J1366" s="1">
        <v>45817</v>
      </c>
      <c r="K1366" t="s">
        <v>22</v>
      </c>
      <c r="L1366" t="s">
        <v>23</v>
      </c>
      <c r="M1366">
        <v>1462.91</v>
      </c>
    </row>
    <row r="1367" spans="1:13" x14ac:dyDescent="0.25">
      <c r="A1367">
        <v>2365</v>
      </c>
      <c r="B1367" t="s">
        <v>1400</v>
      </c>
      <c r="C1367" t="s">
        <v>36</v>
      </c>
      <c r="D1367" t="s">
        <v>87</v>
      </c>
      <c r="E1367">
        <v>3</v>
      </c>
      <c r="G1367">
        <f t="shared" si="42"/>
        <v>0</v>
      </c>
      <c r="H1367" s="3">
        <v>0.49</v>
      </c>
      <c r="I1367">
        <f t="shared" si="43"/>
        <v>0</v>
      </c>
      <c r="J1367" s="1">
        <v>45757</v>
      </c>
      <c r="K1367" t="s">
        <v>2517</v>
      </c>
      <c r="L1367" t="s">
        <v>16</v>
      </c>
      <c r="M1367">
        <v>1765.39</v>
      </c>
    </row>
    <row r="1368" spans="1:13" x14ac:dyDescent="0.25">
      <c r="A1368">
        <v>2366</v>
      </c>
      <c r="B1368" t="s">
        <v>1401</v>
      </c>
      <c r="C1368" t="s">
        <v>25</v>
      </c>
      <c r="D1368" t="s">
        <v>51</v>
      </c>
      <c r="E1368">
        <v>6</v>
      </c>
      <c r="F1368">
        <v>429.37</v>
      </c>
      <c r="G1368">
        <f t="shared" si="42"/>
        <v>2576.2200000000003</v>
      </c>
      <c r="I1368">
        <f t="shared" si="43"/>
        <v>2576.2200000000003</v>
      </c>
      <c r="J1368" s="1">
        <v>45472</v>
      </c>
      <c r="K1368" t="s">
        <v>22</v>
      </c>
      <c r="L1368" t="s">
        <v>23</v>
      </c>
      <c r="M1368">
        <v>-21.4</v>
      </c>
    </row>
    <row r="1369" spans="1:13" x14ac:dyDescent="0.25">
      <c r="A1369">
        <v>2367</v>
      </c>
      <c r="B1369" t="s">
        <v>1402</v>
      </c>
      <c r="C1369" t="s">
        <v>25</v>
      </c>
      <c r="D1369" t="s">
        <v>51</v>
      </c>
      <c r="E1369">
        <v>3</v>
      </c>
      <c r="F1369">
        <v>500.41</v>
      </c>
      <c r="G1369">
        <f t="shared" si="42"/>
        <v>1501.23</v>
      </c>
      <c r="I1369">
        <f t="shared" si="43"/>
        <v>1501.23</v>
      </c>
      <c r="J1369" s="1">
        <v>45648</v>
      </c>
      <c r="K1369" t="s">
        <v>22</v>
      </c>
      <c r="L1369" t="s">
        <v>16</v>
      </c>
      <c r="M1369">
        <v>1732.45</v>
      </c>
    </row>
    <row r="1370" spans="1:13" x14ac:dyDescent="0.25">
      <c r="A1370">
        <v>2368</v>
      </c>
      <c r="B1370" t="s">
        <v>1403</v>
      </c>
      <c r="C1370" t="s">
        <v>28</v>
      </c>
      <c r="D1370" t="s">
        <v>29</v>
      </c>
      <c r="E1370">
        <v>2</v>
      </c>
      <c r="F1370">
        <v>2971.36</v>
      </c>
      <c r="G1370">
        <f t="shared" si="42"/>
        <v>5942.72</v>
      </c>
      <c r="H1370" s="3">
        <v>0.49</v>
      </c>
      <c r="I1370">
        <f t="shared" si="43"/>
        <v>3030.7872000000002</v>
      </c>
      <c r="J1370" s="1">
        <v>45532</v>
      </c>
      <c r="K1370" t="s">
        <v>18</v>
      </c>
      <c r="L1370" t="s">
        <v>16</v>
      </c>
      <c r="M1370">
        <v>153.4</v>
      </c>
    </row>
    <row r="1371" spans="1:13" x14ac:dyDescent="0.25">
      <c r="A1371">
        <v>2369</v>
      </c>
      <c r="B1371" t="s">
        <v>1404</v>
      </c>
      <c r="C1371" t="s">
        <v>31</v>
      </c>
      <c r="D1371" t="s">
        <v>32</v>
      </c>
      <c r="E1371">
        <v>2</v>
      </c>
      <c r="F1371">
        <v>935.57</v>
      </c>
      <c r="G1371">
        <f t="shared" si="42"/>
        <v>1871.14</v>
      </c>
      <c r="I1371">
        <f t="shared" si="43"/>
        <v>1871.14</v>
      </c>
      <c r="J1371" s="1">
        <v>45320</v>
      </c>
      <c r="K1371" t="s">
        <v>18</v>
      </c>
      <c r="L1371" t="s">
        <v>23</v>
      </c>
      <c r="M1371">
        <v>-111.36</v>
      </c>
    </row>
    <row r="1372" spans="1:13" x14ac:dyDescent="0.25">
      <c r="A1372">
        <v>2370</v>
      </c>
      <c r="B1372" t="s">
        <v>1405</v>
      </c>
      <c r="C1372" t="s">
        <v>36</v>
      </c>
      <c r="D1372" t="s">
        <v>55</v>
      </c>
      <c r="E1372">
        <v>2</v>
      </c>
      <c r="G1372">
        <f t="shared" si="42"/>
        <v>0</v>
      </c>
      <c r="I1372">
        <f t="shared" si="43"/>
        <v>0</v>
      </c>
      <c r="J1372" s="1">
        <v>45306</v>
      </c>
      <c r="K1372" t="s">
        <v>22</v>
      </c>
      <c r="L1372" t="s">
        <v>16</v>
      </c>
      <c r="M1372">
        <v>2031.95</v>
      </c>
    </row>
    <row r="1373" spans="1:13" x14ac:dyDescent="0.25">
      <c r="A1373">
        <v>2371</v>
      </c>
      <c r="B1373" t="s">
        <v>1406</v>
      </c>
      <c r="C1373" t="s">
        <v>25</v>
      </c>
      <c r="D1373" t="s">
        <v>26</v>
      </c>
      <c r="E1373">
        <v>3</v>
      </c>
      <c r="F1373">
        <v>4467.25</v>
      </c>
      <c r="G1373">
        <f t="shared" si="42"/>
        <v>13401.75</v>
      </c>
      <c r="I1373">
        <f t="shared" si="43"/>
        <v>13401.75</v>
      </c>
      <c r="J1373" s="1">
        <v>45814</v>
      </c>
      <c r="K1373" t="s">
        <v>2517</v>
      </c>
      <c r="L1373" t="s">
        <v>16</v>
      </c>
      <c r="M1373">
        <v>2388.5500000000002</v>
      </c>
    </row>
    <row r="1374" spans="1:13" x14ac:dyDescent="0.25">
      <c r="A1374">
        <v>2372</v>
      </c>
      <c r="B1374" t="s">
        <v>1407</v>
      </c>
      <c r="C1374" t="s">
        <v>36</v>
      </c>
      <c r="D1374" t="s">
        <v>59</v>
      </c>
      <c r="E1374">
        <v>2</v>
      </c>
      <c r="G1374">
        <f t="shared" si="42"/>
        <v>0</v>
      </c>
      <c r="I1374">
        <f t="shared" si="43"/>
        <v>0</v>
      </c>
      <c r="J1374" s="1">
        <v>45782</v>
      </c>
      <c r="K1374" t="s">
        <v>15</v>
      </c>
      <c r="L1374" t="s">
        <v>23</v>
      </c>
      <c r="M1374">
        <v>-452.24</v>
      </c>
    </row>
    <row r="1375" spans="1:13" x14ac:dyDescent="0.25">
      <c r="A1375">
        <v>2373</v>
      </c>
      <c r="B1375" t="s">
        <v>1408</v>
      </c>
      <c r="C1375" t="s">
        <v>28</v>
      </c>
      <c r="D1375" t="s">
        <v>137</v>
      </c>
      <c r="E1375">
        <v>-2</v>
      </c>
      <c r="F1375">
        <v>2490.44</v>
      </c>
      <c r="G1375">
        <f t="shared" si="42"/>
        <v>-4980.88</v>
      </c>
      <c r="I1375">
        <f t="shared" si="43"/>
        <v>-4980.88</v>
      </c>
      <c r="K1375" t="s">
        <v>22</v>
      </c>
      <c r="L1375" t="s">
        <v>16</v>
      </c>
      <c r="M1375">
        <v>11.27</v>
      </c>
    </row>
    <row r="1376" spans="1:13" x14ac:dyDescent="0.25">
      <c r="A1376">
        <v>2374</v>
      </c>
      <c r="B1376" t="s">
        <v>1409</v>
      </c>
      <c r="C1376" t="s">
        <v>25</v>
      </c>
      <c r="D1376" t="s">
        <v>26</v>
      </c>
      <c r="E1376">
        <v>0</v>
      </c>
      <c r="F1376">
        <v>4867.51</v>
      </c>
      <c r="G1376">
        <f t="shared" si="42"/>
        <v>0</v>
      </c>
      <c r="H1376" s="3">
        <v>1.0900000000000001</v>
      </c>
      <c r="I1376">
        <f t="shared" si="43"/>
        <v>0</v>
      </c>
      <c r="J1376" s="1">
        <v>45563</v>
      </c>
      <c r="K1376" t="s">
        <v>22</v>
      </c>
      <c r="L1376" t="s">
        <v>23</v>
      </c>
      <c r="M1376">
        <v>1184.6500000000001</v>
      </c>
    </row>
    <row r="1377" spans="1:13" x14ac:dyDescent="0.25">
      <c r="A1377">
        <v>2375</v>
      </c>
      <c r="B1377" t="s">
        <v>1410</v>
      </c>
      <c r="C1377" t="s">
        <v>31</v>
      </c>
      <c r="D1377" t="s">
        <v>68</v>
      </c>
      <c r="E1377">
        <v>2</v>
      </c>
      <c r="F1377">
        <v>2765.79</v>
      </c>
      <c r="G1377">
        <f t="shared" si="42"/>
        <v>5531.58</v>
      </c>
      <c r="I1377">
        <f t="shared" si="43"/>
        <v>5531.58</v>
      </c>
      <c r="K1377" t="s">
        <v>38</v>
      </c>
      <c r="L1377" t="s">
        <v>16</v>
      </c>
      <c r="M1377">
        <v>-31.82</v>
      </c>
    </row>
    <row r="1378" spans="1:13" x14ac:dyDescent="0.25">
      <c r="A1378">
        <v>2376</v>
      </c>
      <c r="B1378" t="s">
        <v>1411</v>
      </c>
      <c r="C1378" t="s">
        <v>20</v>
      </c>
      <c r="D1378" t="s">
        <v>76</v>
      </c>
      <c r="E1378">
        <v>2</v>
      </c>
      <c r="G1378">
        <f t="shared" si="42"/>
        <v>0</v>
      </c>
      <c r="I1378">
        <f t="shared" si="43"/>
        <v>0</v>
      </c>
      <c r="J1378" s="1">
        <v>45249</v>
      </c>
      <c r="K1378" t="s">
        <v>44</v>
      </c>
      <c r="L1378" t="s">
        <v>16</v>
      </c>
      <c r="M1378">
        <v>1900.77</v>
      </c>
    </row>
    <row r="1379" spans="1:13" x14ac:dyDescent="0.25">
      <c r="A1379">
        <v>2377</v>
      </c>
      <c r="B1379" t="s">
        <v>1412</v>
      </c>
      <c r="C1379" t="s">
        <v>31</v>
      </c>
      <c r="D1379" t="s">
        <v>68</v>
      </c>
      <c r="E1379">
        <v>4</v>
      </c>
      <c r="F1379">
        <v>4458.4799999999996</v>
      </c>
      <c r="G1379">
        <f t="shared" si="42"/>
        <v>17833.919999999998</v>
      </c>
      <c r="I1379">
        <f t="shared" si="43"/>
        <v>17833.919999999998</v>
      </c>
      <c r="J1379" s="1">
        <v>45574</v>
      </c>
      <c r="K1379" t="s">
        <v>38</v>
      </c>
      <c r="L1379" t="s">
        <v>23</v>
      </c>
      <c r="M1379">
        <v>631</v>
      </c>
    </row>
    <row r="1380" spans="1:13" x14ac:dyDescent="0.25">
      <c r="A1380">
        <v>2378</v>
      </c>
      <c r="B1380" t="s">
        <v>1413</v>
      </c>
      <c r="C1380" t="s">
        <v>13</v>
      </c>
      <c r="D1380" t="s">
        <v>47</v>
      </c>
      <c r="E1380">
        <v>0</v>
      </c>
      <c r="F1380">
        <v>1985.49</v>
      </c>
      <c r="G1380">
        <f t="shared" si="42"/>
        <v>0</v>
      </c>
      <c r="I1380">
        <f t="shared" si="43"/>
        <v>0</v>
      </c>
      <c r="K1380" t="s">
        <v>18</v>
      </c>
      <c r="L1380" t="s">
        <v>16</v>
      </c>
      <c r="M1380">
        <v>-198.55</v>
      </c>
    </row>
    <row r="1381" spans="1:13" x14ac:dyDescent="0.25">
      <c r="A1381">
        <v>2379</v>
      </c>
      <c r="B1381" t="s">
        <v>1414</v>
      </c>
      <c r="C1381" t="s">
        <v>20</v>
      </c>
      <c r="D1381" t="s">
        <v>84</v>
      </c>
      <c r="E1381">
        <v>6</v>
      </c>
      <c r="F1381">
        <v>2188.7399999999998</v>
      </c>
      <c r="G1381">
        <f t="shared" si="42"/>
        <v>13132.439999999999</v>
      </c>
      <c r="I1381">
        <f t="shared" si="43"/>
        <v>13132.439999999999</v>
      </c>
      <c r="J1381" s="1">
        <v>45343</v>
      </c>
      <c r="K1381" t="s">
        <v>38</v>
      </c>
      <c r="L1381" t="s">
        <v>16</v>
      </c>
      <c r="M1381">
        <v>-885.72</v>
      </c>
    </row>
    <row r="1382" spans="1:13" x14ac:dyDescent="0.25">
      <c r="A1382">
        <v>2380</v>
      </c>
      <c r="B1382" t="s">
        <v>1415</v>
      </c>
      <c r="C1382" t="s">
        <v>20</v>
      </c>
      <c r="D1382" t="s">
        <v>21</v>
      </c>
      <c r="E1382">
        <v>2</v>
      </c>
      <c r="F1382">
        <v>3820.42</v>
      </c>
      <c r="G1382">
        <f t="shared" si="42"/>
        <v>7640.84</v>
      </c>
      <c r="H1382" s="3">
        <v>1.03</v>
      </c>
      <c r="I1382">
        <f t="shared" si="43"/>
        <v>-229.2252000000002</v>
      </c>
      <c r="J1382" s="1">
        <v>45746</v>
      </c>
      <c r="K1382" t="s">
        <v>22</v>
      </c>
      <c r="L1382" t="s">
        <v>23</v>
      </c>
      <c r="M1382">
        <v>-105.92</v>
      </c>
    </row>
    <row r="1383" spans="1:13" x14ac:dyDescent="0.25">
      <c r="A1383">
        <v>2381</v>
      </c>
      <c r="B1383" t="s">
        <v>1416</v>
      </c>
      <c r="C1383" t="s">
        <v>25</v>
      </c>
      <c r="D1383" t="s">
        <v>51</v>
      </c>
      <c r="E1383">
        <v>2</v>
      </c>
      <c r="G1383">
        <f t="shared" si="42"/>
        <v>0</v>
      </c>
      <c r="I1383">
        <f t="shared" si="43"/>
        <v>0</v>
      </c>
      <c r="J1383" s="1">
        <v>45620</v>
      </c>
      <c r="K1383" t="s">
        <v>15</v>
      </c>
      <c r="L1383" t="s">
        <v>16</v>
      </c>
      <c r="M1383">
        <v>103.57</v>
      </c>
    </row>
    <row r="1384" spans="1:13" x14ac:dyDescent="0.25">
      <c r="A1384">
        <v>2382</v>
      </c>
      <c r="B1384" t="s">
        <v>1417</v>
      </c>
      <c r="C1384" t="s">
        <v>20</v>
      </c>
      <c r="D1384" t="s">
        <v>76</v>
      </c>
      <c r="E1384">
        <v>2</v>
      </c>
      <c r="F1384">
        <v>3440.31</v>
      </c>
      <c r="G1384">
        <f t="shared" si="42"/>
        <v>6880.62</v>
      </c>
      <c r="I1384">
        <f t="shared" si="43"/>
        <v>6880.62</v>
      </c>
      <c r="J1384" s="1">
        <v>45786</v>
      </c>
      <c r="K1384" t="s">
        <v>38</v>
      </c>
      <c r="L1384" t="s">
        <v>23</v>
      </c>
      <c r="M1384">
        <v>921.38</v>
      </c>
    </row>
    <row r="1385" spans="1:13" x14ac:dyDescent="0.25">
      <c r="A1385">
        <v>2383</v>
      </c>
      <c r="B1385" t="s">
        <v>1418</v>
      </c>
      <c r="C1385" t="s">
        <v>25</v>
      </c>
      <c r="D1385" t="s">
        <v>82</v>
      </c>
      <c r="E1385">
        <v>-2</v>
      </c>
      <c r="G1385">
        <f t="shared" si="42"/>
        <v>0</v>
      </c>
      <c r="I1385">
        <f t="shared" si="43"/>
        <v>0</v>
      </c>
      <c r="J1385" s="1">
        <v>45802</v>
      </c>
      <c r="K1385" t="s">
        <v>2517</v>
      </c>
      <c r="L1385" t="s">
        <v>16</v>
      </c>
      <c r="M1385">
        <v>990.71</v>
      </c>
    </row>
    <row r="1386" spans="1:13" x14ac:dyDescent="0.25">
      <c r="A1386">
        <v>2384</v>
      </c>
      <c r="B1386" t="s">
        <v>1419</v>
      </c>
      <c r="C1386" t="s">
        <v>20</v>
      </c>
      <c r="D1386" t="s">
        <v>84</v>
      </c>
      <c r="E1386">
        <v>3</v>
      </c>
      <c r="F1386">
        <v>1625.58</v>
      </c>
      <c r="G1386">
        <f t="shared" si="42"/>
        <v>4876.74</v>
      </c>
      <c r="H1386" s="3">
        <v>0.1</v>
      </c>
      <c r="I1386">
        <f t="shared" si="43"/>
        <v>4389.0659999999998</v>
      </c>
      <c r="J1386" s="1">
        <v>45854</v>
      </c>
      <c r="K1386" t="s">
        <v>44</v>
      </c>
      <c r="L1386" t="s">
        <v>16</v>
      </c>
      <c r="M1386">
        <v>2368.5500000000002</v>
      </c>
    </row>
    <row r="1387" spans="1:13" x14ac:dyDescent="0.25">
      <c r="A1387">
        <v>2385</v>
      </c>
      <c r="B1387" t="s">
        <v>1420</v>
      </c>
      <c r="C1387" t="s">
        <v>36</v>
      </c>
      <c r="D1387" t="s">
        <v>59</v>
      </c>
      <c r="E1387">
        <v>2</v>
      </c>
      <c r="G1387">
        <f t="shared" si="42"/>
        <v>0</v>
      </c>
      <c r="H1387" s="3">
        <v>0.06</v>
      </c>
      <c r="I1387">
        <f t="shared" si="43"/>
        <v>0</v>
      </c>
      <c r="J1387" s="1">
        <v>45745</v>
      </c>
      <c r="K1387" t="s">
        <v>15</v>
      </c>
      <c r="L1387" t="s">
        <v>16</v>
      </c>
      <c r="M1387">
        <v>-914.91</v>
      </c>
    </row>
    <row r="1388" spans="1:13" x14ac:dyDescent="0.25">
      <c r="A1388">
        <v>2386</v>
      </c>
      <c r="B1388" t="s">
        <v>1421</v>
      </c>
      <c r="C1388" t="s">
        <v>13</v>
      </c>
      <c r="D1388" t="s">
        <v>47</v>
      </c>
      <c r="E1388">
        <v>0</v>
      </c>
      <c r="F1388">
        <v>2253.08</v>
      </c>
      <c r="G1388">
        <f t="shared" si="42"/>
        <v>0</v>
      </c>
      <c r="H1388" s="3">
        <v>0.09</v>
      </c>
      <c r="I1388">
        <f t="shared" si="43"/>
        <v>0</v>
      </c>
      <c r="K1388" t="s">
        <v>18</v>
      </c>
      <c r="L1388" t="s">
        <v>16</v>
      </c>
      <c r="M1388">
        <v>490.12</v>
      </c>
    </row>
    <row r="1389" spans="1:13" x14ac:dyDescent="0.25">
      <c r="A1389">
        <v>2387</v>
      </c>
      <c r="B1389" t="s">
        <v>1422</v>
      </c>
      <c r="C1389" t="s">
        <v>28</v>
      </c>
      <c r="D1389" t="s">
        <v>137</v>
      </c>
      <c r="E1389">
        <v>2</v>
      </c>
      <c r="F1389">
        <v>3246.04</v>
      </c>
      <c r="G1389">
        <f t="shared" si="42"/>
        <v>6492.08</v>
      </c>
      <c r="I1389">
        <f t="shared" si="43"/>
        <v>6492.08</v>
      </c>
      <c r="J1389" s="1">
        <v>45773</v>
      </c>
      <c r="K1389" t="s">
        <v>2517</v>
      </c>
      <c r="L1389" t="s">
        <v>16</v>
      </c>
      <c r="M1389">
        <v>-611.03</v>
      </c>
    </row>
    <row r="1390" spans="1:13" x14ac:dyDescent="0.25">
      <c r="A1390">
        <v>2388</v>
      </c>
      <c r="B1390" t="s">
        <v>1423</v>
      </c>
      <c r="C1390" t="s">
        <v>31</v>
      </c>
      <c r="D1390" t="s">
        <v>32</v>
      </c>
      <c r="E1390">
        <v>-2</v>
      </c>
      <c r="G1390">
        <f t="shared" si="42"/>
        <v>0</v>
      </c>
      <c r="I1390">
        <f t="shared" si="43"/>
        <v>0</v>
      </c>
      <c r="J1390" s="1">
        <v>45714</v>
      </c>
      <c r="K1390" t="s">
        <v>2517</v>
      </c>
      <c r="L1390" t="s">
        <v>23</v>
      </c>
      <c r="M1390">
        <v>-722.21</v>
      </c>
    </row>
    <row r="1391" spans="1:13" x14ac:dyDescent="0.25">
      <c r="A1391">
        <v>2389</v>
      </c>
      <c r="B1391" t="s">
        <v>1424</v>
      </c>
      <c r="C1391" t="s">
        <v>25</v>
      </c>
      <c r="D1391" t="s">
        <v>62</v>
      </c>
      <c r="E1391">
        <v>5</v>
      </c>
      <c r="G1391">
        <f t="shared" si="42"/>
        <v>0</v>
      </c>
      <c r="I1391">
        <f t="shared" si="43"/>
        <v>0</v>
      </c>
      <c r="J1391" s="1">
        <v>45373</v>
      </c>
      <c r="K1391" t="s">
        <v>38</v>
      </c>
      <c r="L1391" t="s">
        <v>23</v>
      </c>
      <c r="M1391">
        <v>2235.23</v>
      </c>
    </row>
    <row r="1392" spans="1:13" x14ac:dyDescent="0.25">
      <c r="A1392">
        <v>2390</v>
      </c>
      <c r="B1392" t="s">
        <v>1425</v>
      </c>
      <c r="C1392" t="s">
        <v>13</v>
      </c>
      <c r="D1392" t="s">
        <v>14</v>
      </c>
      <c r="E1392">
        <v>2</v>
      </c>
      <c r="F1392">
        <v>3605.36</v>
      </c>
      <c r="G1392">
        <f t="shared" si="42"/>
        <v>7210.72</v>
      </c>
      <c r="H1392" s="3">
        <v>1.01</v>
      </c>
      <c r="I1392">
        <f t="shared" si="43"/>
        <v>-72.107200000000063</v>
      </c>
      <c r="J1392" s="1">
        <v>45660</v>
      </c>
      <c r="K1392" t="s">
        <v>18</v>
      </c>
      <c r="L1392" t="s">
        <v>23</v>
      </c>
      <c r="M1392">
        <v>-311.29000000000002</v>
      </c>
    </row>
    <row r="1393" spans="1:13" x14ac:dyDescent="0.25">
      <c r="A1393">
        <v>2391</v>
      </c>
      <c r="B1393" t="s">
        <v>1426</v>
      </c>
      <c r="C1393" t="s">
        <v>13</v>
      </c>
      <c r="D1393" t="s">
        <v>34</v>
      </c>
      <c r="E1393">
        <v>2</v>
      </c>
      <c r="F1393">
        <v>4473.9399999999996</v>
      </c>
      <c r="G1393">
        <f t="shared" si="42"/>
        <v>8947.8799999999992</v>
      </c>
      <c r="I1393">
        <f t="shared" si="43"/>
        <v>8947.8799999999992</v>
      </c>
      <c r="K1393" t="s">
        <v>38</v>
      </c>
      <c r="L1393" t="s">
        <v>23</v>
      </c>
      <c r="M1393">
        <v>1003.14</v>
      </c>
    </row>
    <row r="1394" spans="1:13" x14ac:dyDescent="0.25">
      <c r="A1394">
        <v>2392</v>
      </c>
      <c r="B1394" t="s">
        <v>1427</v>
      </c>
      <c r="C1394" t="s">
        <v>28</v>
      </c>
      <c r="D1394" t="s">
        <v>40</v>
      </c>
      <c r="E1394">
        <v>3</v>
      </c>
      <c r="F1394">
        <v>4550.95</v>
      </c>
      <c r="G1394">
        <f t="shared" si="42"/>
        <v>13652.849999999999</v>
      </c>
      <c r="I1394">
        <f t="shared" si="43"/>
        <v>13652.849999999999</v>
      </c>
      <c r="J1394" s="1">
        <v>45736</v>
      </c>
      <c r="K1394" t="s">
        <v>18</v>
      </c>
      <c r="L1394" t="s">
        <v>16</v>
      </c>
      <c r="M1394">
        <v>-951.64</v>
      </c>
    </row>
    <row r="1395" spans="1:13" x14ac:dyDescent="0.25">
      <c r="A1395">
        <v>2393</v>
      </c>
      <c r="B1395" t="s">
        <v>1428</v>
      </c>
      <c r="C1395" t="s">
        <v>20</v>
      </c>
      <c r="D1395" t="s">
        <v>76</v>
      </c>
      <c r="E1395">
        <v>5</v>
      </c>
      <c r="F1395">
        <v>753.85</v>
      </c>
      <c r="G1395">
        <f t="shared" si="42"/>
        <v>3769.25</v>
      </c>
      <c r="I1395">
        <f t="shared" si="43"/>
        <v>3769.25</v>
      </c>
      <c r="J1395" s="1">
        <v>45615</v>
      </c>
      <c r="K1395" t="s">
        <v>15</v>
      </c>
      <c r="L1395" t="s">
        <v>16</v>
      </c>
      <c r="M1395">
        <v>251.29</v>
      </c>
    </row>
    <row r="1396" spans="1:13" x14ac:dyDescent="0.25">
      <c r="A1396">
        <v>2394</v>
      </c>
      <c r="B1396" t="s">
        <v>1429</v>
      </c>
      <c r="C1396" t="s">
        <v>20</v>
      </c>
      <c r="D1396" t="s">
        <v>21</v>
      </c>
      <c r="E1396">
        <v>2</v>
      </c>
      <c r="F1396">
        <v>3384.51</v>
      </c>
      <c r="G1396">
        <f t="shared" si="42"/>
        <v>6769.02</v>
      </c>
      <c r="I1396">
        <f t="shared" si="43"/>
        <v>6769.02</v>
      </c>
      <c r="J1396" s="1">
        <v>45839</v>
      </c>
      <c r="K1396" t="s">
        <v>38</v>
      </c>
      <c r="L1396" t="s">
        <v>23</v>
      </c>
      <c r="M1396">
        <v>2776.41</v>
      </c>
    </row>
    <row r="1397" spans="1:13" x14ac:dyDescent="0.25">
      <c r="A1397">
        <v>2395</v>
      </c>
      <c r="B1397" t="s">
        <v>1430</v>
      </c>
      <c r="C1397" t="s">
        <v>28</v>
      </c>
      <c r="D1397" t="s">
        <v>116</v>
      </c>
      <c r="E1397">
        <v>2</v>
      </c>
      <c r="G1397">
        <f t="shared" si="42"/>
        <v>0</v>
      </c>
      <c r="I1397">
        <f t="shared" si="43"/>
        <v>0</v>
      </c>
      <c r="J1397" s="1">
        <v>45797</v>
      </c>
      <c r="K1397" t="s">
        <v>2517</v>
      </c>
      <c r="L1397" t="s">
        <v>16</v>
      </c>
      <c r="M1397">
        <v>1866.74</v>
      </c>
    </row>
    <row r="1398" spans="1:13" x14ac:dyDescent="0.25">
      <c r="A1398">
        <v>2396</v>
      </c>
      <c r="B1398" t="s">
        <v>1431</v>
      </c>
      <c r="C1398" t="s">
        <v>13</v>
      </c>
      <c r="D1398" t="s">
        <v>14</v>
      </c>
      <c r="E1398">
        <v>2</v>
      </c>
      <c r="G1398">
        <f t="shared" si="42"/>
        <v>0</v>
      </c>
      <c r="H1398" s="3">
        <v>1.02</v>
      </c>
      <c r="I1398">
        <f t="shared" si="43"/>
        <v>0</v>
      </c>
      <c r="J1398" s="1">
        <v>45619</v>
      </c>
      <c r="K1398" t="s">
        <v>2517</v>
      </c>
      <c r="L1398" t="s">
        <v>16</v>
      </c>
      <c r="M1398">
        <v>1965.45</v>
      </c>
    </row>
    <row r="1399" spans="1:13" x14ac:dyDescent="0.25">
      <c r="A1399">
        <v>2397</v>
      </c>
      <c r="B1399" t="s">
        <v>1432</v>
      </c>
      <c r="C1399" t="s">
        <v>20</v>
      </c>
      <c r="D1399" t="s">
        <v>76</v>
      </c>
      <c r="E1399">
        <v>2</v>
      </c>
      <c r="F1399">
        <v>1823.51</v>
      </c>
      <c r="G1399">
        <f t="shared" si="42"/>
        <v>3647.02</v>
      </c>
      <c r="I1399">
        <f t="shared" si="43"/>
        <v>3647.02</v>
      </c>
      <c r="J1399" s="1">
        <v>45704</v>
      </c>
      <c r="K1399" t="s">
        <v>2517</v>
      </c>
      <c r="L1399" t="s">
        <v>16</v>
      </c>
      <c r="M1399">
        <v>378.92</v>
      </c>
    </row>
    <row r="1400" spans="1:13" x14ac:dyDescent="0.25">
      <c r="A1400">
        <v>1002</v>
      </c>
      <c r="B1400" t="s">
        <v>1433</v>
      </c>
      <c r="C1400" t="s">
        <v>13</v>
      </c>
      <c r="D1400" t="s">
        <v>47</v>
      </c>
      <c r="E1400">
        <v>2</v>
      </c>
      <c r="F1400">
        <v>2942.95</v>
      </c>
      <c r="G1400">
        <f t="shared" si="42"/>
        <v>5885.9</v>
      </c>
      <c r="I1400">
        <f t="shared" si="43"/>
        <v>5885.9</v>
      </c>
      <c r="J1400" s="1">
        <v>45830</v>
      </c>
      <c r="K1400" t="s">
        <v>38</v>
      </c>
      <c r="L1400" t="s">
        <v>23</v>
      </c>
      <c r="M1400">
        <v>-519.87</v>
      </c>
    </row>
    <row r="1401" spans="1:13" x14ac:dyDescent="0.25">
      <c r="A1401">
        <v>2399</v>
      </c>
      <c r="B1401" t="s">
        <v>1434</v>
      </c>
      <c r="C1401" t="s">
        <v>13</v>
      </c>
      <c r="D1401" t="s">
        <v>14</v>
      </c>
      <c r="E1401">
        <v>-2</v>
      </c>
      <c r="F1401">
        <v>3643.5</v>
      </c>
      <c r="G1401">
        <f t="shared" si="42"/>
        <v>-7287</v>
      </c>
      <c r="I1401">
        <f t="shared" si="43"/>
        <v>-7287</v>
      </c>
      <c r="J1401" s="1">
        <v>45508</v>
      </c>
      <c r="K1401" t="s">
        <v>15</v>
      </c>
      <c r="L1401" t="s">
        <v>23</v>
      </c>
      <c r="M1401">
        <v>1452.6</v>
      </c>
    </row>
    <row r="1402" spans="1:13" x14ac:dyDescent="0.25">
      <c r="A1402">
        <v>2400</v>
      </c>
      <c r="B1402" t="s">
        <v>1435</v>
      </c>
      <c r="C1402" t="s">
        <v>36</v>
      </c>
      <c r="D1402" t="s">
        <v>87</v>
      </c>
      <c r="E1402">
        <v>2</v>
      </c>
      <c r="F1402">
        <v>4756.67</v>
      </c>
      <c r="G1402">
        <f t="shared" si="42"/>
        <v>9513.34</v>
      </c>
      <c r="H1402" s="3">
        <v>0.75</v>
      </c>
      <c r="I1402">
        <f t="shared" si="43"/>
        <v>2378.335</v>
      </c>
      <c r="J1402" s="1">
        <v>45831</v>
      </c>
      <c r="K1402" t="s">
        <v>44</v>
      </c>
      <c r="L1402" t="s">
        <v>16</v>
      </c>
      <c r="M1402">
        <v>-442.75</v>
      </c>
    </row>
    <row r="1403" spans="1:13" x14ac:dyDescent="0.25">
      <c r="A1403">
        <v>2401</v>
      </c>
      <c r="B1403" t="s">
        <v>1436</v>
      </c>
      <c r="C1403" t="s">
        <v>28</v>
      </c>
      <c r="D1403" t="s">
        <v>29</v>
      </c>
      <c r="E1403">
        <v>2</v>
      </c>
      <c r="F1403">
        <v>2159.6799999999998</v>
      </c>
      <c r="G1403">
        <f t="shared" si="42"/>
        <v>4319.3599999999997</v>
      </c>
      <c r="I1403">
        <f t="shared" si="43"/>
        <v>4319.3599999999997</v>
      </c>
      <c r="J1403" s="1">
        <v>45666</v>
      </c>
      <c r="K1403" t="s">
        <v>44</v>
      </c>
      <c r="L1403" t="s">
        <v>16</v>
      </c>
      <c r="M1403">
        <v>1873.8</v>
      </c>
    </row>
    <row r="1404" spans="1:13" x14ac:dyDescent="0.25">
      <c r="A1404">
        <v>2402</v>
      </c>
      <c r="B1404" t="s">
        <v>1437</v>
      </c>
      <c r="C1404" t="s">
        <v>31</v>
      </c>
      <c r="D1404" t="s">
        <v>32</v>
      </c>
      <c r="E1404">
        <v>2</v>
      </c>
      <c r="F1404">
        <v>744.83</v>
      </c>
      <c r="G1404">
        <f t="shared" si="42"/>
        <v>1489.66</v>
      </c>
      <c r="H1404" s="3">
        <v>0.16</v>
      </c>
      <c r="I1404">
        <f t="shared" si="43"/>
        <v>1251.3144</v>
      </c>
      <c r="K1404" t="s">
        <v>22</v>
      </c>
      <c r="L1404" t="s">
        <v>16</v>
      </c>
      <c r="M1404">
        <v>2905.06</v>
      </c>
    </row>
    <row r="1405" spans="1:13" x14ac:dyDescent="0.25">
      <c r="A1405">
        <v>2403</v>
      </c>
      <c r="B1405" t="s">
        <v>1438</v>
      </c>
      <c r="C1405" t="s">
        <v>31</v>
      </c>
      <c r="D1405" t="s">
        <v>42</v>
      </c>
      <c r="E1405">
        <v>0</v>
      </c>
      <c r="G1405">
        <f t="shared" si="42"/>
        <v>0</v>
      </c>
      <c r="I1405">
        <f t="shared" si="43"/>
        <v>0</v>
      </c>
      <c r="J1405" s="1">
        <v>45686</v>
      </c>
      <c r="K1405" t="s">
        <v>2517</v>
      </c>
      <c r="L1405" t="s">
        <v>23</v>
      </c>
      <c r="M1405">
        <v>2312.7199999999998</v>
      </c>
    </row>
    <row r="1406" spans="1:13" x14ac:dyDescent="0.25">
      <c r="A1406">
        <v>2404</v>
      </c>
      <c r="B1406" t="s">
        <v>1439</v>
      </c>
      <c r="C1406" t="s">
        <v>28</v>
      </c>
      <c r="D1406" t="s">
        <v>137</v>
      </c>
      <c r="E1406">
        <v>4</v>
      </c>
      <c r="G1406">
        <f t="shared" si="42"/>
        <v>0</v>
      </c>
      <c r="I1406">
        <f t="shared" si="43"/>
        <v>0</v>
      </c>
      <c r="J1406" s="1">
        <v>45657</v>
      </c>
      <c r="K1406" t="s">
        <v>15</v>
      </c>
      <c r="L1406" t="s">
        <v>16</v>
      </c>
      <c r="M1406">
        <v>-673.77</v>
      </c>
    </row>
    <row r="1407" spans="1:13" x14ac:dyDescent="0.25">
      <c r="A1407">
        <v>2405</v>
      </c>
      <c r="B1407" t="s">
        <v>1440</v>
      </c>
      <c r="C1407" t="s">
        <v>20</v>
      </c>
      <c r="D1407" t="s">
        <v>84</v>
      </c>
      <c r="E1407">
        <v>-1</v>
      </c>
      <c r="F1407">
        <v>1943.21</v>
      </c>
      <c r="G1407">
        <f t="shared" si="42"/>
        <v>-1943.21</v>
      </c>
      <c r="I1407">
        <f t="shared" si="43"/>
        <v>-1943.21</v>
      </c>
      <c r="K1407" t="s">
        <v>18</v>
      </c>
      <c r="L1407" t="s">
        <v>23</v>
      </c>
      <c r="M1407">
        <v>1039.8599999999999</v>
      </c>
    </row>
    <row r="1408" spans="1:13" x14ac:dyDescent="0.25">
      <c r="A1408">
        <v>2406</v>
      </c>
      <c r="B1408" t="s">
        <v>1441</v>
      </c>
      <c r="C1408" t="s">
        <v>13</v>
      </c>
      <c r="D1408" t="s">
        <v>14</v>
      </c>
      <c r="E1408">
        <v>2</v>
      </c>
      <c r="F1408">
        <v>4847.7299999999996</v>
      </c>
      <c r="G1408">
        <f t="shared" si="42"/>
        <v>9695.4599999999991</v>
      </c>
      <c r="I1408">
        <f t="shared" si="43"/>
        <v>9695.4599999999991</v>
      </c>
      <c r="K1408" t="s">
        <v>18</v>
      </c>
      <c r="L1408" t="s">
        <v>23</v>
      </c>
      <c r="M1408">
        <v>1741</v>
      </c>
    </row>
    <row r="1409" spans="1:13" x14ac:dyDescent="0.25">
      <c r="A1409">
        <v>2407</v>
      </c>
      <c r="B1409" t="s">
        <v>1442</v>
      </c>
      <c r="C1409" t="s">
        <v>13</v>
      </c>
      <c r="D1409" t="s">
        <v>14</v>
      </c>
      <c r="E1409">
        <v>2</v>
      </c>
      <c r="G1409">
        <f t="shared" si="42"/>
        <v>0</v>
      </c>
      <c r="I1409">
        <f t="shared" si="43"/>
        <v>0</v>
      </c>
      <c r="J1409" s="1">
        <v>45801</v>
      </c>
      <c r="K1409" t="s">
        <v>18</v>
      </c>
      <c r="L1409" t="s">
        <v>23</v>
      </c>
      <c r="M1409">
        <v>2990.98</v>
      </c>
    </row>
    <row r="1410" spans="1:13" x14ac:dyDescent="0.25">
      <c r="A1410">
        <v>2408</v>
      </c>
      <c r="B1410" t="s">
        <v>1443</v>
      </c>
      <c r="C1410" t="s">
        <v>36</v>
      </c>
      <c r="D1410" t="s">
        <v>37</v>
      </c>
      <c r="E1410">
        <v>6</v>
      </c>
      <c r="F1410">
        <v>2169.73</v>
      </c>
      <c r="G1410">
        <f t="shared" si="42"/>
        <v>13018.380000000001</v>
      </c>
      <c r="I1410">
        <f t="shared" si="43"/>
        <v>13018.380000000001</v>
      </c>
      <c r="K1410" t="s">
        <v>38</v>
      </c>
      <c r="L1410" t="s">
        <v>16</v>
      </c>
      <c r="M1410">
        <v>442.92</v>
      </c>
    </row>
    <row r="1411" spans="1:13" x14ac:dyDescent="0.25">
      <c r="A1411">
        <v>2409</v>
      </c>
      <c r="B1411" t="s">
        <v>1444</v>
      </c>
      <c r="C1411" t="s">
        <v>36</v>
      </c>
      <c r="D1411" t="s">
        <v>59</v>
      </c>
      <c r="E1411">
        <v>2</v>
      </c>
      <c r="F1411">
        <v>1430.06</v>
      </c>
      <c r="G1411">
        <f t="shared" ref="G1411:G1474" si="44">F1411*E1411</f>
        <v>2860.12</v>
      </c>
      <c r="H1411" s="3">
        <v>0.98</v>
      </c>
      <c r="I1411">
        <f t="shared" ref="I1411:I1474" si="45">G1411*(1-H1411)</f>
        <v>57.202400000000047</v>
      </c>
      <c r="J1411" s="1">
        <v>45744</v>
      </c>
      <c r="K1411" t="s">
        <v>44</v>
      </c>
      <c r="L1411" t="s">
        <v>16</v>
      </c>
      <c r="M1411">
        <v>-530.32000000000005</v>
      </c>
    </row>
    <row r="1412" spans="1:13" x14ac:dyDescent="0.25">
      <c r="A1412">
        <v>2410</v>
      </c>
      <c r="B1412" t="s">
        <v>1445</v>
      </c>
      <c r="C1412" t="s">
        <v>28</v>
      </c>
      <c r="D1412" t="s">
        <v>137</v>
      </c>
      <c r="E1412">
        <v>3</v>
      </c>
      <c r="G1412">
        <f t="shared" si="44"/>
        <v>0</v>
      </c>
      <c r="I1412">
        <f t="shared" si="45"/>
        <v>0</v>
      </c>
      <c r="J1412" s="1">
        <v>45670</v>
      </c>
      <c r="K1412" t="s">
        <v>44</v>
      </c>
      <c r="L1412" t="s">
        <v>16</v>
      </c>
      <c r="M1412">
        <v>2913.29</v>
      </c>
    </row>
    <row r="1413" spans="1:13" x14ac:dyDescent="0.25">
      <c r="A1413">
        <v>2411</v>
      </c>
      <c r="B1413" t="s">
        <v>1446</v>
      </c>
      <c r="C1413" t="s">
        <v>13</v>
      </c>
      <c r="D1413" t="s">
        <v>47</v>
      </c>
      <c r="E1413">
        <v>-2</v>
      </c>
      <c r="G1413">
        <f t="shared" si="44"/>
        <v>0</v>
      </c>
      <c r="I1413">
        <f t="shared" si="45"/>
        <v>0</v>
      </c>
      <c r="J1413" s="1">
        <v>45791</v>
      </c>
      <c r="K1413" t="s">
        <v>15</v>
      </c>
      <c r="L1413" t="s">
        <v>16</v>
      </c>
      <c r="M1413">
        <v>458.44</v>
      </c>
    </row>
    <row r="1414" spans="1:13" x14ac:dyDescent="0.25">
      <c r="A1414">
        <v>2412</v>
      </c>
      <c r="B1414" t="s">
        <v>1447</v>
      </c>
      <c r="C1414" t="s">
        <v>13</v>
      </c>
      <c r="D1414" t="s">
        <v>47</v>
      </c>
      <c r="E1414">
        <v>-1</v>
      </c>
      <c r="G1414">
        <f t="shared" si="44"/>
        <v>0</v>
      </c>
      <c r="I1414">
        <f t="shared" si="45"/>
        <v>0</v>
      </c>
      <c r="J1414" s="1">
        <v>45218</v>
      </c>
      <c r="K1414" t="s">
        <v>15</v>
      </c>
      <c r="L1414" t="s">
        <v>16</v>
      </c>
      <c r="M1414">
        <v>1676.75</v>
      </c>
    </row>
    <row r="1415" spans="1:13" x14ac:dyDescent="0.25">
      <c r="A1415">
        <v>2413</v>
      </c>
      <c r="B1415" t="s">
        <v>1448</v>
      </c>
      <c r="C1415" t="s">
        <v>25</v>
      </c>
      <c r="D1415" t="s">
        <v>26</v>
      </c>
      <c r="E1415">
        <v>2</v>
      </c>
      <c r="F1415">
        <v>4140.8599999999997</v>
      </c>
      <c r="G1415">
        <f t="shared" si="44"/>
        <v>8281.7199999999993</v>
      </c>
      <c r="I1415">
        <f t="shared" si="45"/>
        <v>8281.7199999999993</v>
      </c>
      <c r="J1415" s="1">
        <v>45580</v>
      </c>
      <c r="K1415" t="s">
        <v>15</v>
      </c>
      <c r="L1415" t="s">
        <v>23</v>
      </c>
      <c r="M1415">
        <v>162.16</v>
      </c>
    </row>
    <row r="1416" spans="1:13" x14ac:dyDescent="0.25">
      <c r="A1416">
        <v>1037</v>
      </c>
      <c r="B1416" t="s">
        <v>1449</v>
      </c>
      <c r="C1416" t="s">
        <v>28</v>
      </c>
      <c r="D1416" t="s">
        <v>137</v>
      </c>
      <c r="E1416">
        <v>2</v>
      </c>
      <c r="F1416">
        <v>3127.73</v>
      </c>
      <c r="G1416">
        <f t="shared" si="44"/>
        <v>6255.46</v>
      </c>
      <c r="H1416" s="3">
        <v>0.06</v>
      </c>
      <c r="I1416">
        <f t="shared" si="45"/>
        <v>5880.1323999999995</v>
      </c>
      <c r="J1416" s="1">
        <v>45581</v>
      </c>
      <c r="K1416" t="s">
        <v>18</v>
      </c>
      <c r="L1416" t="s">
        <v>16</v>
      </c>
      <c r="M1416">
        <v>-793.02</v>
      </c>
    </row>
    <row r="1417" spans="1:13" x14ac:dyDescent="0.25">
      <c r="A1417">
        <v>2415</v>
      </c>
      <c r="B1417" t="s">
        <v>1450</v>
      </c>
      <c r="C1417" t="s">
        <v>13</v>
      </c>
      <c r="D1417" t="s">
        <v>98</v>
      </c>
      <c r="E1417">
        <v>2</v>
      </c>
      <c r="F1417">
        <v>3395.67</v>
      </c>
      <c r="G1417">
        <f t="shared" si="44"/>
        <v>6791.34</v>
      </c>
      <c r="I1417">
        <f t="shared" si="45"/>
        <v>6791.34</v>
      </c>
      <c r="K1417" t="s">
        <v>38</v>
      </c>
      <c r="L1417" t="s">
        <v>16</v>
      </c>
      <c r="M1417">
        <v>1958.51</v>
      </c>
    </row>
    <row r="1418" spans="1:13" x14ac:dyDescent="0.25">
      <c r="A1418">
        <v>2416</v>
      </c>
      <c r="B1418" t="s">
        <v>1451</v>
      </c>
      <c r="C1418" t="s">
        <v>36</v>
      </c>
      <c r="D1418" t="s">
        <v>87</v>
      </c>
      <c r="E1418">
        <v>2</v>
      </c>
      <c r="G1418">
        <f t="shared" si="44"/>
        <v>0</v>
      </c>
      <c r="H1418" s="3">
        <v>1.27</v>
      </c>
      <c r="I1418">
        <f t="shared" si="45"/>
        <v>0</v>
      </c>
      <c r="J1418" s="1">
        <v>45364</v>
      </c>
      <c r="K1418" t="s">
        <v>44</v>
      </c>
      <c r="L1418" t="s">
        <v>23</v>
      </c>
      <c r="M1418">
        <v>1219.82</v>
      </c>
    </row>
    <row r="1419" spans="1:13" x14ac:dyDescent="0.25">
      <c r="A1419">
        <v>2417</v>
      </c>
      <c r="B1419" t="s">
        <v>1452</v>
      </c>
      <c r="C1419" t="s">
        <v>20</v>
      </c>
      <c r="D1419" t="s">
        <v>76</v>
      </c>
      <c r="E1419">
        <v>2</v>
      </c>
      <c r="F1419">
        <v>4268.68</v>
      </c>
      <c r="G1419">
        <f t="shared" si="44"/>
        <v>8537.36</v>
      </c>
      <c r="H1419" s="3">
        <v>0.67</v>
      </c>
      <c r="I1419">
        <f t="shared" si="45"/>
        <v>2817.3287999999998</v>
      </c>
      <c r="J1419" s="1">
        <v>45506</v>
      </c>
      <c r="K1419" t="s">
        <v>15</v>
      </c>
      <c r="L1419" t="s">
        <v>16</v>
      </c>
      <c r="M1419">
        <v>1818.31</v>
      </c>
    </row>
    <row r="1420" spans="1:13" x14ac:dyDescent="0.25">
      <c r="A1420">
        <v>2418</v>
      </c>
      <c r="B1420" t="s">
        <v>1453</v>
      </c>
      <c r="C1420" t="s">
        <v>20</v>
      </c>
      <c r="D1420" t="s">
        <v>84</v>
      </c>
      <c r="E1420">
        <v>2</v>
      </c>
      <c r="F1420">
        <v>3435.95</v>
      </c>
      <c r="G1420">
        <f t="shared" si="44"/>
        <v>6871.9</v>
      </c>
      <c r="H1420" s="3">
        <v>0.36</v>
      </c>
      <c r="I1420">
        <f t="shared" si="45"/>
        <v>4398.0159999999996</v>
      </c>
      <c r="K1420" t="s">
        <v>15</v>
      </c>
      <c r="L1420" t="s">
        <v>16</v>
      </c>
      <c r="M1420">
        <v>-77.180000000000007</v>
      </c>
    </row>
    <row r="1421" spans="1:13" x14ac:dyDescent="0.25">
      <c r="A1421">
        <v>2419</v>
      </c>
      <c r="B1421" t="s">
        <v>1454</v>
      </c>
      <c r="C1421" t="s">
        <v>25</v>
      </c>
      <c r="D1421" t="s">
        <v>62</v>
      </c>
      <c r="E1421">
        <v>2</v>
      </c>
      <c r="F1421">
        <v>1832.16</v>
      </c>
      <c r="G1421">
        <f t="shared" si="44"/>
        <v>3664.32</v>
      </c>
      <c r="I1421">
        <f t="shared" si="45"/>
        <v>3664.32</v>
      </c>
      <c r="J1421" s="1">
        <v>45552</v>
      </c>
      <c r="K1421" t="s">
        <v>22</v>
      </c>
      <c r="L1421" t="s">
        <v>16</v>
      </c>
      <c r="M1421">
        <v>2843.62</v>
      </c>
    </row>
    <row r="1422" spans="1:13" x14ac:dyDescent="0.25">
      <c r="A1422">
        <v>2420</v>
      </c>
      <c r="B1422" t="s">
        <v>1455</v>
      </c>
      <c r="C1422" t="s">
        <v>20</v>
      </c>
      <c r="D1422" t="s">
        <v>76</v>
      </c>
      <c r="E1422">
        <v>2</v>
      </c>
      <c r="F1422">
        <v>3714.46</v>
      </c>
      <c r="G1422">
        <f t="shared" si="44"/>
        <v>7428.92</v>
      </c>
      <c r="I1422">
        <f t="shared" si="45"/>
        <v>7428.92</v>
      </c>
      <c r="J1422" s="1">
        <v>45684</v>
      </c>
      <c r="K1422" t="s">
        <v>18</v>
      </c>
      <c r="L1422" t="s">
        <v>16</v>
      </c>
      <c r="M1422">
        <v>2452.7199999999998</v>
      </c>
    </row>
    <row r="1423" spans="1:13" x14ac:dyDescent="0.25">
      <c r="A1423">
        <v>2421</v>
      </c>
      <c r="B1423" t="s">
        <v>1456</v>
      </c>
      <c r="C1423" t="s">
        <v>28</v>
      </c>
      <c r="D1423" t="s">
        <v>137</v>
      </c>
      <c r="E1423">
        <v>4</v>
      </c>
      <c r="F1423">
        <v>4411.3900000000003</v>
      </c>
      <c r="G1423">
        <f t="shared" si="44"/>
        <v>17645.560000000001</v>
      </c>
      <c r="I1423">
        <f t="shared" si="45"/>
        <v>17645.560000000001</v>
      </c>
      <c r="J1423" s="1">
        <v>45516</v>
      </c>
      <c r="K1423" t="s">
        <v>2517</v>
      </c>
      <c r="L1423" t="s">
        <v>16</v>
      </c>
      <c r="M1423">
        <v>-501.29</v>
      </c>
    </row>
    <row r="1424" spans="1:13" x14ac:dyDescent="0.25">
      <c r="A1424">
        <v>2422</v>
      </c>
      <c r="B1424" t="s">
        <v>1457</v>
      </c>
      <c r="C1424" t="s">
        <v>31</v>
      </c>
      <c r="D1424" t="s">
        <v>42</v>
      </c>
      <c r="E1424">
        <v>2</v>
      </c>
      <c r="G1424">
        <f t="shared" si="44"/>
        <v>0</v>
      </c>
      <c r="H1424" s="3">
        <v>0.22</v>
      </c>
      <c r="I1424">
        <f t="shared" si="45"/>
        <v>0</v>
      </c>
      <c r="J1424" s="1">
        <v>45536</v>
      </c>
      <c r="K1424" t="s">
        <v>38</v>
      </c>
      <c r="L1424" t="s">
        <v>16</v>
      </c>
      <c r="M1424">
        <v>756.56</v>
      </c>
    </row>
    <row r="1425" spans="1:13" x14ac:dyDescent="0.25">
      <c r="A1425">
        <v>2423</v>
      </c>
      <c r="B1425" t="s">
        <v>1458</v>
      </c>
      <c r="C1425" t="s">
        <v>25</v>
      </c>
      <c r="D1425" t="s">
        <v>51</v>
      </c>
      <c r="E1425">
        <v>2</v>
      </c>
      <c r="G1425">
        <f t="shared" si="44"/>
        <v>0</v>
      </c>
      <c r="I1425">
        <f t="shared" si="45"/>
        <v>0</v>
      </c>
      <c r="J1425" s="1">
        <v>45256</v>
      </c>
      <c r="K1425" t="s">
        <v>18</v>
      </c>
      <c r="L1425" t="s">
        <v>23</v>
      </c>
      <c r="M1425">
        <v>2661.66</v>
      </c>
    </row>
    <row r="1426" spans="1:13" x14ac:dyDescent="0.25">
      <c r="A1426">
        <v>2424</v>
      </c>
      <c r="B1426" t="s">
        <v>1459</v>
      </c>
      <c r="C1426" t="s">
        <v>25</v>
      </c>
      <c r="D1426" t="s">
        <v>26</v>
      </c>
      <c r="E1426">
        <v>5</v>
      </c>
      <c r="F1426">
        <v>2476.15</v>
      </c>
      <c r="G1426">
        <f t="shared" si="44"/>
        <v>12380.75</v>
      </c>
      <c r="I1426">
        <f t="shared" si="45"/>
        <v>12380.75</v>
      </c>
      <c r="J1426" s="1">
        <v>45279</v>
      </c>
      <c r="K1426" t="s">
        <v>44</v>
      </c>
      <c r="L1426" t="s">
        <v>16</v>
      </c>
      <c r="M1426">
        <v>387.88</v>
      </c>
    </row>
    <row r="1427" spans="1:13" x14ac:dyDescent="0.25">
      <c r="A1427">
        <v>2425</v>
      </c>
      <c r="B1427" t="s">
        <v>1460</v>
      </c>
      <c r="C1427" t="s">
        <v>36</v>
      </c>
      <c r="D1427" t="s">
        <v>59</v>
      </c>
      <c r="E1427">
        <v>0</v>
      </c>
      <c r="F1427">
        <v>2632.44</v>
      </c>
      <c r="G1427">
        <f t="shared" si="44"/>
        <v>0</v>
      </c>
      <c r="I1427">
        <f t="shared" si="45"/>
        <v>0</v>
      </c>
      <c r="J1427" s="1">
        <v>45591</v>
      </c>
      <c r="K1427" t="s">
        <v>44</v>
      </c>
      <c r="L1427" t="s">
        <v>16</v>
      </c>
      <c r="M1427">
        <v>2036.93</v>
      </c>
    </row>
    <row r="1428" spans="1:13" x14ac:dyDescent="0.25">
      <c r="A1428">
        <v>2426</v>
      </c>
      <c r="B1428" t="s">
        <v>1461</v>
      </c>
      <c r="C1428" t="s">
        <v>20</v>
      </c>
      <c r="D1428" t="s">
        <v>76</v>
      </c>
      <c r="E1428">
        <v>2</v>
      </c>
      <c r="G1428">
        <f t="shared" si="44"/>
        <v>0</v>
      </c>
      <c r="I1428">
        <f t="shared" si="45"/>
        <v>0</v>
      </c>
      <c r="J1428" s="1">
        <v>45844</v>
      </c>
      <c r="K1428" t="s">
        <v>15</v>
      </c>
      <c r="L1428" t="s">
        <v>23</v>
      </c>
      <c r="M1428">
        <v>261.68</v>
      </c>
    </row>
    <row r="1429" spans="1:13" x14ac:dyDescent="0.25">
      <c r="A1429">
        <v>2427</v>
      </c>
      <c r="B1429" t="s">
        <v>1462</v>
      </c>
      <c r="C1429" t="s">
        <v>31</v>
      </c>
      <c r="D1429" t="s">
        <v>68</v>
      </c>
      <c r="E1429">
        <v>5</v>
      </c>
      <c r="F1429">
        <v>1510.89</v>
      </c>
      <c r="G1429">
        <f t="shared" si="44"/>
        <v>7554.4500000000007</v>
      </c>
      <c r="I1429">
        <f t="shared" si="45"/>
        <v>7554.4500000000007</v>
      </c>
      <c r="J1429" s="1">
        <v>45611</v>
      </c>
      <c r="K1429" t="s">
        <v>38</v>
      </c>
      <c r="L1429" t="s">
        <v>23</v>
      </c>
      <c r="M1429">
        <v>2959.19</v>
      </c>
    </row>
    <row r="1430" spans="1:13" x14ac:dyDescent="0.25">
      <c r="A1430">
        <v>2428</v>
      </c>
      <c r="B1430" t="s">
        <v>1463</v>
      </c>
      <c r="C1430" t="s">
        <v>25</v>
      </c>
      <c r="D1430" t="s">
        <v>26</v>
      </c>
      <c r="E1430">
        <v>-2</v>
      </c>
      <c r="G1430">
        <f t="shared" si="44"/>
        <v>0</v>
      </c>
      <c r="I1430">
        <f t="shared" si="45"/>
        <v>0</v>
      </c>
      <c r="J1430" s="1">
        <v>45674</v>
      </c>
      <c r="K1430" t="s">
        <v>15</v>
      </c>
      <c r="L1430" t="s">
        <v>23</v>
      </c>
      <c r="M1430">
        <v>1885.43</v>
      </c>
    </row>
    <row r="1431" spans="1:13" x14ac:dyDescent="0.25">
      <c r="A1431">
        <v>2429</v>
      </c>
      <c r="B1431" t="s">
        <v>1464</v>
      </c>
      <c r="C1431" t="s">
        <v>25</v>
      </c>
      <c r="D1431" t="s">
        <v>26</v>
      </c>
      <c r="E1431">
        <v>-1</v>
      </c>
      <c r="F1431">
        <v>4193.1000000000004</v>
      </c>
      <c r="G1431">
        <f t="shared" si="44"/>
        <v>-4193.1000000000004</v>
      </c>
      <c r="I1431">
        <f t="shared" si="45"/>
        <v>-4193.1000000000004</v>
      </c>
      <c r="J1431" s="1">
        <v>45561</v>
      </c>
      <c r="K1431" t="s">
        <v>2517</v>
      </c>
      <c r="L1431" t="s">
        <v>16</v>
      </c>
      <c r="M1431">
        <v>436.03</v>
      </c>
    </row>
    <row r="1432" spans="1:13" x14ac:dyDescent="0.25">
      <c r="A1432">
        <v>2430</v>
      </c>
      <c r="B1432" t="s">
        <v>1465</v>
      </c>
      <c r="C1432" t="s">
        <v>13</v>
      </c>
      <c r="D1432" t="s">
        <v>98</v>
      </c>
      <c r="E1432">
        <v>2</v>
      </c>
      <c r="F1432">
        <v>3149.37</v>
      </c>
      <c r="G1432">
        <f t="shared" si="44"/>
        <v>6298.74</v>
      </c>
      <c r="I1432">
        <f t="shared" si="45"/>
        <v>6298.74</v>
      </c>
      <c r="K1432" t="s">
        <v>44</v>
      </c>
      <c r="L1432" t="s">
        <v>16</v>
      </c>
      <c r="M1432">
        <v>1094.4000000000001</v>
      </c>
    </row>
    <row r="1433" spans="1:13" x14ac:dyDescent="0.25">
      <c r="A1433">
        <v>1006</v>
      </c>
      <c r="B1433" t="s">
        <v>351</v>
      </c>
      <c r="C1433" t="s">
        <v>20</v>
      </c>
      <c r="D1433" t="s">
        <v>118</v>
      </c>
      <c r="E1433">
        <v>-2</v>
      </c>
      <c r="F1433">
        <v>714.5</v>
      </c>
      <c r="G1433">
        <f t="shared" si="44"/>
        <v>-1429</v>
      </c>
      <c r="H1433" s="3">
        <v>0.72</v>
      </c>
      <c r="I1433">
        <f t="shared" si="45"/>
        <v>-400.12000000000006</v>
      </c>
      <c r="J1433" s="1">
        <v>45497</v>
      </c>
      <c r="K1433" t="s">
        <v>15</v>
      </c>
      <c r="L1433" t="s">
        <v>23</v>
      </c>
      <c r="M1433">
        <v>-29.59</v>
      </c>
    </row>
    <row r="1434" spans="1:13" x14ac:dyDescent="0.25">
      <c r="A1434">
        <v>2432</v>
      </c>
      <c r="B1434" t="s">
        <v>1466</v>
      </c>
      <c r="C1434" t="s">
        <v>20</v>
      </c>
      <c r="D1434" t="s">
        <v>84</v>
      </c>
      <c r="E1434">
        <v>1</v>
      </c>
      <c r="G1434">
        <f t="shared" si="44"/>
        <v>0</v>
      </c>
      <c r="H1434" s="3">
        <v>0.11</v>
      </c>
      <c r="I1434">
        <f t="shared" si="45"/>
        <v>0</v>
      </c>
      <c r="K1434" t="s">
        <v>22</v>
      </c>
      <c r="L1434" t="s">
        <v>16</v>
      </c>
      <c r="M1434">
        <v>2950.78</v>
      </c>
    </row>
    <row r="1435" spans="1:13" x14ac:dyDescent="0.25">
      <c r="A1435">
        <v>2433</v>
      </c>
      <c r="B1435" t="s">
        <v>1467</v>
      </c>
      <c r="C1435" t="s">
        <v>31</v>
      </c>
      <c r="D1435" t="s">
        <v>32</v>
      </c>
      <c r="E1435">
        <v>0</v>
      </c>
      <c r="F1435">
        <v>2489.1799999999998</v>
      </c>
      <c r="G1435">
        <f t="shared" si="44"/>
        <v>0</v>
      </c>
      <c r="I1435">
        <f t="shared" si="45"/>
        <v>0</v>
      </c>
      <c r="J1435" s="1">
        <v>45531</v>
      </c>
      <c r="K1435" t="s">
        <v>18</v>
      </c>
      <c r="L1435" t="s">
        <v>16</v>
      </c>
      <c r="M1435">
        <v>-22.68</v>
      </c>
    </row>
    <row r="1436" spans="1:13" x14ac:dyDescent="0.25">
      <c r="A1436">
        <v>2434</v>
      </c>
      <c r="B1436" t="s">
        <v>1468</v>
      </c>
      <c r="C1436" t="s">
        <v>20</v>
      </c>
      <c r="D1436" t="s">
        <v>118</v>
      </c>
      <c r="E1436">
        <v>0</v>
      </c>
      <c r="G1436">
        <f t="shared" si="44"/>
        <v>0</v>
      </c>
      <c r="I1436">
        <f t="shared" si="45"/>
        <v>0</v>
      </c>
      <c r="J1436" s="1">
        <v>45508</v>
      </c>
      <c r="K1436" t="s">
        <v>2517</v>
      </c>
      <c r="L1436" t="s">
        <v>23</v>
      </c>
      <c r="M1436">
        <v>1953.07</v>
      </c>
    </row>
    <row r="1437" spans="1:13" x14ac:dyDescent="0.25">
      <c r="A1437">
        <v>2435</v>
      </c>
      <c r="B1437" t="s">
        <v>1469</v>
      </c>
      <c r="C1437" t="s">
        <v>28</v>
      </c>
      <c r="D1437" t="s">
        <v>29</v>
      </c>
      <c r="E1437">
        <v>2</v>
      </c>
      <c r="G1437">
        <f t="shared" si="44"/>
        <v>0</v>
      </c>
      <c r="I1437">
        <f t="shared" si="45"/>
        <v>0</v>
      </c>
      <c r="J1437" s="1">
        <v>45136</v>
      </c>
      <c r="K1437" t="s">
        <v>22</v>
      </c>
      <c r="L1437" t="s">
        <v>16</v>
      </c>
      <c r="M1437">
        <v>2711.18</v>
      </c>
    </row>
    <row r="1438" spans="1:13" x14ac:dyDescent="0.25">
      <c r="A1438">
        <v>2436</v>
      </c>
      <c r="B1438" t="s">
        <v>1470</v>
      </c>
      <c r="C1438" t="s">
        <v>31</v>
      </c>
      <c r="D1438" t="s">
        <v>42</v>
      </c>
      <c r="E1438">
        <v>2</v>
      </c>
      <c r="G1438">
        <f t="shared" si="44"/>
        <v>0</v>
      </c>
      <c r="I1438">
        <f t="shared" si="45"/>
        <v>0</v>
      </c>
      <c r="K1438" t="s">
        <v>2517</v>
      </c>
      <c r="L1438" t="s">
        <v>23</v>
      </c>
      <c r="M1438">
        <v>2492.87</v>
      </c>
    </row>
    <row r="1439" spans="1:13" x14ac:dyDescent="0.25">
      <c r="A1439">
        <v>2437</v>
      </c>
      <c r="B1439" t="s">
        <v>1471</v>
      </c>
      <c r="C1439" t="s">
        <v>31</v>
      </c>
      <c r="D1439" t="s">
        <v>32</v>
      </c>
      <c r="E1439">
        <v>1</v>
      </c>
      <c r="F1439">
        <v>1906.91</v>
      </c>
      <c r="G1439">
        <f t="shared" si="44"/>
        <v>1906.91</v>
      </c>
      <c r="H1439" s="3">
        <v>0.97</v>
      </c>
      <c r="I1439">
        <f t="shared" si="45"/>
        <v>57.207300000000053</v>
      </c>
      <c r="K1439" t="s">
        <v>18</v>
      </c>
      <c r="L1439" t="s">
        <v>23</v>
      </c>
      <c r="M1439">
        <v>440.67</v>
      </c>
    </row>
    <row r="1440" spans="1:13" x14ac:dyDescent="0.25">
      <c r="A1440">
        <v>2438</v>
      </c>
      <c r="B1440" t="s">
        <v>1472</v>
      </c>
      <c r="C1440" t="s">
        <v>31</v>
      </c>
      <c r="D1440" t="s">
        <v>78</v>
      </c>
      <c r="E1440">
        <v>5</v>
      </c>
      <c r="G1440">
        <f t="shared" si="44"/>
        <v>0</v>
      </c>
      <c r="I1440">
        <f t="shared" si="45"/>
        <v>0</v>
      </c>
      <c r="J1440" s="1">
        <v>45365</v>
      </c>
      <c r="K1440" t="s">
        <v>2517</v>
      </c>
      <c r="L1440" t="s">
        <v>23</v>
      </c>
      <c r="M1440">
        <v>1037.5</v>
      </c>
    </row>
    <row r="1441" spans="1:13" x14ac:dyDescent="0.25">
      <c r="A1441">
        <v>2439</v>
      </c>
      <c r="B1441" t="s">
        <v>1473</v>
      </c>
      <c r="C1441" t="s">
        <v>28</v>
      </c>
      <c r="D1441" t="s">
        <v>137</v>
      </c>
      <c r="E1441">
        <v>2</v>
      </c>
      <c r="G1441">
        <f t="shared" si="44"/>
        <v>0</v>
      </c>
      <c r="H1441" s="3">
        <v>0.24</v>
      </c>
      <c r="I1441">
        <f t="shared" si="45"/>
        <v>0</v>
      </c>
      <c r="J1441" s="1">
        <v>45562</v>
      </c>
      <c r="K1441" t="s">
        <v>15</v>
      </c>
      <c r="L1441" t="s">
        <v>16</v>
      </c>
      <c r="M1441">
        <v>-789.39</v>
      </c>
    </row>
    <row r="1442" spans="1:13" x14ac:dyDescent="0.25">
      <c r="A1442">
        <v>2440</v>
      </c>
      <c r="B1442" t="s">
        <v>1474</v>
      </c>
      <c r="C1442" t="s">
        <v>31</v>
      </c>
      <c r="D1442" t="s">
        <v>68</v>
      </c>
      <c r="E1442">
        <v>2</v>
      </c>
      <c r="F1442">
        <v>3846.31</v>
      </c>
      <c r="G1442">
        <f t="shared" si="44"/>
        <v>7692.62</v>
      </c>
      <c r="H1442" s="3">
        <v>0.51</v>
      </c>
      <c r="I1442">
        <f t="shared" si="45"/>
        <v>3769.3838000000001</v>
      </c>
      <c r="J1442" s="1">
        <v>45539</v>
      </c>
      <c r="K1442" t="s">
        <v>44</v>
      </c>
      <c r="L1442" t="s">
        <v>16</v>
      </c>
      <c r="M1442">
        <v>381.13</v>
      </c>
    </row>
    <row r="1443" spans="1:13" x14ac:dyDescent="0.25">
      <c r="A1443">
        <v>2441</v>
      </c>
      <c r="B1443" t="s">
        <v>1475</v>
      </c>
      <c r="C1443" t="s">
        <v>36</v>
      </c>
      <c r="D1443" t="s">
        <v>59</v>
      </c>
      <c r="E1443">
        <v>2</v>
      </c>
      <c r="G1443">
        <f t="shared" si="44"/>
        <v>0</v>
      </c>
      <c r="H1443" s="3">
        <v>0.81</v>
      </c>
      <c r="I1443">
        <f t="shared" si="45"/>
        <v>0</v>
      </c>
      <c r="K1443" t="s">
        <v>44</v>
      </c>
      <c r="L1443" t="s">
        <v>16</v>
      </c>
      <c r="M1443">
        <v>1220.9100000000001</v>
      </c>
    </row>
    <row r="1444" spans="1:13" x14ac:dyDescent="0.25">
      <c r="A1444">
        <v>2442</v>
      </c>
      <c r="B1444" t="s">
        <v>1476</v>
      </c>
      <c r="C1444" t="s">
        <v>13</v>
      </c>
      <c r="D1444" t="s">
        <v>34</v>
      </c>
      <c r="E1444">
        <v>2</v>
      </c>
      <c r="G1444">
        <f t="shared" si="44"/>
        <v>0</v>
      </c>
      <c r="I1444">
        <f t="shared" si="45"/>
        <v>0</v>
      </c>
      <c r="J1444" s="1">
        <v>45688</v>
      </c>
      <c r="K1444" t="s">
        <v>44</v>
      </c>
      <c r="L1444" t="s">
        <v>16</v>
      </c>
      <c r="M1444">
        <v>-937.17</v>
      </c>
    </row>
    <row r="1445" spans="1:13" x14ac:dyDescent="0.25">
      <c r="A1445">
        <v>2443</v>
      </c>
      <c r="B1445" t="s">
        <v>1477</v>
      </c>
      <c r="C1445" t="s">
        <v>31</v>
      </c>
      <c r="D1445" t="s">
        <v>78</v>
      </c>
      <c r="E1445">
        <v>1</v>
      </c>
      <c r="F1445">
        <v>4981.8599999999997</v>
      </c>
      <c r="G1445">
        <f t="shared" si="44"/>
        <v>4981.8599999999997</v>
      </c>
      <c r="I1445">
        <f t="shared" si="45"/>
        <v>4981.8599999999997</v>
      </c>
      <c r="J1445" s="1">
        <v>45562</v>
      </c>
      <c r="K1445" t="s">
        <v>44</v>
      </c>
      <c r="L1445" t="s">
        <v>16</v>
      </c>
      <c r="M1445">
        <v>1410.16</v>
      </c>
    </row>
    <row r="1446" spans="1:13" x14ac:dyDescent="0.25">
      <c r="A1446">
        <v>2444</v>
      </c>
      <c r="B1446" t="s">
        <v>1478</v>
      </c>
      <c r="C1446" t="s">
        <v>13</v>
      </c>
      <c r="D1446" t="s">
        <v>34</v>
      </c>
      <c r="E1446">
        <v>2</v>
      </c>
      <c r="F1446">
        <v>3470.88</v>
      </c>
      <c r="G1446">
        <f t="shared" si="44"/>
        <v>6941.76</v>
      </c>
      <c r="I1446">
        <f t="shared" si="45"/>
        <v>6941.76</v>
      </c>
      <c r="K1446" t="s">
        <v>44</v>
      </c>
      <c r="L1446" t="s">
        <v>23</v>
      </c>
      <c r="M1446">
        <v>638.83000000000004</v>
      </c>
    </row>
    <row r="1447" spans="1:13" x14ac:dyDescent="0.25">
      <c r="A1447">
        <v>2445</v>
      </c>
      <c r="B1447" t="s">
        <v>1479</v>
      </c>
      <c r="C1447" t="s">
        <v>28</v>
      </c>
      <c r="D1447" t="s">
        <v>137</v>
      </c>
      <c r="E1447">
        <v>2</v>
      </c>
      <c r="F1447">
        <v>2282.02</v>
      </c>
      <c r="G1447">
        <f t="shared" si="44"/>
        <v>4564.04</v>
      </c>
      <c r="I1447">
        <f t="shared" si="45"/>
        <v>4564.04</v>
      </c>
      <c r="J1447" s="1">
        <v>45658</v>
      </c>
      <c r="K1447" t="s">
        <v>22</v>
      </c>
      <c r="L1447" t="s">
        <v>16</v>
      </c>
      <c r="M1447">
        <v>555.12</v>
      </c>
    </row>
    <row r="1448" spans="1:13" x14ac:dyDescent="0.25">
      <c r="A1448">
        <v>1009</v>
      </c>
      <c r="B1448" t="s">
        <v>1424</v>
      </c>
      <c r="C1448" t="s">
        <v>13</v>
      </c>
      <c r="D1448" t="s">
        <v>98</v>
      </c>
      <c r="E1448">
        <v>6</v>
      </c>
      <c r="G1448">
        <f t="shared" si="44"/>
        <v>0</v>
      </c>
      <c r="H1448" s="3">
        <v>1.27</v>
      </c>
      <c r="I1448">
        <f t="shared" si="45"/>
        <v>0</v>
      </c>
      <c r="J1448" s="1">
        <v>45606</v>
      </c>
      <c r="K1448" t="s">
        <v>38</v>
      </c>
      <c r="L1448" t="s">
        <v>16</v>
      </c>
      <c r="M1448">
        <v>2936.21</v>
      </c>
    </row>
    <row r="1449" spans="1:13" x14ac:dyDescent="0.25">
      <c r="A1449">
        <v>2447</v>
      </c>
      <c r="B1449" t="s">
        <v>1480</v>
      </c>
      <c r="C1449" t="s">
        <v>36</v>
      </c>
      <c r="D1449" t="s">
        <v>55</v>
      </c>
      <c r="E1449">
        <v>6</v>
      </c>
      <c r="F1449">
        <v>1773.3</v>
      </c>
      <c r="G1449">
        <f t="shared" si="44"/>
        <v>10639.8</v>
      </c>
      <c r="I1449">
        <f t="shared" si="45"/>
        <v>10639.8</v>
      </c>
      <c r="J1449" s="1">
        <v>45607</v>
      </c>
      <c r="K1449" t="s">
        <v>2517</v>
      </c>
      <c r="L1449" t="s">
        <v>16</v>
      </c>
      <c r="M1449">
        <v>2073.35</v>
      </c>
    </row>
    <row r="1450" spans="1:13" x14ac:dyDescent="0.25">
      <c r="A1450">
        <v>2448</v>
      </c>
      <c r="B1450" t="s">
        <v>1481</v>
      </c>
      <c r="C1450" t="s">
        <v>20</v>
      </c>
      <c r="D1450" t="s">
        <v>84</v>
      </c>
      <c r="E1450">
        <v>3</v>
      </c>
      <c r="G1450">
        <f t="shared" si="44"/>
        <v>0</v>
      </c>
      <c r="I1450">
        <f t="shared" si="45"/>
        <v>0</v>
      </c>
      <c r="J1450" s="1">
        <v>45844</v>
      </c>
      <c r="K1450" t="s">
        <v>15</v>
      </c>
      <c r="L1450" t="s">
        <v>16</v>
      </c>
      <c r="M1450">
        <v>-244.83</v>
      </c>
    </row>
    <row r="1451" spans="1:13" x14ac:dyDescent="0.25">
      <c r="A1451">
        <v>2449</v>
      </c>
      <c r="B1451" t="s">
        <v>1482</v>
      </c>
      <c r="C1451" t="s">
        <v>25</v>
      </c>
      <c r="D1451" t="s">
        <v>82</v>
      </c>
      <c r="E1451">
        <v>2</v>
      </c>
      <c r="F1451">
        <v>2344.38</v>
      </c>
      <c r="G1451">
        <f t="shared" si="44"/>
        <v>4688.76</v>
      </c>
      <c r="I1451">
        <f t="shared" si="45"/>
        <v>4688.76</v>
      </c>
      <c r="K1451" t="s">
        <v>22</v>
      </c>
      <c r="L1451" t="s">
        <v>16</v>
      </c>
      <c r="M1451">
        <v>419.95</v>
      </c>
    </row>
    <row r="1452" spans="1:13" x14ac:dyDescent="0.25">
      <c r="A1452">
        <v>2450</v>
      </c>
      <c r="B1452" t="s">
        <v>1483</v>
      </c>
      <c r="C1452" t="s">
        <v>28</v>
      </c>
      <c r="D1452" t="s">
        <v>137</v>
      </c>
      <c r="E1452">
        <v>2</v>
      </c>
      <c r="F1452">
        <v>3333.87</v>
      </c>
      <c r="G1452">
        <f t="shared" si="44"/>
        <v>6667.74</v>
      </c>
      <c r="I1452">
        <f t="shared" si="45"/>
        <v>6667.74</v>
      </c>
      <c r="J1452" s="1">
        <v>45782</v>
      </c>
      <c r="K1452" t="s">
        <v>18</v>
      </c>
      <c r="L1452" t="s">
        <v>16</v>
      </c>
      <c r="M1452">
        <v>1673.63</v>
      </c>
    </row>
    <row r="1453" spans="1:13" x14ac:dyDescent="0.25">
      <c r="A1453">
        <v>2451</v>
      </c>
      <c r="B1453" t="s">
        <v>1484</v>
      </c>
      <c r="C1453" t="s">
        <v>25</v>
      </c>
      <c r="D1453" t="s">
        <v>82</v>
      </c>
      <c r="E1453">
        <v>2</v>
      </c>
      <c r="G1453">
        <f t="shared" si="44"/>
        <v>0</v>
      </c>
      <c r="I1453">
        <f t="shared" si="45"/>
        <v>0</v>
      </c>
      <c r="J1453" s="1">
        <v>45535</v>
      </c>
      <c r="K1453" t="s">
        <v>18</v>
      </c>
      <c r="L1453" t="s">
        <v>23</v>
      </c>
      <c r="M1453">
        <v>1177.96</v>
      </c>
    </row>
    <row r="1454" spans="1:13" x14ac:dyDescent="0.25">
      <c r="A1454">
        <v>1011</v>
      </c>
      <c r="B1454" t="s">
        <v>1485</v>
      </c>
      <c r="C1454" t="s">
        <v>28</v>
      </c>
      <c r="D1454" t="s">
        <v>40</v>
      </c>
      <c r="E1454">
        <v>3</v>
      </c>
      <c r="G1454">
        <f t="shared" si="44"/>
        <v>0</v>
      </c>
      <c r="I1454">
        <f t="shared" si="45"/>
        <v>0</v>
      </c>
      <c r="K1454" t="s">
        <v>22</v>
      </c>
      <c r="L1454" t="s">
        <v>23</v>
      </c>
      <c r="M1454">
        <v>-360.37</v>
      </c>
    </row>
    <row r="1455" spans="1:13" x14ac:dyDescent="0.25">
      <c r="A1455">
        <v>2453</v>
      </c>
      <c r="B1455" t="s">
        <v>1486</v>
      </c>
      <c r="C1455" t="s">
        <v>13</v>
      </c>
      <c r="D1455" t="s">
        <v>14</v>
      </c>
      <c r="E1455">
        <v>2</v>
      </c>
      <c r="G1455">
        <f t="shared" si="44"/>
        <v>0</v>
      </c>
      <c r="H1455" s="3">
        <v>0.72</v>
      </c>
      <c r="I1455">
        <f t="shared" si="45"/>
        <v>0</v>
      </c>
      <c r="J1455" s="1">
        <v>45441</v>
      </c>
      <c r="K1455" t="s">
        <v>2517</v>
      </c>
      <c r="L1455" t="s">
        <v>23</v>
      </c>
      <c r="M1455">
        <v>382.31</v>
      </c>
    </row>
    <row r="1456" spans="1:13" x14ac:dyDescent="0.25">
      <c r="A1456">
        <v>2454</v>
      </c>
      <c r="B1456" t="s">
        <v>1487</v>
      </c>
      <c r="C1456" t="s">
        <v>31</v>
      </c>
      <c r="D1456" t="s">
        <v>32</v>
      </c>
      <c r="E1456">
        <v>3</v>
      </c>
      <c r="G1456">
        <f t="shared" si="44"/>
        <v>0</v>
      </c>
      <c r="I1456">
        <f t="shared" si="45"/>
        <v>0</v>
      </c>
      <c r="K1456" t="s">
        <v>38</v>
      </c>
      <c r="L1456" t="s">
        <v>16</v>
      </c>
      <c r="M1456">
        <v>1961.19</v>
      </c>
    </row>
    <row r="1457" spans="1:13" x14ac:dyDescent="0.25">
      <c r="A1457">
        <v>2455</v>
      </c>
      <c r="B1457" t="s">
        <v>1488</v>
      </c>
      <c r="C1457" t="s">
        <v>25</v>
      </c>
      <c r="D1457" t="s">
        <v>51</v>
      </c>
      <c r="E1457">
        <v>2</v>
      </c>
      <c r="G1457">
        <f t="shared" si="44"/>
        <v>0</v>
      </c>
      <c r="I1457">
        <f t="shared" si="45"/>
        <v>0</v>
      </c>
      <c r="K1457" t="s">
        <v>44</v>
      </c>
      <c r="L1457" t="s">
        <v>16</v>
      </c>
      <c r="M1457">
        <v>2153.0100000000002</v>
      </c>
    </row>
    <row r="1458" spans="1:13" x14ac:dyDescent="0.25">
      <c r="A1458">
        <v>2456</v>
      </c>
      <c r="B1458" t="s">
        <v>1489</v>
      </c>
      <c r="C1458" t="s">
        <v>28</v>
      </c>
      <c r="D1458" t="s">
        <v>137</v>
      </c>
      <c r="E1458">
        <v>2</v>
      </c>
      <c r="F1458">
        <v>889.88</v>
      </c>
      <c r="G1458">
        <f t="shared" si="44"/>
        <v>1779.76</v>
      </c>
      <c r="I1458">
        <f t="shared" si="45"/>
        <v>1779.76</v>
      </c>
      <c r="J1458" s="1">
        <v>45706</v>
      </c>
      <c r="K1458" t="s">
        <v>18</v>
      </c>
      <c r="L1458" t="s">
        <v>23</v>
      </c>
      <c r="M1458">
        <v>1607.65</v>
      </c>
    </row>
    <row r="1459" spans="1:13" x14ac:dyDescent="0.25">
      <c r="A1459">
        <v>2457</v>
      </c>
      <c r="B1459" t="s">
        <v>1490</v>
      </c>
      <c r="C1459" t="s">
        <v>20</v>
      </c>
      <c r="D1459" t="s">
        <v>118</v>
      </c>
      <c r="E1459">
        <v>6</v>
      </c>
      <c r="G1459">
        <f t="shared" si="44"/>
        <v>0</v>
      </c>
      <c r="H1459" s="3">
        <v>1.25</v>
      </c>
      <c r="I1459">
        <f t="shared" si="45"/>
        <v>0</v>
      </c>
      <c r="J1459" s="1">
        <v>45550</v>
      </c>
      <c r="K1459" t="s">
        <v>15</v>
      </c>
      <c r="L1459" t="s">
        <v>16</v>
      </c>
      <c r="M1459">
        <v>179.36</v>
      </c>
    </row>
    <row r="1460" spans="1:13" x14ac:dyDescent="0.25">
      <c r="A1460">
        <v>2458</v>
      </c>
      <c r="B1460" t="s">
        <v>1491</v>
      </c>
      <c r="C1460" t="s">
        <v>31</v>
      </c>
      <c r="D1460" t="s">
        <v>42</v>
      </c>
      <c r="E1460">
        <v>2</v>
      </c>
      <c r="G1460">
        <f t="shared" si="44"/>
        <v>0</v>
      </c>
      <c r="H1460" s="3">
        <v>0.64</v>
      </c>
      <c r="I1460">
        <f t="shared" si="45"/>
        <v>0</v>
      </c>
      <c r="J1460" s="1">
        <v>45606</v>
      </c>
      <c r="K1460" t="s">
        <v>15</v>
      </c>
      <c r="L1460" t="s">
        <v>23</v>
      </c>
      <c r="M1460">
        <v>163.69</v>
      </c>
    </row>
    <row r="1461" spans="1:13" x14ac:dyDescent="0.25">
      <c r="A1461">
        <v>2459</v>
      </c>
      <c r="B1461" t="s">
        <v>1492</v>
      </c>
      <c r="C1461" t="s">
        <v>28</v>
      </c>
      <c r="D1461" t="s">
        <v>40</v>
      </c>
      <c r="E1461">
        <v>2</v>
      </c>
      <c r="G1461">
        <f t="shared" si="44"/>
        <v>0</v>
      </c>
      <c r="I1461">
        <f t="shared" si="45"/>
        <v>0</v>
      </c>
      <c r="K1461" t="s">
        <v>22</v>
      </c>
      <c r="L1461" t="s">
        <v>16</v>
      </c>
      <c r="M1461">
        <v>2616.96</v>
      </c>
    </row>
    <row r="1462" spans="1:13" x14ac:dyDescent="0.25">
      <c r="A1462">
        <v>2460</v>
      </c>
      <c r="B1462" t="s">
        <v>1493</v>
      </c>
      <c r="C1462" t="s">
        <v>28</v>
      </c>
      <c r="D1462" t="s">
        <v>116</v>
      </c>
      <c r="E1462">
        <v>-2</v>
      </c>
      <c r="F1462">
        <v>3157.28</v>
      </c>
      <c r="G1462">
        <f t="shared" si="44"/>
        <v>-6314.56</v>
      </c>
      <c r="H1462" s="3">
        <v>7.0000000000000007E-2</v>
      </c>
      <c r="I1462">
        <f t="shared" si="45"/>
        <v>-5872.5407999999998</v>
      </c>
      <c r="J1462" s="1">
        <v>45194</v>
      </c>
      <c r="K1462" t="s">
        <v>2517</v>
      </c>
      <c r="L1462" t="s">
        <v>16</v>
      </c>
      <c r="M1462">
        <v>971.15</v>
      </c>
    </row>
    <row r="1463" spans="1:13" x14ac:dyDescent="0.25">
      <c r="A1463">
        <v>2461</v>
      </c>
      <c r="B1463" t="s">
        <v>1494</v>
      </c>
      <c r="C1463" t="s">
        <v>20</v>
      </c>
      <c r="D1463" t="s">
        <v>21</v>
      </c>
      <c r="E1463">
        <v>1</v>
      </c>
      <c r="F1463">
        <v>4225.58</v>
      </c>
      <c r="G1463">
        <f t="shared" si="44"/>
        <v>4225.58</v>
      </c>
      <c r="I1463">
        <f t="shared" si="45"/>
        <v>4225.58</v>
      </c>
      <c r="J1463" s="1">
        <v>45685</v>
      </c>
      <c r="K1463" t="s">
        <v>2517</v>
      </c>
      <c r="L1463" t="s">
        <v>23</v>
      </c>
      <c r="M1463">
        <v>-793.29</v>
      </c>
    </row>
    <row r="1464" spans="1:13" x14ac:dyDescent="0.25">
      <c r="A1464">
        <v>2462</v>
      </c>
      <c r="B1464" t="s">
        <v>1495</v>
      </c>
      <c r="C1464" t="s">
        <v>28</v>
      </c>
      <c r="D1464" t="s">
        <v>29</v>
      </c>
      <c r="E1464">
        <v>2</v>
      </c>
      <c r="F1464">
        <v>2123.2199999999998</v>
      </c>
      <c r="G1464">
        <f t="shared" si="44"/>
        <v>4246.4399999999996</v>
      </c>
      <c r="I1464">
        <f t="shared" si="45"/>
        <v>4246.4399999999996</v>
      </c>
      <c r="J1464" s="1">
        <v>45833</v>
      </c>
      <c r="K1464" t="s">
        <v>22</v>
      </c>
      <c r="L1464" t="s">
        <v>16</v>
      </c>
      <c r="M1464">
        <v>2645.36</v>
      </c>
    </row>
    <row r="1465" spans="1:13" x14ac:dyDescent="0.25">
      <c r="A1465">
        <v>2463</v>
      </c>
      <c r="B1465" t="s">
        <v>1496</v>
      </c>
      <c r="C1465" t="s">
        <v>28</v>
      </c>
      <c r="D1465" t="s">
        <v>40</v>
      </c>
      <c r="E1465">
        <v>2</v>
      </c>
      <c r="F1465">
        <v>405.52</v>
      </c>
      <c r="G1465">
        <f t="shared" si="44"/>
        <v>811.04</v>
      </c>
      <c r="I1465">
        <f t="shared" si="45"/>
        <v>811.04</v>
      </c>
      <c r="J1465" s="1">
        <v>45723</v>
      </c>
      <c r="K1465" t="s">
        <v>15</v>
      </c>
      <c r="L1465" t="s">
        <v>16</v>
      </c>
      <c r="M1465">
        <v>2036.57</v>
      </c>
    </row>
    <row r="1466" spans="1:13" x14ac:dyDescent="0.25">
      <c r="A1466">
        <v>2464</v>
      </c>
      <c r="B1466" t="s">
        <v>1497</v>
      </c>
      <c r="C1466" t="s">
        <v>25</v>
      </c>
      <c r="D1466" t="s">
        <v>82</v>
      </c>
      <c r="E1466">
        <v>-1</v>
      </c>
      <c r="G1466">
        <f t="shared" si="44"/>
        <v>0</v>
      </c>
      <c r="H1466" s="3">
        <v>0.32</v>
      </c>
      <c r="I1466">
        <f t="shared" si="45"/>
        <v>0</v>
      </c>
      <c r="J1466" s="1">
        <v>45751</v>
      </c>
      <c r="K1466" t="s">
        <v>2517</v>
      </c>
      <c r="L1466" t="s">
        <v>16</v>
      </c>
      <c r="M1466">
        <v>2742.15</v>
      </c>
    </row>
    <row r="1467" spans="1:13" x14ac:dyDescent="0.25">
      <c r="A1467">
        <v>2465</v>
      </c>
      <c r="B1467" t="s">
        <v>1498</v>
      </c>
      <c r="C1467" t="s">
        <v>13</v>
      </c>
      <c r="D1467" t="s">
        <v>47</v>
      </c>
      <c r="E1467">
        <v>2</v>
      </c>
      <c r="F1467">
        <v>493.99</v>
      </c>
      <c r="G1467">
        <f t="shared" si="44"/>
        <v>987.98</v>
      </c>
      <c r="I1467">
        <f t="shared" si="45"/>
        <v>987.98</v>
      </c>
      <c r="J1467" s="1">
        <v>45684</v>
      </c>
      <c r="K1467" t="s">
        <v>2517</v>
      </c>
      <c r="L1467" t="s">
        <v>23</v>
      </c>
      <c r="M1467">
        <v>-365.9</v>
      </c>
    </row>
    <row r="1468" spans="1:13" x14ac:dyDescent="0.25">
      <c r="A1468">
        <v>2466</v>
      </c>
      <c r="B1468" t="s">
        <v>1499</v>
      </c>
      <c r="C1468" t="s">
        <v>36</v>
      </c>
      <c r="D1468" t="s">
        <v>55</v>
      </c>
      <c r="E1468">
        <v>2</v>
      </c>
      <c r="F1468">
        <v>2335.61</v>
      </c>
      <c r="G1468">
        <f t="shared" si="44"/>
        <v>4671.22</v>
      </c>
      <c r="H1468" s="3">
        <v>0.17</v>
      </c>
      <c r="I1468">
        <f t="shared" si="45"/>
        <v>3877.1125999999999</v>
      </c>
      <c r="K1468" t="s">
        <v>18</v>
      </c>
      <c r="L1468" t="s">
        <v>23</v>
      </c>
      <c r="M1468">
        <v>-36.92</v>
      </c>
    </row>
    <row r="1469" spans="1:13" x14ac:dyDescent="0.25">
      <c r="A1469">
        <v>2467</v>
      </c>
      <c r="B1469" t="s">
        <v>1500</v>
      </c>
      <c r="C1469" t="s">
        <v>25</v>
      </c>
      <c r="D1469" t="s">
        <v>26</v>
      </c>
      <c r="E1469">
        <v>2</v>
      </c>
      <c r="G1469">
        <f t="shared" si="44"/>
        <v>0</v>
      </c>
      <c r="I1469">
        <f t="shared" si="45"/>
        <v>0</v>
      </c>
      <c r="J1469" s="1">
        <v>45823</v>
      </c>
      <c r="K1469" t="s">
        <v>22</v>
      </c>
      <c r="L1469" t="s">
        <v>16</v>
      </c>
      <c r="M1469">
        <v>485.02</v>
      </c>
    </row>
    <row r="1470" spans="1:13" x14ac:dyDescent="0.25">
      <c r="A1470">
        <v>2468</v>
      </c>
      <c r="B1470" t="s">
        <v>1501</v>
      </c>
      <c r="C1470" t="s">
        <v>31</v>
      </c>
      <c r="D1470" t="s">
        <v>42</v>
      </c>
      <c r="E1470">
        <v>2</v>
      </c>
      <c r="G1470">
        <f t="shared" si="44"/>
        <v>0</v>
      </c>
      <c r="I1470">
        <f t="shared" si="45"/>
        <v>0</v>
      </c>
      <c r="J1470" s="1">
        <v>45760</v>
      </c>
      <c r="K1470" t="s">
        <v>22</v>
      </c>
      <c r="L1470" t="s">
        <v>16</v>
      </c>
      <c r="M1470">
        <v>1149.6500000000001</v>
      </c>
    </row>
    <row r="1471" spans="1:13" x14ac:dyDescent="0.25">
      <c r="A1471">
        <v>2469</v>
      </c>
      <c r="B1471" t="s">
        <v>1502</v>
      </c>
      <c r="C1471" t="s">
        <v>20</v>
      </c>
      <c r="D1471" t="s">
        <v>76</v>
      </c>
      <c r="E1471">
        <v>2</v>
      </c>
      <c r="F1471">
        <v>4132.13</v>
      </c>
      <c r="G1471">
        <f t="shared" si="44"/>
        <v>8264.26</v>
      </c>
      <c r="I1471">
        <f t="shared" si="45"/>
        <v>8264.26</v>
      </c>
      <c r="J1471" s="1">
        <v>45776</v>
      </c>
      <c r="K1471" t="s">
        <v>22</v>
      </c>
      <c r="L1471" t="s">
        <v>16</v>
      </c>
      <c r="M1471">
        <v>828.43</v>
      </c>
    </row>
    <row r="1472" spans="1:13" x14ac:dyDescent="0.25">
      <c r="A1472">
        <v>2470</v>
      </c>
      <c r="B1472" t="s">
        <v>1503</v>
      </c>
      <c r="C1472" t="s">
        <v>20</v>
      </c>
      <c r="D1472" t="s">
        <v>21</v>
      </c>
      <c r="E1472">
        <v>3</v>
      </c>
      <c r="G1472">
        <f t="shared" si="44"/>
        <v>0</v>
      </c>
      <c r="H1472" s="3">
        <v>0.74</v>
      </c>
      <c r="I1472">
        <f t="shared" si="45"/>
        <v>0</v>
      </c>
      <c r="J1472" s="1">
        <v>45535</v>
      </c>
      <c r="K1472" t="s">
        <v>44</v>
      </c>
      <c r="L1472" t="s">
        <v>23</v>
      </c>
      <c r="M1472">
        <v>321.20999999999998</v>
      </c>
    </row>
    <row r="1473" spans="1:13" x14ac:dyDescent="0.25">
      <c r="A1473">
        <v>2471</v>
      </c>
      <c r="B1473" t="s">
        <v>1504</v>
      </c>
      <c r="C1473" t="s">
        <v>13</v>
      </c>
      <c r="D1473" t="s">
        <v>14</v>
      </c>
      <c r="E1473">
        <v>2</v>
      </c>
      <c r="F1473">
        <v>4457.83</v>
      </c>
      <c r="G1473">
        <f t="shared" si="44"/>
        <v>8915.66</v>
      </c>
      <c r="H1473" s="3">
        <v>0.66</v>
      </c>
      <c r="I1473">
        <f t="shared" si="45"/>
        <v>3031.3243999999995</v>
      </c>
      <c r="K1473" t="s">
        <v>44</v>
      </c>
      <c r="L1473" t="s">
        <v>23</v>
      </c>
      <c r="M1473">
        <v>780.39</v>
      </c>
    </row>
    <row r="1474" spans="1:13" x14ac:dyDescent="0.25">
      <c r="A1474">
        <v>2472</v>
      </c>
      <c r="B1474" t="s">
        <v>1505</v>
      </c>
      <c r="C1474" t="s">
        <v>13</v>
      </c>
      <c r="D1474" t="s">
        <v>98</v>
      </c>
      <c r="E1474">
        <v>2</v>
      </c>
      <c r="F1474">
        <v>4357.9399999999996</v>
      </c>
      <c r="G1474">
        <f t="shared" si="44"/>
        <v>8715.8799999999992</v>
      </c>
      <c r="H1474" s="3">
        <v>0.33</v>
      </c>
      <c r="I1474">
        <f t="shared" si="45"/>
        <v>5839.6395999999986</v>
      </c>
      <c r="K1474" t="s">
        <v>15</v>
      </c>
      <c r="L1474" t="s">
        <v>23</v>
      </c>
      <c r="M1474">
        <v>971.5</v>
      </c>
    </row>
    <row r="1475" spans="1:13" x14ac:dyDescent="0.25">
      <c r="A1475">
        <v>2473</v>
      </c>
      <c r="B1475" t="s">
        <v>1506</v>
      </c>
      <c r="C1475" t="s">
        <v>25</v>
      </c>
      <c r="D1475" t="s">
        <v>51</v>
      </c>
      <c r="E1475">
        <v>6</v>
      </c>
      <c r="F1475">
        <v>408.21</v>
      </c>
      <c r="G1475">
        <f t="shared" ref="G1475:G1538" si="46">F1475*E1475</f>
        <v>2449.2599999999998</v>
      </c>
      <c r="H1475" s="3">
        <v>1.1599999999999999</v>
      </c>
      <c r="I1475">
        <f t="shared" ref="I1475:I1538" si="47">G1475*(1-H1475)</f>
        <v>-391.88159999999976</v>
      </c>
      <c r="J1475" s="1">
        <v>45516</v>
      </c>
      <c r="K1475" t="s">
        <v>15</v>
      </c>
      <c r="L1475" t="s">
        <v>16</v>
      </c>
      <c r="M1475">
        <v>611.86</v>
      </c>
    </row>
    <row r="1476" spans="1:13" x14ac:dyDescent="0.25">
      <c r="A1476">
        <v>2474</v>
      </c>
      <c r="B1476" t="s">
        <v>1507</v>
      </c>
      <c r="C1476" t="s">
        <v>25</v>
      </c>
      <c r="D1476" t="s">
        <v>26</v>
      </c>
      <c r="E1476">
        <v>2</v>
      </c>
      <c r="G1476">
        <f t="shared" si="46"/>
        <v>0</v>
      </c>
      <c r="I1476">
        <f t="shared" si="47"/>
        <v>0</v>
      </c>
      <c r="J1476" s="1">
        <v>45605</v>
      </c>
      <c r="K1476" t="s">
        <v>38</v>
      </c>
      <c r="L1476" t="s">
        <v>23</v>
      </c>
      <c r="M1476">
        <v>-930.79</v>
      </c>
    </row>
    <row r="1477" spans="1:13" x14ac:dyDescent="0.25">
      <c r="A1477">
        <v>2475</v>
      </c>
      <c r="B1477" t="s">
        <v>1508</v>
      </c>
      <c r="C1477" t="s">
        <v>20</v>
      </c>
      <c r="D1477" t="s">
        <v>118</v>
      </c>
      <c r="E1477">
        <v>5</v>
      </c>
      <c r="F1477">
        <v>642.48</v>
      </c>
      <c r="G1477">
        <f t="shared" si="46"/>
        <v>3212.4</v>
      </c>
      <c r="H1477" s="3">
        <v>0.17</v>
      </c>
      <c r="I1477">
        <f t="shared" si="47"/>
        <v>2666.2919999999999</v>
      </c>
      <c r="K1477" t="s">
        <v>18</v>
      </c>
      <c r="L1477" t="s">
        <v>16</v>
      </c>
      <c r="M1477">
        <v>1800.37</v>
      </c>
    </row>
    <row r="1478" spans="1:13" x14ac:dyDescent="0.25">
      <c r="A1478">
        <v>2476</v>
      </c>
      <c r="B1478" t="s">
        <v>1509</v>
      </c>
      <c r="C1478" t="s">
        <v>36</v>
      </c>
      <c r="D1478" t="s">
        <v>37</v>
      </c>
      <c r="E1478">
        <v>5</v>
      </c>
      <c r="F1478">
        <v>2967.26</v>
      </c>
      <c r="G1478">
        <f t="shared" si="46"/>
        <v>14836.300000000001</v>
      </c>
      <c r="I1478">
        <f t="shared" si="47"/>
        <v>14836.300000000001</v>
      </c>
      <c r="K1478" t="s">
        <v>2517</v>
      </c>
      <c r="L1478" t="s">
        <v>23</v>
      </c>
      <c r="M1478">
        <v>2069.15</v>
      </c>
    </row>
    <row r="1479" spans="1:13" x14ac:dyDescent="0.25">
      <c r="A1479">
        <v>2477</v>
      </c>
      <c r="B1479" t="s">
        <v>1510</v>
      </c>
      <c r="C1479" t="s">
        <v>25</v>
      </c>
      <c r="D1479" t="s">
        <v>82</v>
      </c>
      <c r="E1479">
        <v>3</v>
      </c>
      <c r="F1479">
        <v>3725.14</v>
      </c>
      <c r="G1479">
        <f t="shared" si="46"/>
        <v>11175.42</v>
      </c>
      <c r="I1479">
        <f t="shared" si="47"/>
        <v>11175.42</v>
      </c>
      <c r="K1479" t="s">
        <v>38</v>
      </c>
      <c r="L1479" t="s">
        <v>16</v>
      </c>
      <c r="M1479">
        <v>1220.32</v>
      </c>
    </row>
    <row r="1480" spans="1:13" x14ac:dyDescent="0.25">
      <c r="A1480">
        <v>2478</v>
      </c>
      <c r="B1480" t="s">
        <v>1511</v>
      </c>
      <c r="C1480" t="s">
        <v>36</v>
      </c>
      <c r="D1480" t="s">
        <v>87</v>
      </c>
      <c r="E1480">
        <v>2</v>
      </c>
      <c r="F1480">
        <v>1904.58</v>
      </c>
      <c r="G1480">
        <f t="shared" si="46"/>
        <v>3809.16</v>
      </c>
      <c r="I1480">
        <f t="shared" si="47"/>
        <v>3809.16</v>
      </c>
      <c r="J1480" s="1">
        <v>45557</v>
      </c>
      <c r="K1480" t="s">
        <v>22</v>
      </c>
      <c r="L1480" t="s">
        <v>23</v>
      </c>
      <c r="M1480">
        <v>2090.91</v>
      </c>
    </row>
    <row r="1481" spans="1:13" x14ac:dyDescent="0.25">
      <c r="A1481">
        <v>2479</v>
      </c>
      <c r="B1481" t="s">
        <v>1512</v>
      </c>
      <c r="C1481" t="s">
        <v>25</v>
      </c>
      <c r="D1481" t="s">
        <v>62</v>
      </c>
      <c r="E1481">
        <v>-1</v>
      </c>
      <c r="G1481">
        <f t="shared" si="46"/>
        <v>0</v>
      </c>
      <c r="H1481" s="3">
        <v>1.1100000000000001</v>
      </c>
      <c r="I1481">
        <f t="shared" si="47"/>
        <v>0</v>
      </c>
      <c r="J1481" s="1">
        <v>45696</v>
      </c>
      <c r="K1481" t="s">
        <v>44</v>
      </c>
      <c r="L1481" t="s">
        <v>23</v>
      </c>
      <c r="M1481">
        <v>81.23</v>
      </c>
    </row>
    <row r="1482" spans="1:13" x14ac:dyDescent="0.25">
      <c r="A1482">
        <v>2480</v>
      </c>
      <c r="B1482" t="s">
        <v>1513</v>
      </c>
      <c r="C1482" t="s">
        <v>25</v>
      </c>
      <c r="D1482" t="s">
        <v>51</v>
      </c>
      <c r="E1482">
        <v>2</v>
      </c>
      <c r="G1482">
        <f t="shared" si="46"/>
        <v>0</v>
      </c>
      <c r="H1482" s="3">
        <v>0.14000000000000001</v>
      </c>
      <c r="I1482">
        <f t="shared" si="47"/>
        <v>0</v>
      </c>
      <c r="J1482" s="1">
        <v>45573</v>
      </c>
      <c r="K1482" t="s">
        <v>38</v>
      </c>
      <c r="L1482" t="s">
        <v>16</v>
      </c>
      <c r="M1482">
        <v>1556.81</v>
      </c>
    </row>
    <row r="1483" spans="1:13" x14ac:dyDescent="0.25">
      <c r="A1483">
        <v>2481</v>
      </c>
      <c r="B1483" t="s">
        <v>1514</v>
      </c>
      <c r="C1483" t="s">
        <v>20</v>
      </c>
      <c r="D1483" t="s">
        <v>76</v>
      </c>
      <c r="E1483">
        <v>2</v>
      </c>
      <c r="G1483">
        <f t="shared" si="46"/>
        <v>0</v>
      </c>
      <c r="I1483">
        <f t="shared" si="47"/>
        <v>0</v>
      </c>
      <c r="J1483" s="1">
        <v>45774</v>
      </c>
      <c r="K1483" t="s">
        <v>22</v>
      </c>
      <c r="L1483" t="s">
        <v>16</v>
      </c>
      <c r="M1483">
        <v>142.82</v>
      </c>
    </row>
    <row r="1484" spans="1:13" x14ac:dyDescent="0.25">
      <c r="A1484">
        <v>1050</v>
      </c>
      <c r="B1484" t="s">
        <v>1515</v>
      </c>
      <c r="C1484" t="s">
        <v>28</v>
      </c>
      <c r="D1484" t="s">
        <v>137</v>
      </c>
      <c r="E1484">
        <v>4</v>
      </c>
      <c r="F1484">
        <v>4439.3900000000003</v>
      </c>
      <c r="G1484">
        <f t="shared" si="46"/>
        <v>17757.560000000001</v>
      </c>
      <c r="I1484">
        <f t="shared" si="47"/>
        <v>17757.560000000001</v>
      </c>
      <c r="J1484" s="1">
        <v>45543</v>
      </c>
      <c r="K1484" t="s">
        <v>18</v>
      </c>
      <c r="L1484" t="s">
        <v>16</v>
      </c>
      <c r="M1484">
        <v>2062.85</v>
      </c>
    </row>
    <row r="1485" spans="1:13" x14ac:dyDescent="0.25">
      <c r="A1485">
        <v>2483</v>
      </c>
      <c r="B1485" t="s">
        <v>1516</v>
      </c>
      <c r="C1485" t="s">
        <v>36</v>
      </c>
      <c r="D1485" t="s">
        <v>59</v>
      </c>
      <c r="E1485">
        <v>2</v>
      </c>
      <c r="G1485">
        <f t="shared" si="46"/>
        <v>0</v>
      </c>
      <c r="H1485" s="3">
        <v>0.96</v>
      </c>
      <c r="I1485">
        <f t="shared" si="47"/>
        <v>0</v>
      </c>
      <c r="J1485" s="1">
        <v>45790</v>
      </c>
      <c r="K1485" t="s">
        <v>44</v>
      </c>
      <c r="L1485" t="s">
        <v>23</v>
      </c>
      <c r="M1485">
        <v>-369.21</v>
      </c>
    </row>
    <row r="1486" spans="1:13" x14ac:dyDescent="0.25">
      <c r="A1486">
        <v>2484</v>
      </c>
      <c r="B1486" t="s">
        <v>1517</v>
      </c>
      <c r="C1486" t="s">
        <v>31</v>
      </c>
      <c r="D1486" t="s">
        <v>78</v>
      </c>
      <c r="E1486">
        <v>2</v>
      </c>
      <c r="G1486">
        <f t="shared" si="46"/>
        <v>0</v>
      </c>
      <c r="I1486">
        <f t="shared" si="47"/>
        <v>0</v>
      </c>
      <c r="J1486" s="1">
        <v>45622</v>
      </c>
      <c r="K1486" t="s">
        <v>44</v>
      </c>
      <c r="L1486" t="s">
        <v>16</v>
      </c>
      <c r="M1486">
        <v>516.5</v>
      </c>
    </row>
    <row r="1487" spans="1:13" x14ac:dyDescent="0.25">
      <c r="A1487">
        <v>1050</v>
      </c>
      <c r="B1487" t="s">
        <v>1518</v>
      </c>
      <c r="C1487" t="s">
        <v>13</v>
      </c>
      <c r="D1487" t="s">
        <v>34</v>
      </c>
      <c r="E1487">
        <v>1</v>
      </c>
      <c r="F1487">
        <v>2103.54</v>
      </c>
      <c r="G1487">
        <f t="shared" si="46"/>
        <v>2103.54</v>
      </c>
      <c r="I1487">
        <f t="shared" si="47"/>
        <v>2103.54</v>
      </c>
      <c r="J1487" s="1">
        <v>45662</v>
      </c>
      <c r="K1487" t="s">
        <v>2517</v>
      </c>
      <c r="L1487" t="s">
        <v>16</v>
      </c>
      <c r="M1487">
        <v>2871.06</v>
      </c>
    </row>
    <row r="1488" spans="1:13" x14ac:dyDescent="0.25">
      <c r="A1488">
        <v>2486</v>
      </c>
      <c r="B1488" t="s">
        <v>1519</v>
      </c>
      <c r="C1488" t="s">
        <v>20</v>
      </c>
      <c r="D1488" t="s">
        <v>118</v>
      </c>
      <c r="E1488">
        <v>-2</v>
      </c>
      <c r="G1488">
        <f t="shared" si="46"/>
        <v>0</v>
      </c>
      <c r="I1488">
        <f t="shared" si="47"/>
        <v>0</v>
      </c>
      <c r="J1488" s="1">
        <v>45507</v>
      </c>
      <c r="K1488" t="s">
        <v>18</v>
      </c>
      <c r="L1488" t="s">
        <v>16</v>
      </c>
      <c r="M1488">
        <v>2082.36</v>
      </c>
    </row>
    <row r="1489" spans="1:13" x14ac:dyDescent="0.25">
      <c r="A1489">
        <v>2487</v>
      </c>
      <c r="B1489" t="s">
        <v>1520</v>
      </c>
      <c r="C1489" t="s">
        <v>20</v>
      </c>
      <c r="D1489" t="s">
        <v>118</v>
      </c>
      <c r="E1489">
        <v>-2</v>
      </c>
      <c r="G1489">
        <f t="shared" si="46"/>
        <v>0</v>
      </c>
      <c r="I1489">
        <f t="shared" si="47"/>
        <v>0</v>
      </c>
      <c r="J1489" s="1">
        <v>45706</v>
      </c>
      <c r="K1489" t="s">
        <v>22</v>
      </c>
      <c r="L1489" t="s">
        <v>16</v>
      </c>
      <c r="M1489">
        <v>-395.34</v>
      </c>
    </row>
    <row r="1490" spans="1:13" x14ac:dyDescent="0.25">
      <c r="A1490">
        <v>2488</v>
      </c>
      <c r="B1490" t="s">
        <v>1521</v>
      </c>
      <c r="C1490" t="s">
        <v>20</v>
      </c>
      <c r="D1490" t="s">
        <v>76</v>
      </c>
      <c r="E1490">
        <v>2</v>
      </c>
      <c r="F1490">
        <v>718.84</v>
      </c>
      <c r="G1490">
        <f t="shared" si="46"/>
        <v>1437.68</v>
      </c>
      <c r="H1490" s="3">
        <v>0.53</v>
      </c>
      <c r="I1490">
        <f t="shared" si="47"/>
        <v>675.70960000000002</v>
      </c>
      <c r="J1490" s="1">
        <v>45335</v>
      </c>
      <c r="K1490" t="s">
        <v>18</v>
      </c>
      <c r="L1490" t="s">
        <v>23</v>
      </c>
      <c r="M1490">
        <v>528.71</v>
      </c>
    </row>
    <row r="1491" spans="1:13" x14ac:dyDescent="0.25">
      <c r="A1491">
        <v>2489</v>
      </c>
      <c r="B1491" t="s">
        <v>1522</v>
      </c>
      <c r="C1491" t="s">
        <v>25</v>
      </c>
      <c r="D1491" t="s">
        <v>82</v>
      </c>
      <c r="E1491">
        <v>0</v>
      </c>
      <c r="G1491">
        <f t="shared" si="46"/>
        <v>0</v>
      </c>
      <c r="I1491">
        <f t="shared" si="47"/>
        <v>0</v>
      </c>
      <c r="J1491" s="1">
        <v>45842</v>
      </c>
      <c r="K1491" t="s">
        <v>44</v>
      </c>
      <c r="L1491" t="s">
        <v>16</v>
      </c>
      <c r="M1491">
        <v>-194.49</v>
      </c>
    </row>
    <row r="1492" spans="1:13" x14ac:dyDescent="0.25">
      <c r="A1492">
        <v>2490</v>
      </c>
      <c r="B1492" t="s">
        <v>1523</v>
      </c>
      <c r="C1492" t="s">
        <v>31</v>
      </c>
      <c r="D1492" t="s">
        <v>42</v>
      </c>
      <c r="E1492">
        <v>5</v>
      </c>
      <c r="F1492">
        <v>688.38</v>
      </c>
      <c r="G1492">
        <f t="shared" si="46"/>
        <v>3441.9</v>
      </c>
      <c r="I1492">
        <f t="shared" si="47"/>
        <v>3441.9</v>
      </c>
      <c r="J1492" s="1">
        <v>45624</v>
      </c>
      <c r="K1492" t="s">
        <v>38</v>
      </c>
      <c r="L1492" t="s">
        <v>16</v>
      </c>
      <c r="M1492">
        <v>-25.21</v>
      </c>
    </row>
    <row r="1493" spans="1:13" x14ac:dyDescent="0.25">
      <c r="A1493">
        <v>2491</v>
      </c>
      <c r="B1493" t="s">
        <v>1524</v>
      </c>
      <c r="C1493" t="s">
        <v>25</v>
      </c>
      <c r="D1493" t="s">
        <v>51</v>
      </c>
      <c r="E1493">
        <v>2</v>
      </c>
      <c r="G1493">
        <f t="shared" si="46"/>
        <v>0</v>
      </c>
      <c r="H1493" s="3">
        <v>0.68</v>
      </c>
      <c r="I1493">
        <f t="shared" si="47"/>
        <v>0</v>
      </c>
      <c r="J1493" s="1">
        <v>45517</v>
      </c>
      <c r="K1493" t="s">
        <v>38</v>
      </c>
      <c r="L1493" t="s">
        <v>16</v>
      </c>
      <c r="M1493">
        <v>2466.0100000000002</v>
      </c>
    </row>
    <row r="1494" spans="1:13" x14ac:dyDescent="0.25">
      <c r="A1494">
        <v>2492</v>
      </c>
      <c r="B1494" t="s">
        <v>1525</v>
      </c>
      <c r="C1494" t="s">
        <v>20</v>
      </c>
      <c r="D1494" t="s">
        <v>76</v>
      </c>
      <c r="E1494">
        <v>-1</v>
      </c>
      <c r="G1494">
        <f t="shared" si="46"/>
        <v>0</v>
      </c>
      <c r="I1494">
        <f t="shared" si="47"/>
        <v>0</v>
      </c>
      <c r="J1494" s="1">
        <v>45845</v>
      </c>
      <c r="K1494" t="s">
        <v>38</v>
      </c>
      <c r="L1494" t="s">
        <v>16</v>
      </c>
      <c r="M1494">
        <v>549.15</v>
      </c>
    </row>
    <row r="1495" spans="1:13" x14ac:dyDescent="0.25">
      <c r="A1495">
        <v>2493</v>
      </c>
      <c r="B1495" t="s">
        <v>1526</v>
      </c>
      <c r="C1495" t="s">
        <v>36</v>
      </c>
      <c r="D1495" t="s">
        <v>55</v>
      </c>
      <c r="E1495">
        <v>2</v>
      </c>
      <c r="G1495">
        <f t="shared" si="46"/>
        <v>0</v>
      </c>
      <c r="H1495" s="3">
        <v>0.92</v>
      </c>
      <c r="I1495">
        <f t="shared" si="47"/>
        <v>0</v>
      </c>
      <c r="K1495" t="s">
        <v>18</v>
      </c>
      <c r="L1495" t="s">
        <v>16</v>
      </c>
      <c r="M1495">
        <v>452.38</v>
      </c>
    </row>
    <row r="1496" spans="1:13" x14ac:dyDescent="0.25">
      <c r="A1496">
        <v>2494</v>
      </c>
      <c r="B1496" t="s">
        <v>1527</v>
      </c>
      <c r="C1496" t="s">
        <v>25</v>
      </c>
      <c r="D1496" t="s">
        <v>26</v>
      </c>
      <c r="E1496">
        <v>3</v>
      </c>
      <c r="G1496">
        <f t="shared" si="46"/>
        <v>0</v>
      </c>
      <c r="H1496" s="3">
        <v>1.1599999999999999</v>
      </c>
      <c r="I1496">
        <f t="shared" si="47"/>
        <v>0</v>
      </c>
      <c r="J1496" s="1">
        <v>45782</v>
      </c>
      <c r="K1496" t="s">
        <v>2517</v>
      </c>
      <c r="L1496" t="s">
        <v>23</v>
      </c>
      <c r="M1496">
        <v>1753.67</v>
      </c>
    </row>
    <row r="1497" spans="1:13" x14ac:dyDescent="0.25">
      <c r="A1497">
        <v>2495</v>
      </c>
      <c r="B1497" t="s">
        <v>1528</v>
      </c>
      <c r="C1497" t="s">
        <v>13</v>
      </c>
      <c r="D1497" t="s">
        <v>14</v>
      </c>
      <c r="E1497">
        <v>2</v>
      </c>
      <c r="F1497">
        <v>1106.0899999999999</v>
      </c>
      <c r="G1497">
        <f t="shared" si="46"/>
        <v>2212.1799999999998</v>
      </c>
      <c r="I1497">
        <f t="shared" si="47"/>
        <v>2212.1799999999998</v>
      </c>
      <c r="J1497" s="1">
        <v>45197</v>
      </c>
      <c r="K1497" t="s">
        <v>15</v>
      </c>
      <c r="L1497" t="s">
        <v>16</v>
      </c>
      <c r="M1497">
        <v>1838.39</v>
      </c>
    </row>
    <row r="1498" spans="1:13" x14ac:dyDescent="0.25">
      <c r="A1498">
        <v>2496</v>
      </c>
      <c r="B1498" t="s">
        <v>1529</v>
      </c>
      <c r="C1498" t="s">
        <v>20</v>
      </c>
      <c r="D1498" t="s">
        <v>21</v>
      </c>
      <c r="E1498">
        <v>-2</v>
      </c>
      <c r="G1498">
        <f t="shared" si="46"/>
        <v>0</v>
      </c>
      <c r="I1498">
        <f t="shared" si="47"/>
        <v>0</v>
      </c>
      <c r="J1498" s="1">
        <v>45800</v>
      </c>
      <c r="K1498" t="s">
        <v>15</v>
      </c>
      <c r="L1498" t="s">
        <v>16</v>
      </c>
      <c r="M1498">
        <v>2882.47</v>
      </c>
    </row>
    <row r="1499" spans="1:13" x14ac:dyDescent="0.25">
      <c r="A1499">
        <v>2497</v>
      </c>
      <c r="B1499" t="s">
        <v>1530</v>
      </c>
      <c r="C1499" t="s">
        <v>28</v>
      </c>
      <c r="D1499" t="s">
        <v>116</v>
      </c>
      <c r="E1499">
        <v>1</v>
      </c>
      <c r="F1499">
        <v>3607.5</v>
      </c>
      <c r="G1499">
        <f t="shared" si="46"/>
        <v>3607.5</v>
      </c>
      <c r="I1499">
        <f t="shared" si="47"/>
        <v>3607.5</v>
      </c>
      <c r="J1499" s="1">
        <v>45670</v>
      </c>
      <c r="K1499" t="s">
        <v>18</v>
      </c>
      <c r="L1499" t="s">
        <v>23</v>
      </c>
      <c r="M1499">
        <v>-341.21</v>
      </c>
    </row>
    <row r="1500" spans="1:13" x14ac:dyDescent="0.25">
      <c r="A1500">
        <v>2498</v>
      </c>
      <c r="B1500" t="s">
        <v>1531</v>
      </c>
      <c r="C1500" t="s">
        <v>20</v>
      </c>
      <c r="D1500" t="s">
        <v>21</v>
      </c>
      <c r="E1500">
        <v>4</v>
      </c>
      <c r="F1500">
        <v>2043.67</v>
      </c>
      <c r="G1500">
        <f t="shared" si="46"/>
        <v>8174.68</v>
      </c>
      <c r="I1500">
        <f t="shared" si="47"/>
        <v>8174.68</v>
      </c>
      <c r="J1500" s="1">
        <v>45176</v>
      </c>
      <c r="K1500" t="s">
        <v>44</v>
      </c>
      <c r="L1500" t="s">
        <v>16</v>
      </c>
      <c r="M1500">
        <v>-24.72</v>
      </c>
    </row>
    <row r="1501" spans="1:13" x14ac:dyDescent="0.25">
      <c r="A1501">
        <v>2499</v>
      </c>
      <c r="B1501" t="s">
        <v>1205</v>
      </c>
      <c r="C1501" t="s">
        <v>36</v>
      </c>
      <c r="D1501" t="s">
        <v>37</v>
      </c>
      <c r="E1501">
        <v>-2</v>
      </c>
      <c r="F1501">
        <v>4638.76</v>
      </c>
      <c r="G1501">
        <f t="shared" si="46"/>
        <v>-9277.52</v>
      </c>
      <c r="I1501">
        <f t="shared" si="47"/>
        <v>-9277.52</v>
      </c>
      <c r="J1501" s="1">
        <v>45677</v>
      </c>
      <c r="K1501" t="s">
        <v>2517</v>
      </c>
      <c r="L1501" t="s">
        <v>16</v>
      </c>
      <c r="M1501">
        <v>379.89</v>
      </c>
    </row>
    <row r="1502" spans="1:13" x14ac:dyDescent="0.25">
      <c r="A1502">
        <v>2500</v>
      </c>
      <c r="B1502" t="s">
        <v>1532</v>
      </c>
      <c r="C1502" t="s">
        <v>28</v>
      </c>
      <c r="D1502" t="s">
        <v>116</v>
      </c>
      <c r="E1502">
        <v>5</v>
      </c>
      <c r="G1502">
        <f t="shared" si="46"/>
        <v>0</v>
      </c>
      <c r="H1502" s="3">
        <v>0.92</v>
      </c>
      <c r="I1502">
        <f t="shared" si="47"/>
        <v>0</v>
      </c>
      <c r="J1502" s="1">
        <v>45503</v>
      </c>
      <c r="K1502" t="s">
        <v>15</v>
      </c>
      <c r="L1502" t="s">
        <v>23</v>
      </c>
      <c r="M1502">
        <v>765.43</v>
      </c>
    </row>
    <row r="1503" spans="1:13" x14ac:dyDescent="0.25">
      <c r="A1503">
        <v>2501</v>
      </c>
      <c r="B1503" t="s">
        <v>1533</v>
      </c>
      <c r="C1503" t="s">
        <v>36</v>
      </c>
      <c r="D1503" t="s">
        <v>55</v>
      </c>
      <c r="E1503">
        <v>2</v>
      </c>
      <c r="G1503">
        <f t="shared" si="46"/>
        <v>0</v>
      </c>
      <c r="I1503">
        <f t="shared" si="47"/>
        <v>0</v>
      </c>
      <c r="K1503" t="s">
        <v>18</v>
      </c>
      <c r="L1503" t="s">
        <v>23</v>
      </c>
      <c r="M1503">
        <v>106.21</v>
      </c>
    </row>
    <row r="1504" spans="1:13" x14ac:dyDescent="0.25">
      <c r="A1504">
        <v>2502</v>
      </c>
      <c r="B1504" t="s">
        <v>1534</v>
      </c>
      <c r="C1504" t="s">
        <v>25</v>
      </c>
      <c r="D1504" t="s">
        <v>26</v>
      </c>
      <c r="E1504">
        <v>2</v>
      </c>
      <c r="G1504">
        <f t="shared" si="46"/>
        <v>0</v>
      </c>
      <c r="H1504" s="3">
        <v>1</v>
      </c>
      <c r="I1504">
        <f t="shared" si="47"/>
        <v>0</v>
      </c>
      <c r="J1504" s="1">
        <v>45855</v>
      </c>
      <c r="K1504" t="s">
        <v>22</v>
      </c>
      <c r="L1504" t="s">
        <v>23</v>
      </c>
      <c r="M1504">
        <v>653.4</v>
      </c>
    </row>
    <row r="1505" spans="1:13" x14ac:dyDescent="0.25">
      <c r="A1505">
        <v>2503</v>
      </c>
      <c r="B1505" t="s">
        <v>1535</v>
      </c>
      <c r="C1505" t="s">
        <v>28</v>
      </c>
      <c r="D1505" t="s">
        <v>40</v>
      </c>
      <c r="E1505">
        <v>2</v>
      </c>
      <c r="F1505">
        <v>1259.22</v>
      </c>
      <c r="G1505">
        <f t="shared" si="46"/>
        <v>2518.44</v>
      </c>
      <c r="I1505">
        <f t="shared" si="47"/>
        <v>2518.44</v>
      </c>
      <c r="J1505" s="1">
        <v>45499</v>
      </c>
      <c r="K1505" t="s">
        <v>38</v>
      </c>
      <c r="L1505" t="s">
        <v>16</v>
      </c>
      <c r="M1505">
        <v>120.44</v>
      </c>
    </row>
    <row r="1506" spans="1:13" x14ac:dyDescent="0.25">
      <c r="A1506">
        <v>2504</v>
      </c>
      <c r="B1506" t="s">
        <v>1536</v>
      </c>
      <c r="C1506" t="s">
        <v>36</v>
      </c>
      <c r="D1506" t="s">
        <v>59</v>
      </c>
      <c r="E1506">
        <v>2</v>
      </c>
      <c r="G1506">
        <f t="shared" si="46"/>
        <v>0</v>
      </c>
      <c r="H1506" s="3">
        <v>1.2</v>
      </c>
      <c r="I1506">
        <f t="shared" si="47"/>
        <v>0</v>
      </c>
      <c r="K1506" t="s">
        <v>18</v>
      </c>
      <c r="L1506" t="s">
        <v>23</v>
      </c>
      <c r="M1506">
        <v>-757.99</v>
      </c>
    </row>
    <row r="1507" spans="1:13" x14ac:dyDescent="0.25">
      <c r="A1507">
        <v>2505</v>
      </c>
      <c r="B1507" t="s">
        <v>1537</v>
      </c>
      <c r="C1507" t="s">
        <v>25</v>
      </c>
      <c r="D1507" t="s">
        <v>51</v>
      </c>
      <c r="E1507">
        <v>-1</v>
      </c>
      <c r="F1507">
        <v>1258.77</v>
      </c>
      <c r="G1507">
        <f t="shared" si="46"/>
        <v>-1258.77</v>
      </c>
      <c r="H1507" s="3">
        <v>0.71</v>
      </c>
      <c r="I1507">
        <f t="shared" si="47"/>
        <v>-365.04330000000004</v>
      </c>
      <c r="J1507" s="1">
        <v>45658</v>
      </c>
      <c r="K1507" t="s">
        <v>2517</v>
      </c>
      <c r="L1507" t="s">
        <v>23</v>
      </c>
      <c r="M1507">
        <v>549.6</v>
      </c>
    </row>
    <row r="1508" spans="1:13" x14ac:dyDescent="0.25">
      <c r="A1508">
        <v>2506</v>
      </c>
      <c r="B1508" t="s">
        <v>1538</v>
      </c>
      <c r="C1508" t="s">
        <v>20</v>
      </c>
      <c r="D1508" t="s">
        <v>118</v>
      </c>
      <c r="E1508">
        <v>2</v>
      </c>
      <c r="G1508">
        <f t="shared" si="46"/>
        <v>0</v>
      </c>
      <c r="I1508">
        <f t="shared" si="47"/>
        <v>0</v>
      </c>
      <c r="J1508" s="1">
        <v>45649</v>
      </c>
      <c r="K1508" t="s">
        <v>2517</v>
      </c>
      <c r="L1508" t="s">
        <v>23</v>
      </c>
      <c r="M1508">
        <v>1734.31</v>
      </c>
    </row>
    <row r="1509" spans="1:13" x14ac:dyDescent="0.25">
      <c r="A1509">
        <v>2507</v>
      </c>
      <c r="B1509" t="s">
        <v>1539</v>
      </c>
      <c r="C1509" t="s">
        <v>31</v>
      </c>
      <c r="D1509" t="s">
        <v>78</v>
      </c>
      <c r="E1509">
        <v>2</v>
      </c>
      <c r="G1509">
        <f t="shared" si="46"/>
        <v>0</v>
      </c>
      <c r="I1509">
        <f t="shared" si="47"/>
        <v>0</v>
      </c>
      <c r="J1509" s="1">
        <v>45821</v>
      </c>
      <c r="K1509" t="s">
        <v>18</v>
      </c>
      <c r="L1509" t="s">
        <v>16</v>
      </c>
      <c r="M1509">
        <v>339.83</v>
      </c>
    </row>
    <row r="1510" spans="1:13" x14ac:dyDescent="0.25">
      <c r="A1510">
        <v>2508</v>
      </c>
      <c r="B1510" t="s">
        <v>1540</v>
      </c>
      <c r="C1510" t="s">
        <v>31</v>
      </c>
      <c r="D1510" t="s">
        <v>42</v>
      </c>
      <c r="E1510">
        <v>2</v>
      </c>
      <c r="F1510">
        <v>4245.43</v>
      </c>
      <c r="G1510">
        <f t="shared" si="46"/>
        <v>8490.86</v>
      </c>
      <c r="I1510">
        <f t="shared" si="47"/>
        <v>8490.86</v>
      </c>
      <c r="J1510" s="1">
        <v>45739</v>
      </c>
      <c r="K1510" t="s">
        <v>38</v>
      </c>
      <c r="L1510" t="s">
        <v>23</v>
      </c>
      <c r="M1510">
        <v>-556.03</v>
      </c>
    </row>
    <row r="1511" spans="1:13" x14ac:dyDescent="0.25">
      <c r="A1511">
        <v>2509</v>
      </c>
      <c r="B1511" t="s">
        <v>1541</v>
      </c>
      <c r="C1511" t="s">
        <v>20</v>
      </c>
      <c r="D1511" t="s">
        <v>21</v>
      </c>
      <c r="E1511">
        <v>5</v>
      </c>
      <c r="G1511">
        <f t="shared" si="46"/>
        <v>0</v>
      </c>
      <c r="I1511">
        <f t="shared" si="47"/>
        <v>0</v>
      </c>
      <c r="J1511" s="1">
        <v>45538</v>
      </c>
      <c r="K1511" t="s">
        <v>44</v>
      </c>
      <c r="L1511" t="s">
        <v>16</v>
      </c>
      <c r="M1511">
        <v>1995.3</v>
      </c>
    </row>
    <row r="1512" spans="1:13" x14ac:dyDescent="0.25">
      <c r="A1512">
        <v>2510</v>
      </c>
      <c r="B1512" t="s">
        <v>1542</v>
      </c>
      <c r="C1512" t="s">
        <v>36</v>
      </c>
      <c r="D1512" t="s">
        <v>55</v>
      </c>
      <c r="E1512">
        <v>0</v>
      </c>
      <c r="G1512">
        <f t="shared" si="46"/>
        <v>0</v>
      </c>
      <c r="I1512">
        <f t="shared" si="47"/>
        <v>0</v>
      </c>
      <c r="K1512" t="s">
        <v>15</v>
      </c>
      <c r="L1512" t="s">
        <v>16</v>
      </c>
      <c r="M1512">
        <v>-530.80999999999995</v>
      </c>
    </row>
    <row r="1513" spans="1:13" x14ac:dyDescent="0.25">
      <c r="A1513">
        <v>2511</v>
      </c>
      <c r="B1513" t="s">
        <v>1543</v>
      </c>
      <c r="C1513" t="s">
        <v>20</v>
      </c>
      <c r="D1513" t="s">
        <v>76</v>
      </c>
      <c r="E1513">
        <v>2</v>
      </c>
      <c r="F1513">
        <v>2822.43</v>
      </c>
      <c r="G1513">
        <f t="shared" si="46"/>
        <v>5644.86</v>
      </c>
      <c r="H1513" s="3">
        <v>1</v>
      </c>
      <c r="I1513">
        <f t="shared" si="47"/>
        <v>0</v>
      </c>
      <c r="J1513" s="1">
        <v>45730</v>
      </c>
      <c r="K1513" t="s">
        <v>38</v>
      </c>
      <c r="L1513" t="s">
        <v>16</v>
      </c>
      <c r="M1513">
        <v>2522.48</v>
      </c>
    </row>
    <row r="1514" spans="1:13" x14ac:dyDescent="0.25">
      <c r="A1514">
        <v>2512</v>
      </c>
      <c r="B1514" t="s">
        <v>1544</v>
      </c>
      <c r="C1514" t="s">
        <v>13</v>
      </c>
      <c r="D1514" t="s">
        <v>34</v>
      </c>
      <c r="E1514">
        <v>2</v>
      </c>
      <c r="G1514">
        <f t="shared" si="46"/>
        <v>0</v>
      </c>
      <c r="H1514" s="3">
        <v>0.53</v>
      </c>
      <c r="I1514">
        <f t="shared" si="47"/>
        <v>0</v>
      </c>
      <c r="J1514" s="1">
        <v>45580</v>
      </c>
      <c r="K1514" t="s">
        <v>38</v>
      </c>
      <c r="L1514" t="s">
        <v>16</v>
      </c>
      <c r="M1514">
        <v>958.94</v>
      </c>
    </row>
    <row r="1515" spans="1:13" x14ac:dyDescent="0.25">
      <c r="A1515">
        <v>2513</v>
      </c>
      <c r="B1515" t="s">
        <v>1545</v>
      </c>
      <c r="C1515" t="s">
        <v>36</v>
      </c>
      <c r="D1515" t="s">
        <v>55</v>
      </c>
      <c r="E1515">
        <v>2</v>
      </c>
      <c r="F1515">
        <v>3625.99</v>
      </c>
      <c r="G1515">
        <f t="shared" si="46"/>
        <v>7251.98</v>
      </c>
      <c r="H1515" s="3">
        <v>0.93</v>
      </c>
      <c r="I1515">
        <f t="shared" si="47"/>
        <v>507.6385999999996</v>
      </c>
      <c r="J1515" s="1">
        <v>45631</v>
      </c>
      <c r="K1515" t="s">
        <v>15</v>
      </c>
      <c r="L1515" t="s">
        <v>16</v>
      </c>
      <c r="M1515">
        <v>1552.29</v>
      </c>
    </row>
    <row r="1516" spans="1:13" x14ac:dyDescent="0.25">
      <c r="A1516">
        <v>2514</v>
      </c>
      <c r="B1516" t="s">
        <v>1546</v>
      </c>
      <c r="C1516" t="s">
        <v>13</v>
      </c>
      <c r="D1516" t="s">
        <v>47</v>
      </c>
      <c r="E1516">
        <v>4</v>
      </c>
      <c r="G1516">
        <f t="shared" si="46"/>
        <v>0</v>
      </c>
      <c r="H1516" s="3">
        <v>0.1</v>
      </c>
      <c r="I1516">
        <f t="shared" si="47"/>
        <v>0</v>
      </c>
      <c r="J1516" s="1">
        <v>45794</v>
      </c>
      <c r="K1516" t="s">
        <v>2517</v>
      </c>
      <c r="L1516" t="s">
        <v>23</v>
      </c>
      <c r="M1516">
        <v>-862.68</v>
      </c>
    </row>
    <row r="1517" spans="1:13" x14ac:dyDescent="0.25">
      <c r="A1517">
        <v>2515</v>
      </c>
      <c r="B1517" t="s">
        <v>1547</v>
      </c>
      <c r="C1517" t="s">
        <v>20</v>
      </c>
      <c r="D1517" t="s">
        <v>84</v>
      </c>
      <c r="E1517">
        <v>3</v>
      </c>
      <c r="G1517">
        <f t="shared" si="46"/>
        <v>0</v>
      </c>
      <c r="I1517">
        <f t="shared" si="47"/>
        <v>0</v>
      </c>
      <c r="K1517" t="s">
        <v>38</v>
      </c>
      <c r="L1517" t="s">
        <v>16</v>
      </c>
      <c r="M1517">
        <v>2802.1</v>
      </c>
    </row>
    <row r="1518" spans="1:13" x14ac:dyDescent="0.25">
      <c r="A1518">
        <v>2516</v>
      </c>
      <c r="B1518" t="s">
        <v>1548</v>
      </c>
      <c r="C1518" t="s">
        <v>13</v>
      </c>
      <c r="D1518" t="s">
        <v>98</v>
      </c>
      <c r="E1518">
        <v>1</v>
      </c>
      <c r="F1518">
        <v>1927.87</v>
      </c>
      <c r="G1518">
        <f t="shared" si="46"/>
        <v>1927.87</v>
      </c>
      <c r="I1518">
        <f t="shared" si="47"/>
        <v>1927.87</v>
      </c>
      <c r="J1518" s="1">
        <v>45825</v>
      </c>
      <c r="K1518" t="s">
        <v>15</v>
      </c>
      <c r="L1518" t="s">
        <v>23</v>
      </c>
      <c r="M1518">
        <v>-876.36</v>
      </c>
    </row>
    <row r="1519" spans="1:13" x14ac:dyDescent="0.25">
      <c r="A1519">
        <v>2517</v>
      </c>
      <c r="B1519" t="s">
        <v>1549</v>
      </c>
      <c r="C1519" t="s">
        <v>25</v>
      </c>
      <c r="D1519" t="s">
        <v>82</v>
      </c>
      <c r="E1519">
        <v>2</v>
      </c>
      <c r="G1519">
        <f t="shared" si="46"/>
        <v>0</v>
      </c>
      <c r="H1519" s="3">
        <v>0.2</v>
      </c>
      <c r="I1519">
        <f t="shared" si="47"/>
        <v>0</v>
      </c>
      <c r="J1519" s="1">
        <v>45641</v>
      </c>
      <c r="K1519" t="s">
        <v>44</v>
      </c>
      <c r="L1519" t="s">
        <v>16</v>
      </c>
      <c r="M1519">
        <v>409.12</v>
      </c>
    </row>
    <row r="1520" spans="1:13" x14ac:dyDescent="0.25">
      <c r="A1520">
        <v>2518</v>
      </c>
      <c r="B1520" t="s">
        <v>1550</v>
      </c>
      <c r="C1520" t="s">
        <v>25</v>
      </c>
      <c r="D1520" t="s">
        <v>82</v>
      </c>
      <c r="E1520">
        <v>6</v>
      </c>
      <c r="F1520">
        <v>773.28</v>
      </c>
      <c r="G1520">
        <f t="shared" si="46"/>
        <v>4639.68</v>
      </c>
      <c r="I1520">
        <f t="shared" si="47"/>
        <v>4639.68</v>
      </c>
      <c r="J1520" s="1">
        <v>45744</v>
      </c>
      <c r="K1520" t="s">
        <v>44</v>
      </c>
      <c r="L1520" t="s">
        <v>16</v>
      </c>
      <c r="M1520">
        <v>608.25</v>
      </c>
    </row>
    <row r="1521" spans="1:13" x14ac:dyDescent="0.25">
      <c r="A1521">
        <v>2519</v>
      </c>
      <c r="B1521" t="s">
        <v>1551</v>
      </c>
      <c r="C1521" t="s">
        <v>36</v>
      </c>
      <c r="D1521" t="s">
        <v>55</v>
      </c>
      <c r="E1521">
        <v>2</v>
      </c>
      <c r="F1521">
        <v>3873.82</v>
      </c>
      <c r="G1521">
        <f t="shared" si="46"/>
        <v>7747.64</v>
      </c>
      <c r="H1521" s="3">
        <v>0.99</v>
      </c>
      <c r="I1521">
        <f t="shared" si="47"/>
        <v>77.476400000000069</v>
      </c>
      <c r="J1521" s="1">
        <v>45549</v>
      </c>
      <c r="K1521" t="s">
        <v>15</v>
      </c>
      <c r="L1521" t="s">
        <v>16</v>
      </c>
      <c r="M1521">
        <v>2122.44</v>
      </c>
    </row>
    <row r="1522" spans="1:13" x14ac:dyDescent="0.25">
      <c r="A1522">
        <v>2520</v>
      </c>
      <c r="B1522" t="s">
        <v>1552</v>
      </c>
      <c r="C1522" t="s">
        <v>13</v>
      </c>
      <c r="D1522" t="s">
        <v>47</v>
      </c>
      <c r="E1522">
        <v>1</v>
      </c>
      <c r="F1522">
        <v>2581.19</v>
      </c>
      <c r="G1522">
        <f t="shared" si="46"/>
        <v>2581.19</v>
      </c>
      <c r="H1522" s="3">
        <v>1.04</v>
      </c>
      <c r="I1522">
        <f t="shared" si="47"/>
        <v>-103.24760000000009</v>
      </c>
      <c r="J1522" s="1">
        <v>45418</v>
      </c>
      <c r="K1522" t="s">
        <v>2517</v>
      </c>
      <c r="L1522" t="s">
        <v>23</v>
      </c>
      <c r="M1522">
        <v>2944.11</v>
      </c>
    </row>
    <row r="1523" spans="1:13" x14ac:dyDescent="0.25">
      <c r="A1523">
        <v>2521</v>
      </c>
      <c r="B1523" t="s">
        <v>1553</v>
      </c>
      <c r="C1523" t="s">
        <v>36</v>
      </c>
      <c r="D1523" t="s">
        <v>59</v>
      </c>
      <c r="E1523">
        <v>2</v>
      </c>
      <c r="G1523">
        <f t="shared" si="46"/>
        <v>0</v>
      </c>
      <c r="I1523">
        <f t="shared" si="47"/>
        <v>0</v>
      </c>
      <c r="J1523" s="1">
        <v>45538</v>
      </c>
      <c r="K1523" t="s">
        <v>22</v>
      </c>
      <c r="L1523" t="s">
        <v>16</v>
      </c>
      <c r="M1523">
        <v>140.18</v>
      </c>
    </row>
    <row r="1524" spans="1:13" x14ac:dyDescent="0.25">
      <c r="A1524">
        <v>2522</v>
      </c>
      <c r="B1524" t="s">
        <v>1554</v>
      </c>
      <c r="C1524" t="s">
        <v>36</v>
      </c>
      <c r="D1524" t="s">
        <v>59</v>
      </c>
      <c r="E1524">
        <v>4</v>
      </c>
      <c r="F1524">
        <v>2847.02</v>
      </c>
      <c r="G1524">
        <f t="shared" si="46"/>
        <v>11388.08</v>
      </c>
      <c r="H1524" s="3">
        <v>0.56999999999999995</v>
      </c>
      <c r="I1524">
        <f t="shared" si="47"/>
        <v>4896.8744000000006</v>
      </c>
      <c r="J1524" s="1">
        <v>45171</v>
      </c>
      <c r="K1524" t="s">
        <v>44</v>
      </c>
      <c r="L1524" t="s">
        <v>16</v>
      </c>
      <c r="M1524">
        <v>1592.04</v>
      </c>
    </row>
    <row r="1525" spans="1:13" x14ac:dyDescent="0.25">
      <c r="A1525">
        <v>2523</v>
      </c>
      <c r="B1525" t="s">
        <v>1555</v>
      </c>
      <c r="C1525" t="s">
        <v>28</v>
      </c>
      <c r="D1525" t="s">
        <v>137</v>
      </c>
      <c r="E1525">
        <v>2</v>
      </c>
      <c r="F1525">
        <v>2840.78</v>
      </c>
      <c r="G1525">
        <f t="shared" si="46"/>
        <v>5681.56</v>
      </c>
      <c r="I1525">
        <f t="shared" si="47"/>
        <v>5681.56</v>
      </c>
      <c r="J1525" s="1">
        <v>45565</v>
      </c>
      <c r="K1525" t="s">
        <v>44</v>
      </c>
      <c r="L1525" t="s">
        <v>16</v>
      </c>
      <c r="M1525">
        <v>-836.39</v>
      </c>
    </row>
    <row r="1526" spans="1:13" x14ac:dyDescent="0.25">
      <c r="A1526">
        <v>2524</v>
      </c>
      <c r="B1526" t="s">
        <v>1556</v>
      </c>
      <c r="C1526" t="s">
        <v>31</v>
      </c>
      <c r="D1526" t="s">
        <v>42</v>
      </c>
      <c r="E1526">
        <v>2</v>
      </c>
      <c r="F1526">
        <v>3539.22</v>
      </c>
      <c r="G1526">
        <f t="shared" si="46"/>
        <v>7078.44</v>
      </c>
      <c r="I1526">
        <f t="shared" si="47"/>
        <v>7078.44</v>
      </c>
      <c r="J1526" s="1">
        <v>45540</v>
      </c>
      <c r="K1526" t="s">
        <v>38</v>
      </c>
      <c r="L1526" t="s">
        <v>16</v>
      </c>
      <c r="M1526">
        <v>1991.27</v>
      </c>
    </row>
    <row r="1527" spans="1:13" x14ac:dyDescent="0.25">
      <c r="A1527">
        <v>2525</v>
      </c>
      <c r="B1527" t="s">
        <v>1557</v>
      </c>
      <c r="C1527" t="s">
        <v>20</v>
      </c>
      <c r="D1527" t="s">
        <v>21</v>
      </c>
      <c r="E1527">
        <v>2</v>
      </c>
      <c r="F1527">
        <v>3046.11</v>
      </c>
      <c r="G1527">
        <f t="shared" si="46"/>
        <v>6092.22</v>
      </c>
      <c r="I1527">
        <f t="shared" si="47"/>
        <v>6092.22</v>
      </c>
      <c r="J1527" s="1">
        <v>45776</v>
      </c>
      <c r="K1527" t="s">
        <v>38</v>
      </c>
      <c r="L1527" t="s">
        <v>16</v>
      </c>
      <c r="M1527">
        <v>-190.66</v>
      </c>
    </row>
    <row r="1528" spans="1:13" x14ac:dyDescent="0.25">
      <c r="A1528">
        <v>2526</v>
      </c>
      <c r="B1528" t="s">
        <v>1558</v>
      </c>
      <c r="C1528" t="s">
        <v>28</v>
      </c>
      <c r="D1528" t="s">
        <v>29</v>
      </c>
      <c r="E1528">
        <v>2</v>
      </c>
      <c r="G1528">
        <f t="shared" si="46"/>
        <v>0</v>
      </c>
      <c r="H1528" s="3">
        <v>0.94</v>
      </c>
      <c r="I1528">
        <f t="shared" si="47"/>
        <v>0</v>
      </c>
      <c r="K1528" t="s">
        <v>22</v>
      </c>
      <c r="L1528" t="s">
        <v>23</v>
      </c>
      <c r="M1528">
        <v>2853.61</v>
      </c>
    </row>
    <row r="1529" spans="1:13" x14ac:dyDescent="0.25">
      <c r="A1529">
        <v>2527</v>
      </c>
      <c r="B1529" t="s">
        <v>1559</v>
      </c>
      <c r="C1529" t="s">
        <v>25</v>
      </c>
      <c r="D1529" t="s">
        <v>62</v>
      </c>
      <c r="E1529">
        <v>-1</v>
      </c>
      <c r="F1529">
        <v>4057.33</v>
      </c>
      <c r="G1529">
        <f t="shared" si="46"/>
        <v>-4057.33</v>
      </c>
      <c r="H1529" s="3">
        <v>1.22</v>
      </c>
      <c r="I1529">
        <f t="shared" si="47"/>
        <v>892.61259999999993</v>
      </c>
      <c r="K1529" t="s">
        <v>38</v>
      </c>
      <c r="L1529" t="s">
        <v>16</v>
      </c>
      <c r="M1529">
        <v>385.15</v>
      </c>
    </row>
    <row r="1530" spans="1:13" x14ac:dyDescent="0.25">
      <c r="A1530">
        <v>2528</v>
      </c>
      <c r="B1530" t="s">
        <v>1560</v>
      </c>
      <c r="C1530" t="s">
        <v>25</v>
      </c>
      <c r="D1530" t="s">
        <v>51</v>
      </c>
      <c r="E1530">
        <v>-1</v>
      </c>
      <c r="G1530">
        <f t="shared" si="46"/>
        <v>0</v>
      </c>
      <c r="H1530" s="3">
        <v>0.02</v>
      </c>
      <c r="I1530">
        <f t="shared" si="47"/>
        <v>0</v>
      </c>
      <c r="J1530" s="1">
        <v>45816</v>
      </c>
      <c r="K1530" t="s">
        <v>15</v>
      </c>
      <c r="L1530" t="s">
        <v>16</v>
      </c>
      <c r="M1530">
        <v>-634.46</v>
      </c>
    </row>
    <row r="1531" spans="1:13" x14ac:dyDescent="0.25">
      <c r="A1531">
        <v>2529</v>
      </c>
      <c r="B1531" t="s">
        <v>1561</v>
      </c>
      <c r="C1531" t="s">
        <v>31</v>
      </c>
      <c r="D1531" t="s">
        <v>32</v>
      </c>
      <c r="E1531">
        <v>2</v>
      </c>
      <c r="F1531">
        <v>419.25</v>
      </c>
      <c r="G1531">
        <f t="shared" si="46"/>
        <v>838.5</v>
      </c>
      <c r="I1531">
        <f t="shared" si="47"/>
        <v>838.5</v>
      </c>
      <c r="K1531" t="s">
        <v>22</v>
      </c>
      <c r="L1531" t="s">
        <v>23</v>
      </c>
      <c r="M1531">
        <v>1726.68</v>
      </c>
    </row>
    <row r="1532" spans="1:13" x14ac:dyDescent="0.25">
      <c r="A1532">
        <v>1028</v>
      </c>
      <c r="B1532" t="s">
        <v>1562</v>
      </c>
      <c r="C1532" t="s">
        <v>31</v>
      </c>
      <c r="D1532" t="s">
        <v>42</v>
      </c>
      <c r="E1532">
        <v>0</v>
      </c>
      <c r="G1532">
        <f t="shared" si="46"/>
        <v>0</v>
      </c>
      <c r="I1532">
        <f t="shared" si="47"/>
        <v>0</v>
      </c>
      <c r="J1532" s="1">
        <v>45653</v>
      </c>
      <c r="K1532" t="s">
        <v>18</v>
      </c>
      <c r="L1532" t="s">
        <v>16</v>
      </c>
      <c r="M1532">
        <v>-701.08</v>
      </c>
    </row>
    <row r="1533" spans="1:13" x14ac:dyDescent="0.25">
      <c r="A1533">
        <v>2531</v>
      </c>
      <c r="B1533" t="s">
        <v>1563</v>
      </c>
      <c r="C1533" t="s">
        <v>31</v>
      </c>
      <c r="D1533" t="s">
        <v>78</v>
      </c>
      <c r="E1533">
        <v>2</v>
      </c>
      <c r="F1533">
        <v>816.33</v>
      </c>
      <c r="G1533">
        <f t="shared" si="46"/>
        <v>1632.66</v>
      </c>
      <c r="I1533">
        <f t="shared" si="47"/>
        <v>1632.66</v>
      </c>
      <c r="J1533" s="1">
        <v>45638</v>
      </c>
      <c r="K1533" t="s">
        <v>22</v>
      </c>
      <c r="L1533" t="s">
        <v>16</v>
      </c>
      <c r="M1533">
        <v>868.11</v>
      </c>
    </row>
    <row r="1534" spans="1:13" x14ac:dyDescent="0.25">
      <c r="A1534">
        <v>2532</v>
      </c>
      <c r="B1534" t="s">
        <v>1564</v>
      </c>
      <c r="C1534" t="s">
        <v>25</v>
      </c>
      <c r="D1534" t="s">
        <v>51</v>
      </c>
      <c r="E1534">
        <v>2</v>
      </c>
      <c r="F1534">
        <v>1863.19</v>
      </c>
      <c r="G1534">
        <f t="shared" si="46"/>
        <v>3726.38</v>
      </c>
      <c r="H1534" s="3">
        <v>0.01</v>
      </c>
      <c r="I1534">
        <f t="shared" si="47"/>
        <v>3689.1161999999999</v>
      </c>
      <c r="K1534" t="s">
        <v>22</v>
      </c>
      <c r="L1534" t="s">
        <v>23</v>
      </c>
      <c r="M1534">
        <v>-371.04</v>
      </c>
    </row>
    <row r="1535" spans="1:13" x14ac:dyDescent="0.25">
      <c r="A1535">
        <v>2533</v>
      </c>
      <c r="B1535" t="s">
        <v>1565</v>
      </c>
      <c r="C1535" t="s">
        <v>36</v>
      </c>
      <c r="D1535" t="s">
        <v>55</v>
      </c>
      <c r="E1535">
        <v>2</v>
      </c>
      <c r="F1535">
        <v>3960.8</v>
      </c>
      <c r="G1535">
        <f t="shared" si="46"/>
        <v>7921.6</v>
      </c>
      <c r="H1535" s="3">
        <v>0.03</v>
      </c>
      <c r="I1535">
        <f t="shared" si="47"/>
        <v>7683.9520000000002</v>
      </c>
      <c r="J1535" s="1">
        <v>45666</v>
      </c>
      <c r="K1535" t="s">
        <v>22</v>
      </c>
      <c r="L1535" t="s">
        <v>16</v>
      </c>
      <c r="M1535">
        <v>1266.8800000000001</v>
      </c>
    </row>
    <row r="1536" spans="1:13" x14ac:dyDescent="0.25">
      <c r="A1536">
        <v>2534</v>
      </c>
      <c r="B1536" t="s">
        <v>1566</v>
      </c>
      <c r="C1536" t="s">
        <v>31</v>
      </c>
      <c r="D1536" t="s">
        <v>68</v>
      </c>
      <c r="E1536">
        <v>4</v>
      </c>
      <c r="F1536">
        <v>687.34</v>
      </c>
      <c r="G1536">
        <f t="shared" si="46"/>
        <v>2749.36</v>
      </c>
      <c r="H1536" s="3">
        <v>1.21</v>
      </c>
      <c r="I1536">
        <f t="shared" si="47"/>
        <v>-577.36559999999997</v>
      </c>
      <c r="J1536" s="1">
        <v>45671</v>
      </c>
      <c r="K1536" t="s">
        <v>15</v>
      </c>
      <c r="L1536" t="s">
        <v>23</v>
      </c>
      <c r="M1536">
        <v>-234.42</v>
      </c>
    </row>
    <row r="1537" spans="1:13" x14ac:dyDescent="0.25">
      <c r="A1537">
        <v>2535</v>
      </c>
      <c r="B1537" t="s">
        <v>1567</v>
      </c>
      <c r="C1537" t="s">
        <v>28</v>
      </c>
      <c r="D1537" t="s">
        <v>29</v>
      </c>
      <c r="E1537">
        <v>2</v>
      </c>
      <c r="G1537">
        <f t="shared" si="46"/>
        <v>0</v>
      </c>
      <c r="I1537">
        <f t="shared" si="47"/>
        <v>0</v>
      </c>
      <c r="J1537" s="1">
        <v>45543</v>
      </c>
      <c r="K1537" t="s">
        <v>15</v>
      </c>
      <c r="L1537" t="s">
        <v>16</v>
      </c>
      <c r="M1537">
        <v>782.05</v>
      </c>
    </row>
    <row r="1538" spans="1:13" x14ac:dyDescent="0.25">
      <c r="A1538">
        <v>2536</v>
      </c>
      <c r="B1538" t="s">
        <v>1568</v>
      </c>
      <c r="C1538" t="s">
        <v>13</v>
      </c>
      <c r="D1538" t="s">
        <v>14</v>
      </c>
      <c r="E1538">
        <v>2</v>
      </c>
      <c r="G1538">
        <f t="shared" si="46"/>
        <v>0</v>
      </c>
      <c r="I1538">
        <f t="shared" si="47"/>
        <v>0</v>
      </c>
      <c r="K1538" t="s">
        <v>22</v>
      </c>
      <c r="L1538" t="s">
        <v>16</v>
      </c>
      <c r="M1538">
        <v>2685.77</v>
      </c>
    </row>
    <row r="1539" spans="1:13" x14ac:dyDescent="0.25">
      <c r="A1539">
        <v>2537</v>
      </c>
      <c r="B1539" t="s">
        <v>1569</v>
      </c>
      <c r="C1539" t="s">
        <v>25</v>
      </c>
      <c r="D1539" t="s">
        <v>51</v>
      </c>
      <c r="E1539">
        <v>2</v>
      </c>
      <c r="F1539">
        <v>3449.08</v>
      </c>
      <c r="G1539">
        <f t="shared" ref="G1539:G1602" si="48">F1539*E1539</f>
        <v>6898.16</v>
      </c>
      <c r="H1539" s="3">
        <v>1.0900000000000001</v>
      </c>
      <c r="I1539">
        <f t="shared" ref="I1539:I1602" si="49">G1539*(1-H1539)</f>
        <v>-620.83440000000053</v>
      </c>
      <c r="J1539" s="1">
        <v>45359</v>
      </c>
      <c r="K1539" t="s">
        <v>38</v>
      </c>
      <c r="L1539" t="s">
        <v>16</v>
      </c>
      <c r="M1539">
        <v>181.11</v>
      </c>
    </row>
    <row r="1540" spans="1:13" x14ac:dyDescent="0.25">
      <c r="A1540">
        <v>2538</v>
      </c>
      <c r="B1540" t="s">
        <v>1570</v>
      </c>
      <c r="C1540" t="s">
        <v>36</v>
      </c>
      <c r="D1540" t="s">
        <v>37</v>
      </c>
      <c r="E1540">
        <v>2</v>
      </c>
      <c r="G1540">
        <f t="shared" si="48"/>
        <v>0</v>
      </c>
      <c r="I1540">
        <f t="shared" si="49"/>
        <v>0</v>
      </c>
      <c r="J1540" s="1">
        <v>45816</v>
      </c>
      <c r="K1540" t="s">
        <v>2517</v>
      </c>
      <c r="L1540" t="s">
        <v>16</v>
      </c>
      <c r="M1540">
        <v>-705.34</v>
      </c>
    </row>
    <row r="1541" spans="1:13" x14ac:dyDescent="0.25">
      <c r="A1541">
        <v>2539</v>
      </c>
      <c r="B1541" t="s">
        <v>1571</v>
      </c>
      <c r="C1541" t="s">
        <v>20</v>
      </c>
      <c r="D1541" t="s">
        <v>76</v>
      </c>
      <c r="E1541">
        <v>4</v>
      </c>
      <c r="G1541">
        <f t="shared" si="48"/>
        <v>0</v>
      </c>
      <c r="I1541">
        <f t="shared" si="49"/>
        <v>0</v>
      </c>
      <c r="K1541" t="s">
        <v>22</v>
      </c>
      <c r="L1541" t="s">
        <v>23</v>
      </c>
      <c r="M1541">
        <v>2989.83</v>
      </c>
    </row>
    <row r="1542" spans="1:13" x14ac:dyDescent="0.25">
      <c r="A1542">
        <v>2540</v>
      </c>
      <c r="B1542" t="s">
        <v>1572</v>
      </c>
      <c r="C1542" t="s">
        <v>13</v>
      </c>
      <c r="D1542" t="s">
        <v>14</v>
      </c>
      <c r="E1542">
        <v>2</v>
      </c>
      <c r="F1542">
        <v>799.82</v>
      </c>
      <c r="G1542">
        <f t="shared" si="48"/>
        <v>1599.64</v>
      </c>
      <c r="I1542">
        <f t="shared" si="49"/>
        <v>1599.64</v>
      </c>
      <c r="J1542" s="1">
        <v>45813</v>
      </c>
      <c r="K1542" t="s">
        <v>2517</v>
      </c>
      <c r="L1542" t="s">
        <v>16</v>
      </c>
      <c r="M1542">
        <v>1358.09</v>
      </c>
    </row>
    <row r="1543" spans="1:13" x14ac:dyDescent="0.25">
      <c r="A1543">
        <v>2541</v>
      </c>
      <c r="B1543" t="s">
        <v>1573</v>
      </c>
      <c r="C1543" t="s">
        <v>13</v>
      </c>
      <c r="D1543" t="s">
        <v>98</v>
      </c>
      <c r="E1543">
        <v>3</v>
      </c>
      <c r="G1543">
        <f t="shared" si="48"/>
        <v>0</v>
      </c>
      <c r="I1543">
        <f t="shared" si="49"/>
        <v>0</v>
      </c>
      <c r="J1543" s="1">
        <v>45574</v>
      </c>
      <c r="K1543" t="s">
        <v>15</v>
      </c>
      <c r="L1543" t="s">
        <v>23</v>
      </c>
      <c r="M1543">
        <v>404.87</v>
      </c>
    </row>
    <row r="1544" spans="1:13" x14ac:dyDescent="0.25">
      <c r="A1544">
        <v>2542</v>
      </c>
      <c r="B1544" t="s">
        <v>1574</v>
      </c>
      <c r="C1544" t="s">
        <v>20</v>
      </c>
      <c r="D1544" t="s">
        <v>76</v>
      </c>
      <c r="E1544">
        <v>3</v>
      </c>
      <c r="G1544">
        <f t="shared" si="48"/>
        <v>0</v>
      </c>
      <c r="H1544" s="3">
        <v>0.42</v>
      </c>
      <c r="I1544">
        <f t="shared" si="49"/>
        <v>0</v>
      </c>
      <c r="J1544" s="1">
        <v>45722</v>
      </c>
      <c r="K1544" t="s">
        <v>38</v>
      </c>
      <c r="L1544" t="s">
        <v>16</v>
      </c>
      <c r="M1544">
        <v>379.4</v>
      </c>
    </row>
    <row r="1545" spans="1:13" x14ac:dyDescent="0.25">
      <c r="A1545">
        <v>2543</v>
      </c>
      <c r="B1545" t="s">
        <v>1575</v>
      </c>
      <c r="C1545" t="s">
        <v>31</v>
      </c>
      <c r="D1545" t="s">
        <v>68</v>
      </c>
      <c r="E1545">
        <v>4</v>
      </c>
      <c r="F1545">
        <v>3501.9</v>
      </c>
      <c r="G1545">
        <f t="shared" si="48"/>
        <v>14007.6</v>
      </c>
      <c r="I1545">
        <f t="shared" si="49"/>
        <v>14007.6</v>
      </c>
      <c r="J1545" s="1">
        <v>45221</v>
      </c>
      <c r="K1545" t="s">
        <v>2517</v>
      </c>
      <c r="L1545" t="s">
        <v>16</v>
      </c>
      <c r="M1545">
        <v>1747.96</v>
      </c>
    </row>
    <row r="1546" spans="1:13" x14ac:dyDescent="0.25">
      <c r="A1546">
        <v>2544</v>
      </c>
      <c r="B1546" t="s">
        <v>1576</v>
      </c>
      <c r="C1546" t="s">
        <v>28</v>
      </c>
      <c r="D1546" t="s">
        <v>40</v>
      </c>
      <c r="E1546">
        <v>2</v>
      </c>
      <c r="F1546">
        <v>3205.96</v>
      </c>
      <c r="G1546">
        <f t="shared" si="48"/>
        <v>6411.92</v>
      </c>
      <c r="I1546">
        <f t="shared" si="49"/>
        <v>6411.92</v>
      </c>
      <c r="J1546" s="1">
        <v>45548</v>
      </c>
      <c r="K1546" t="s">
        <v>22</v>
      </c>
      <c r="L1546" t="s">
        <v>23</v>
      </c>
      <c r="M1546">
        <v>1764.26</v>
      </c>
    </row>
    <row r="1547" spans="1:13" x14ac:dyDescent="0.25">
      <c r="A1547">
        <v>2545</v>
      </c>
      <c r="B1547" t="s">
        <v>1577</v>
      </c>
      <c r="C1547" t="s">
        <v>36</v>
      </c>
      <c r="D1547" t="s">
        <v>87</v>
      </c>
      <c r="E1547">
        <v>2</v>
      </c>
      <c r="F1547">
        <v>2109.08</v>
      </c>
      <c r="G1547">
        <f t="shared" si="48"/>
        <v>4218.16</v>
      </c>
      <c r="I1547">
        <f t="shared" si="49"/>
        <v>4218.16</v>
      </c>
      <c r="J1547" s="1">
        <v>45782</v>
      </c>
      <c r="K1547" t="s">
        <v>15</v>
      </c>
      <c r="L1547" t="s">
        <v>23</v>
      </c>
      <c r="M1547">
        <v>1633.57</v>
      </c>
    </row>
    <row r="1548" spans="1:13" x14ac:dyDescent="0.25">
      <c r="A1548">
        <v>2546</v>
      </c>
      <c r="B1548" t="s">
        <v>1578</v>
      </c>
      <c r="C1548" t="s">
        <v>31</v>
      </c>
      <c r="D1548" t="s">
        <v>68</v>
      </c>
      <c r="E1548">
        <v>1</v>
      </c>
      <c r="F1548">
        <v>3574.54</v>
      </c>
      <c r="G1548">
        <f t="shared" si="48"/>
        <v>3574.54</v>
      </c>
      <c r="I1548">
        <f t="shared" si="49"/>
        <v>3574.54</v>
      </c>
      <c r="J1548" s="1">
        <v>45513</v>
      </c>
      <c r="K1548" t="s">
        <v>22</v>
      </c>
      <c r="L1548" t="s">
        <v>16</v>
      </c>
      <c r="M1548">
        <v>-305.77</v>
      </c>
    </row>
    <row r="1549" spans="1:13" x14ac:dyDescent="0.25">
      <c r="A1549">
        <v>2547</v>
      </c>
      <c r="B1549" t="s">
        <v>1579</v>
      </c>
      <c r="C1549" t="s">
        <v>25</v>
      </c>
      <c r="D1549" t="s">
        <v>62</v>
      </c>
      <c r="E1549">
        <v>2</v>
      </c>
      <c r="F1549">
        <v>4896.32</v>
      </c>
      <c r="G1549">
        <f t="shared" si="48"/>
        <v>9792.64</v>
      </c>
      <c r="H1549" s="3">
        <v>1.26</v>
      </c>
      <c r="I1549">
        <f t="shared" si="49"/>
        <v>-2546.0864000000001</v>
      </c>
      <c r="J1549" s="1">
        <v>45634</v>
      </c>
      <c r="K1549" t="s">
        <v>15</v>
      </c>
      <c r="L1549" t="s">
        <v>23</v>
      </c>
      <c r="M1549">
        <v>2391.23</v>
      </c>
    </row>
    <row r="1550" spans="1:13" x14ac:dyDescent="0.25">
      <c r="A1550">
        <v>2548</v>
      </c>
      <c r="B1550" t="s">
        <v>1580</v>
      </c>
      <c r="C1550" t="s">
        <v>36</v>
      </c>
      <c r="D1550" t="s">
        <v>87</v>
      </c>
      <c r="E1550">
        <v>-1</v>
      </c>
      <c r="F1550">
        <v>4994.07</v>
      </c>
      <c r="G1550">
        <f t="shared" si="48"/>
        <v>-4994.07</v>
      </c>
      <c r="I1550">
        <f t="shared" si="49"/>
        <v>-4994.07</v>
      </c>
      <c r="K1550" t="s">
        <v>2517</v>
      </c>
      <c r="L1550" t="s">
        <v>16</v>
      </c>
      <c r="M1550">
        <v>2068.21</v>
      </c>
    </row>
    <row r="1551" spans="1:13" x14ac:dyDescent="0.25">
      <c r="A1551">
        <v>2549</v>
      </c>
      <c r="B1551" t="s">
        <v>1581</v>
      </c>
      <c r="C1551" t="s">
        <v>36</v>
      </c>
      <c r="D1551" t="s">
        <v>59</v>
      </c>
      <c r="E1551">
        <v>6</v>
      </c>
      <c r="F1551">
        <v>2319.23</v>
      </c>
      <c r="G1551">
        <f t="shared" si="48"/>
        <v>13915.380000000001</v>
      </c>
      <c r="I1551">
        <f t="shared" si="49"/>
        <v>13915.380000000001</v>
      </c>
      <c r="J1551" s="1">
        <v>45674</v>
      </c>
      <c r="K1551" t="s">
        <v>18</v>
      </c>
      <c r="L1551" t="s">
        <v>16</v>
      </c>
      <c r="M1551">
        <v>-854.91</v>
      </c>
    </row>
    <row r="1552" spans="1:13" x14ac:dyDescent="0.25">
      <c r="A1552">
        <v>2550</v>
      </c>
      <c r="B1552" t="s">
        <v>1582</v>
      </c>
      <c r="C1552" t="s">
        <v>20</v>
      </c>
      <c r="D1552" t="s">
        <v>118</v>
      </c>
      <c r="E1552">
        <v>-1</v>
      </c>
      <c r="F1552">
        <v>1463.64</v>
      </c>
      <c r="G1552">
        <f t="shared" si="48"/>
        <v>-1463.64</v>
      </c>
      <c r="I1552">
        <f t="shared" si="49"/>
        <v>-1463.64</v>
      </c>
      <c r="J1552" s="1">
        <v>45777</v>
      </c>
      <c r="K1552" t="s">
        <v>2517</v>
      </c>
      <c r="L1552" t="s">
        <v>16</v>
      </c>
      <c r="M1552">
        <v>1667.2</v>
      </c>
    </row>
    <row r="1553" spans="1:13" x14ac:dyDescent="0.25">
      <c r="A1553">
        <v>2551</v>
      </c>
      <c r="B1553" t="s">
        <v>1583</v>
      </c>
      <c r="C1553" t="s">
        <v>28</v>
      </c>
      <c r="D1553" t="s">
        <v>40</v>
      </c>
      <c r="E1553">
        <v>6</v>
      </c>
      <c r="F1553">
        <v>4776.97</v>
      </c>
      <c r="G1553">
        <f t="shared" si="48"/>
        <v>28661.82</v>
      </c>
      <c r="I1553">
        <f t="shared" si="49"/>
        <v>28661.82</v>
      </c>
      <c r="K1553" t="s">
        <v>18</v>
      </c>
      <c r="L1553" t="s">
        <v>23</v>
      </c>
      <c r="M1553">
        <v>727.96</v>
      </c>
    </row>
    <row r="1554" spans="1:13" x14ac:dyDescent="0.25">
      <c r="A1554">
        <v>2552</v>
      </c>
      <c r="B1554" t="s">
        <v>1584</v>
      </c>
      <c r="C1554" t="s">
        <v>36</v>
      </c>
      <c r="D1554" t="s">
        <v>37</v>
      </c>
      <c r="E1554">
        <v>2</v>
      </c>
      <c r="F1554">
        <v>3617.02</v>
      </c>
      <c r="G1554">
        <f t="shared" si="48"/>
        <v>7234.04</v>
      </c>
      <c r="I1554">
        <f t="shared" si="49"/>
        <v>7234.04</v>
      </c>
      <c r="J1554" s="1">
        <v>45644</v>
      </c>
      <c r="K1554" t="s">
        <v>2517</v>
      </c>
      <c r="L1554" t="s">
        <v>16</v>
      </c>
      <c r="M1554">
        <v>2692.48</v>
      </c>
    </row>
    <row r="1555" spans="1:13" x14ac:dyDescent="0.25">
      <c r="A1555">
        <v>2553</v>
      </c>
      <c r="B1555" t="s">
        <v>1585</v>
      </c>
      <c r="C1555" t="s">
        <v>36</v>
      </c>
      <c r="D1555" t="s">
        <v>55</v>
      </c>
      <c r="E1555">
        <v>2</v>
      </c>
      <c r="F1555">
        <v>3347.39</v>
      </c>
      <c r="G1555">
        <f t="shared" si="48"/>
        <v>6694.78</v>
      </c>
      <c r="I1555">
        <f t="shared" si="49"/>
        <v>6694.78</v>
      </c>
      <c r="J1555" s="1">
        <v>45193</v>
      </c>
      <c r="K1555" t="s">
        <v>22</v>
      </c>
      <c r="L1555" t="s">
        <v>23</v>
      </c>
      <c r="M1555">
        <v>441.13</v>
      </c>
    </row>
    <row r="1556" spans="1:13" x14ac:dyDescent="0.25">
      <c r="A1556">
        <v>2554</v>
      </c>
      <c r="B1556" t="s">
        <v>1586</v>
      </c>
      <c r="C1556" t="s">
        <v>25</v>
      </c>
      <c r="D1556" t="s">
        <v>51</v>
      </c>
      <c r="E1556">
        <v>2</v>
      </c>
      <c r="F1556">
        <v>2433.4699999999998</v>
      </c>
      <c r="G1556">
        <f t="shared" si="48"/>
        <v>4866.9399999999996</v>
      </c>
      <c r="I1556">
        <f t="shared" si="49"/>
        <v>4866.9399999999996</v>
      </c>
      <c r="J1556" s="1">
        <v>45551</v>
      </c>
      <c r="K1556" t="s">
        <v>2517</v>
      </c>
      <c r="L1556" t="s">
        <v>16</v>
      </c>
      <c r="M1556">
        <v>796.37</v>
      </c>
    </row>
    <row r="1557" spans="1:13" x14ac:dyDescent="0.25">
      <c r="A1557">
        <v>2555</v>
      </c>
      <c r="B1557" t="s">
        <v>1587</v>
      </c>
      <c r="C1557" t="s">
        <v>13</v>
      </c>
      <c r="D1557" t="s">
        <v>14</v>
      </c>
      <c r="E1557">
        <v>2</v>
      </c>
      <c r="F1557">
        <v>3633.07</v>
      </c>
      <c r="G1557">
        <f t="shared" si="48"/>
        <v>7266.14</v>
      </c>
      <c r="H1557" s="3">
        <v>0.22</v>
      </c>
      <c r="I1557">
        <f t="shared" si="49"/>
        <v>5667.5892000000003</v>
      </c>
      <c r="J1557" s="1">
        <v>45313</v>
      </c>
      <c r="K1557" t="s">
        <v>44</v>
      </c>
      <c r="L1557" t="s">
        <v>23</v>
      </c>
      <c r="M1557">
        <v>826.86</v>
      </c>
    </row>
    <row r="1558" spans="1:13" x14ac:dyDescent="0.25">
      <c r="A1558">
        <v>2556</v>
      </c>
      <c r="B1558" t="s">
        <v>1588</v>
      </c>
      <c r="C1558" t="s">
        <v>20</v>
      </c>
      <c r="D1558" t="s">
        <v>21</v>
      </c>
      <c r="E1558">
        <v>2</v>
      </c>
      <c r="F1558">
        <v>2068.88</v>
      </c>
      <c r="G1558">
        <f t="shared" si="48"/>
        <v>4137.76</v>
      </c>
      <c r="I1558">
        <f t="shared" si="49"/>
        <v>4137.76</v>
      </c>
      <c r="K1558" t="s">
        <v>38</v>
      </c>
      <c r="L1558" t="s">
        <v>16</v>
      </c>
      <c r="M1558">
        <v>-9.99</v>
      </c>
    </row>
    <row r="1559" spans="1:13" x14ac:dyDescent="0.25">
      <c r="A1559">
        <v>2557</v>
      </c>
      <c r="B1559" t="s">
        <v>1589</v>
      </c>
      <c r="C1559" t="s">
        <v>28</v>
      </c>
      <c r="D1559" t="s">
        <v>40</v>
      </c>
      <c r="E1559">
        <v>-1</v>
      </c>
      <c r="F1559">
        <v>4626.4399999999996</v>
      </c>
      <c r="G1559">
        <f t="shared" si="48"/>
        <v>-4626.4399999999996</v>
      </c>
      <c r="H1559" s="3">
        <v>1.1000000000000001</v>
      </c>
      <c r="I1559">
        <f t="shared" si="49"/>
        <v>462.64400000000035</v>
      </c>
      <c r="J1559" s="1">
        <v>45780</v>
      </c>
      <c r="K1559" t="s">
        <v>18</v>
      </c>
      <c r="L1559" t="s">
        <v>23</v>
      </c>
      <c r="M1559">
        <v>1942.23</v>
      </c>
    </row>
    <row r="1560" spans="1:13" x14ac:dyDescent="0.25">
      <c r="A1560">
        <v>2558</v>
      </c>
      <c r="B1560" t="s">
        <v>1590</v>
      </c>
      <c r="C1560" t="s">
        <v>28</v>
      </c>
      <c r="D1560" t="s">
        <v>40</v>
      </c>
      <c r="E1560">
        <v>2</v>
      </c>
      <c r="F1560">
        <v>1175.25</v>
      </c>
      <c r="G1560">
        <f t="shared" si="48"/>
        <v>2350.5</v>
      </c>
      <c r="I1560">
        <f t="shared" si="49"/>
        <v>2350.5</v>
      </c>
      <c r="K1560" t="s">
        <v>22</v>
      </c>
      <c r="L1560" t="s">
        <v>23</v>
      </c>
      <c r="M1560">
        <v>854.14</v>
      </c>
    </row>
    <row r="1561" spans="1:13" x14ac:dyDescent="0.25">
      <c r="A1561">
        <v>2559</v>
      </c>
      <c r="B1561" t="s">
        <v>1591</v>
      </c>
      <c r="C1561" t="s">
        <v>28</v>
      </c>
      <c r="D1561" t="s">
        <v>116</v>
      </c>
      <c r="E1561">
        <v>0</v>
      </c>
      <c r="G1561">
        <f t="shared" si="48"/>
        <v>0</v>
      </c>
      <c r="H1561" s="3">
        <v>0.3</v>
      </c>
      <c r="I1561">
        <f t="shared" si="49"/>
        <v>0</v>
      </c>
      <c r="K1561" t="s">
        <v>44</v>
      </c>
      <c r="L1561" t="s">
        <v>16</v>
      </c>
      <c r="M1561">
        <v>-882.81</v>
      </c>
    </row>
    <row r="1562" spans="1:13" x14ac:dyDescent="0.25">
      <c r="A1562">
        <v>2560</v>
      </c>
      <c r="B1562" t="s">
        <v>1592</v>
      </c>
      <c r="C1562" t="s">
        <v>25</v>
      </c>
      <c r="D1562" t="s">
        <v>26</v>
      </c>
      <c r="E1562">
        <v>-1</v>
      </c>
      <c r="F1562">
        <v>4699.66</v>
      </c>
      <c r="G1562">
        <f t="shared" si="48"/>
        <v>-4699.66</v>
      </c>
      <c r="I1562">
        <f t="shared" si="49"/>
        <v>-4699.66</v>
      </c>
      <c r="K1562" t="s">
        <v>22</v>
      </c>
      <c r="L1562" t="s">
        <v>16</v>
      </c>
      <c r="M1562">
        <v>2759.92</v>
      </c>
    </row>
    <row r="1563" spans="1:13" x14ac:dyDescent="0.25">
      <c r="A1563">
        <v>2561</v>
      </c>
      <c r="B1563" t="s">
        <v>1593</v>
      </c>
      <c r="C1563" t="s">
        <v>20</v>
      </c>
      <c r="D1563" t="s">
        <v>21</v>
      </c>
      <c r="E1563">
        <v>5</v>
      </c>
      <c r="G1563">
        <f t="shared" si="48"/>
        <v>0</v>
      </c>
      <c r="I1563">
        <f t="shared" si="49"/>
        <v>0</v>
      </c>
      <c r="K1563" t="s">
        <v>18</v>
      </c>
      <c r="L1563" t="s">
        <v>23</v>
      </c>
      <c r="M1563">
        <v>559.97</v>
      </c>
    </row>
    <row r="1564" spans="1:13" x14ac:dyDescent="0.25">
      <c r="A1564">
        <v>1044</v>
      </c>
      <c r="B1564" t="s">
        <v>1594</v>
      </c>
      <c r="C1564" t="s">
        <v>20</v>
      </c>
      <c r="D1564" t="s">
        <v>76</v>
      </c>
      <c r="E1564">
        <v>2</v>
      </c>
      <c r="F1564">
        <v>756.73</v>
      </c>
      <c r="G1564">
        <f t="shared" si="48"/>
        <v>1513.46</v>
      </c>
      <c r="I1564">
        <f t="shared" si="49"/>
        <v>1513.46</v>
      </c>
      <c r="J1564" s="1">
        <v>45631</v>
      </c>
      <c r="K1564" t="s">
        <v>15</v>
      </c>
      <c r="L1564" t="s">
        <v>16</v>
      </c>
      <c r="M1564">
        <v>1504.13</v>
      </c>
    </row>
    <row r="1565" spans="1:13" x14ac:dyDescent="0.25">
      <c r="A1565">
        <v>2563</v>
      </c>
      <c r="B1565" t="s">
        <v>1595</v>
      </c>
      <c r="C1565" t="s">
        <v>28</v>
      </c>
      <c r="D1565" t="s">
        <v>40</v>
      </c>
      <c r="E1565">
        <v>2</v>
      </c>
      <c r="G1565">
        <f t="shared" si="48"/>
        <v>0</v>
      </c>
      <c r="H1565" s="3">
        <v>0.41</v>
      </c>
      <c r="I1565">
        <f t="shared" si="49"/>
        <v>0</v>
      </c>
      <c r="J1565" s="1">
        <v>45789</v>
      </c>
      <c r="K1565" t="s">
        <v>2517</v>
      </c>
      <c r="L1565" t="s">
        <v>16</v>
      </c>
      <c r="M1565">
        <v>891.43</v>
      </c>
    </row>
    <row r="1566" spans="1:13" x14ac:dyDescent="0.25">
      <c r="A1566">
        <v>2564</v>
      </c>
      <c r="B1566" t="s">
        <v>1596</v>
      </c>
      <c r="C1566" t="s">
        <v>20</v>
      </c>
      <c r="D1566" t="s">
        <v>118</v>
      </c>
      <c r="E1566">
        <v>-1</v>
      </c>
      <c r="G1566">
        <f t="shared" si="48"/>
        <v>0</v>
      </c>
      <c r="I1566">
        <f t="shared" si="49"/>
        <v>0</v>
      </c>
      <c r="J1566" s="1">
        <v>45290</v>
      </c>
      <c r="K1566" t="s">
        <v>22</v>
      </c>
      <c r="L1566" t="s">
        <v>16</v>
      </c>
      <c r="M1566">
        <v>-479.17</v>
      </c>
    </row>
    <row r="1567" spans="1:13" x14ac:dyDescent="0.25">
      <c r="A1567">
        <v>2565</v>
      </c>
      <c r="B1567" t="s">
        <v>1597</v>
      </c>
      <c r="C1567" t="s">
        <v>25</v>
      </c>
      <c r="D1567" t="s">
        <v>51</v>
      </c>
      <c r="E1567">
        <v>2</v>
      </c>
      <c r="G1567">
        <f t="shared" si="48"/>
        <v>0</v>
      </c>
      <c r="I1567">
        <f t="shared" si="49"/>
        <v>0</v>
      </c>
      <c r="K1567" t="s">
        <v>44</v>
      </c>
      <c r="L1567" t="s">
        <v>23</v>
      </c>
      <c r="M1567">
        <v>415.71</v>
      </c>
    </row>
    <row r="1568" spans="1:13" x14ac:dyDescent="0.25">
      <c r="A1568">
        <v>2566</v>
      </c>
      <c r="B1568" t="s">
        <v>1598</v>
      </c>
      <c r="C1568" t="s">
        <v>31</v>
      </c>
      <c r="D1568" t="s">
        <v>32</v>
      </c>
      <c r="E1568">
        <v>1</v>
      </c>
      <c r="F1568">
        <v>4482.08</v>
      </c>
      <c r="G1568">
        <f t="shared" si="48"/>
        <v>4482.08</v>
      </c>
      <c r="I1568">
        <f t="shared" si="49"/>
        <v>4482.08</v>
      </c>
      <c r="J1568" s="1">
        <v>45508</v>
      </c>
      <c r="K1568" t="s">
        <v>38</v>
      </c>
      <c r="L1568" t="s">
        <v>16</v>
      </c>
      <c r="M1568">
        <v>464.92</v>
      </c>
    </row>
    <row r="1569" spans="1:13" x14ac:dyDescent="0.25">
      <c r="A1569">
        <v>2567</v>
      </c>
      <c r="B1569" t="s">
        <v>1599</v>
      </c>
      <c r="C1569" t="s">
        <v>31</v>
      </c>
      <c r="D1569" t="s">
        <v>78</v>
      </c>
      <c r="E1569">
        <v>4</v>
      </c>
      <c r="G1569">
        <f t="shared" si="48"/>
        <v>0</v>
      </c>
      <c r="H1569" s="3">
        <v>0.35</v>
      </c>
      <c r="I1569">
        <f t="shared" si="49"/>
        <v>0</v>
      </c>
      <c r="J1569" s="1">
        <v>45643</v>
      </c>
      <c r="K1569" t="s">
        <v>15</v>
      </c>
      <c r="L1569" t="s">
        <v>16</v>
      </c>
      <c r="M1569">
        <v>2962.69</v>
      </c>
    </row>
    <row r="1570" spans="1:13" x14ac:dyDescent="0.25">
      <c r="A1570">
        <v>1013</v>
      </c>
      <c r="B1570" t="s">
        <v>1600</v>
      </c>
      <c r="C1570" t="s">
        <v>25</v>
      </c>
      <c r="D1570" t="s">
        <v>51</v>
      </c>
      <c r="E1570">
        <v>6</v>
      </c>
      <c r="F1570">
        <v>2355.2800000000002</v>
      </c>
      <c r="G1570">
        <f t="shared" si="48"/>
        <v>14131.68</v>
      </c>
      <c r="I1570">
        <f t="shared" si="49"/>
        <v>14131.68</v>
      </c>
      <c r="J1570" s="1">
        <v>45674</v>
      </c>
      <c r="K1570" t="s">
        <v>18</v>
      </c>
      <c r="L1570" t="s">
        <v>16</v>
      </c>
      <c r="M1570">
        <v>330.11</v>
      </c>
    </row>
    <row r="1571" spans="1:13" x14ac:dyDescent="0.25">
      <c r="A1571">
        <v>2569</v>
      </c>
      <c r="B1571" t="s">
        <v>1601</v>
      </c>
      <c r="C1571" t="s">
        <v>20</v>
      </c>
      <c r="D1571" t="s">
        <v>118</v>
      </c>
      <c r="E1571">
        <v>2</v>
      </c>
      <c r="F1571">
        <v>1263.8399999999999</v>
      </c>
      <c r="G1571">
        <f t="shared" si="48"/>
        <v>2527.6799999999998</v>
      </c>
      <c r="I1571">
        <f t="shared" si="49"/>
        <v>2527.6799999999998</v>
      </c>
      <c r="J1571" s="1">
        <v>45694</v>
      </c>
      <c r="K1571" t="s">
        <v>2517</v>
      </c>
      <c r="L1571" t="s">
        <v>23</v>
      </c>
      <c r="M1571">
        <v>2520.08</v>
      </c>
    </row>
    <row r="1572" spans="1:13" x14ac:dyDescent="0.25">
      <c r="A1572">
        <v>2570</v>
      </c>
      <c r="B1572" t="s">
        <v>1602</v>
      </c>
      <c r="C1572" t="s">
        <v>20</v>
      </c>
      <c r="D1572" t="s">
        <v>84</v>
      </c>
      <c r="E1572">
        <v>-1</v>
      </c>
      <c r="G1572">
        <f t="shared" si="48"/>
        <v>0</v>
      </c>
      <c r="H1572" s="3">
        <v>0.78</v>
      </c>
      <c r="I1572">
        <f t="shared" si="49"/>
        <v>0</v>
      </c>
      <c r="J1572" s="1">
        <v>45763</v>
      </c>
      <c r="K1572" t="s">
        <v>2517</v>
      </c>
      <c r="L1572" t="s">
        <v>23</v>
      </c>
      <c r="M1572">
        <v>1668.49</v>
      </c>
    </row>
    <row r="1573" spans="1:13" x14ac:dyDescent="0.25">
      <c r="A1573">
        <v>2571</v>
      </c>
      <c r="B1573" t="s">
        <v>1603</v>
      </c>
      <c r="C1573" t="s">
        <v>36</v>
      </c>
      <c r="D1573" t="s">
        <v>59</v>
      </c>
      <c r="E1573">
        <v>-2</v>
      </c>
      <c r="F1573">
        <v>3061.98</v>
      </c>
      <c r="G1573">
        <f t="shared" si="48"/>
        <v>-6123.96</v>
      </c>
      <c r="I1573">
        <f t="shared" si="49"/>
        <v>-6123.96</v>
      </c>
      <c r="J1573" s="1">
        <v>45843</v>
      </c>
      <c r="K1573" t="s">
        <v>18</v>
      </c>
      <c r="L1573" t="s">
        <v>16</v>
      </c>
      <c r="M1573">
        <v>2553.09</v>
      </c>
    </row>
    <row r="1574" spans="1:13" x14ac:dyDescent="0.25">
      <c r="A1574">
        <v>2572</v>
      </c>
      <c r="B1574" t="s">
        <v>1604</v>
      </c>
      <c r="C1574" t="s">
        <v>31</v>
      </c>
      <c r="D1574" t="s">
        <v>42</v>
      </c>
      <c r="E1574">
        <v>0</v>
      </c>
      <c r="G1574">
        <f t="shared" si="48"/>
        <v>0</v>
      </c>
      <c r="I1574">
        <f t="shared" si="49"/>
        <v>0</v>
      </c>
      <c r="J1574" s="1">
        <v>45698</v>
      </c>
      <c r="K1574" t="s">
        <v>44</v>
      </c>
      <c r="L1574" t="s">
        <v>23</v>
      </c>
      <c r="M1574">
        <v>-305.72000000000003</v>
      </c>
    </row>
    <row r="1575" spans="1:13" x14ac:dyDescent="0.25">
      <c r="A1575">
        <v>2573</v>
      </c>
      <c r="B1575" t="s">
        <v>1605</v>
      </c>
      <c r="C1575" t="s">
        <v>20</v>
      </c>
      <c r="D1575" t="s">
        <v>118</v>
      </c>
      <c r="E1575">
        <v>2</v>
      </c>
      <c r="G1575">
        <f t="shared" si="48"/>
        <v>0</v>
      </c>
      <c r="I1575">
        <f t="shared" si="49"/>
        <v>0</v>
      </c>
      <c r="J1575" s="1">
        <v>45303</v>
      </c>
      <c r="K1575" t="s">
        <v>18</v>
      </c>
      <c r="L1575" t="s">
        <v>16</v>
      </c>
      <c r="M1575">
        <v>-215</v>
      </c>
    </row>
    <row r="1576" spans="1:13" x14ac:dyDescent="0.25">
      <c r="A1576">
        <v>2574</v>
      </c>
      <c r="B1576" t="s">
        <v>1606</v>
      </c>
      <c r="C1576" t="s">
        <v>36</v>
      </c>
      <c r="D1576" t="s">
        <v>59</v>
      </c>
      <c r="E1576">
        <v>-2</v>
      </c>
      <c r="G1576">
        <f t="shared" si="48"/>
        <v>0</v>
      </c>
      <c r="I1576">
        <f t="shared" si="49"/>
        <v>0</v>
      </c>
      <c r="J1576" s="1">
        <v>45602</v>
      </c>
      <c r="K1576" t="s">
        <v>44</v>
      </c>
      <c r="L1576" t="s">
        <v>23</v>
      </c>
      <c r="M1576">
        <v>-39.299999999999997</v>
      </c>
    </row>
    <row r="1577" spans="1:13" x14ac:dyDescent="0.25">
      <c r="A1577">
        <v>2575</v>
      </c>
      <c r="B1577" t="s">
        <v>1607</v>
      </c>
      <c r="C1577" t="s">
        <v>25</v>
      </c>
      <c r="D1577" t="s">
        <v>51</v>
      </c>
      <c r="E1577">
        <v>-2</v>
      </c>
      <c r="F1577">
        <v>2714.78</v>
      </c>
      <c r="G1577">
        <f t="shared" si="48"/>
        <v>-5429.56</v>
      </c>
      <c r="H1577" s="3">
        <v>0.42</v>
      </c>
      <c r="I1577">
        <f t="shared" si="49"/>
        <v>-3149.1448000000005</v>
      </c>
      <c r="J1577" s="1">
        <v>45785</v>
      </c>
      <c r="K1577" t="s">
        <v>18</v>
      </c>
      <c r="L1577" t="s">
        <v>23</v>
      </c>
      <c r="M1577">
        <v>1220.49</v>
      </c>
    </row>
    <row r="1578" spans="1:13" x14ac:dyDescent="0.25">
      <c r="A1578">
        <v>2576</v>
      </c>
      <c r="B1578" t="s">
        <v>1608</v>
      </c>
      <c r="C1578" t="s">
        <v>13</v>
      </c>
      <c r="D1578" t="s">
        <v>47</v>
      </c>
      <c r="E1578">
        <v>2</v>
      </c>
      <c r="G1578">
        <f t="shared" si="48"/>
        <v>0</v>
      </c>
      <c r="H1578" s="3">
        <v>0.56000000000000005</v>
      </c>
      <c r="I1578">
        <f t="shared" si="49"/>
        <v>0</v>
      </c>
      <c r="J1578" s="1">
        <v>45851</v>
      </c>
      <c r="K1578" t="s">
        <v>22</v>
      </c>
      <c r="L1578" t="s">
        <v>16</v>
      </c>
      <c r="M1578">
        <v>515.36</v>
      </c>
    </row>
    <row r="1579" spans="1:13" x14ac:dyDescent="0.25">
      <c r="A1579">
        <v>2577</v>
      </c>
      <c r="B1579" t="s">
        <v>1609</v>
      </c>
      <c r="C1579" t="s">
        <v>13</v>
      </c>
      <c r="D1579" t="s">
        <v>47</v>
      </c>
      <c r="E1579">
        <v>1</v>
      </c>
      <c r="F1579">
        <v>609.05999999999995</v>
      </c>
      <c r="G1579">
        <f t="shared" si="48"/>
        <v>609.05999999999995</v>
      </c>
      <c r="H1579" s="3">
        <v>0.17</v>
      </c>
      <c r="I1579">
        <f t="shared" si="49"/>
        <v>505.51979999999992</v>
      </c>
      <c r="J1579" s="1">
        <v>45597</v>
      </c>
      <c r="K1579" t="s">
        <v>18</v>
      </c>
      <c r="L1579" t="s">
        <v>16</v>
      </c>
      <c r="M1579">
        <v>110.23</v>
      </c>
    </row>
    <row r="1580" spans="1:13" x14ac:dyDescent="0.25">
      <c r="A1580">
        <v>2578</v>
      </c>
      <c r="B1580" t="s">
        <v>1610</v>
      </c>
      <c r="C1580" t="s">
        <v>31</v>
      </c>
      <c r="D1580" t="s">
        <v>78</v>
      </c>
      <c r="E1580">
        <v>2</v>
      </c>
      <c r="G1580">
        <f t="shared" si="48"/>
        <v>0</v>
      </c>
      <c r="H1580" s="3">
        <v>0.87</v>
      </c>
      <c r="I1580">
        <f t="shared" si="49"/>
        <v>0</v>
      </c>
      <c r="K1580" t="s">
        <v>2517</v>
      </c>
      <c r="L1580" t="s">
        <v>16</v>
      </c>
      <c r="M1580">
        <v>2826.66</v>
      </c>
    </row>
    <row r="1581" spans="1:13" x14ac:dyDescent="0.25">
      <c r="A1581">
        <v>1026</v>
      </c>
      <c r="B1581" t="s">
        <v>1611</v>
      </c>
      <c r="C1581" t="s">
        <v>13</v>
      </c>
      <c r="D1581" t="s">
        <v>34</v>
      </c>
      <c r="E1581">
        <v>2</v>
      </c>
      <c r="F1581">
        <v>2293.29</v>
      </c>
      <c r="G1581">
        <f t="shared" si="48"/>
        <v>4586.58</v>
      </c>
      <c r="H1581" s="3">
        <v>0.4</v>
      </c>
      <c r="I1581">
        <f t="shared" si="49"/>
        <v>2751.9479999999999</v>
      </c>
      <c r="K1581" t="s">
        <v>22</v>
      </c>
      <c r="L1581" t="s">
        <v>16</v>
      </c>
      <c r="M1581">
        <v>1000.06</v>
      </c>
    </row>
    <row r="1582" spans="1:13" x14ac:dyDescent="0.25">
      <c r="A1582">
        <v>2580</v>
      </c>
      <c r="B1582" t="s">
        <v>1612</v>
      </c>
      <c r="C1582" t="s">
        <v>25</v>
      </c>
      <c r="D1582" t="s">
        <v>26</v>
      </c>
      <c r="E1582">
        <v>2</v>
      </c>
      <c r="G1582">
        <f t="shared" si="48"/>
        <v>0</v>
      </c>
      <c r="I1582">
        <f t="shared" si="49"/>
        <v>0</v>
      </c>
      <c r="J1582" s="1">
        <v>45383</v>
      </c>
      <c r="K1582" t="s">
        <v>2517</v>
      </c>
      <c r="L1582" t="s">
        <v>16</v>
      </c>
      <c r="M1582">
        <v>2076.5300000000002</v>
      </c>
    </row>
    <row r="1583" spans="1:13" x14ac:dyDescent="0.25">
      <c r="A1583">
        <v>2581</v>
      </c>
      <c r="B1583" t="s">
        <v>1613</v>
      </c>
      <c r="C1583" t="s">
        <v>20</v>
      </c>
      <c r="D1583" t="s">
        <v>76</v>
      </c>
      <c r="E1583">
        <v>2</v>
      </c>
      <c r="F1583">
        <v>3895.43</v>
      </c>
      <c r="G1583">
        <f t="shared" si="48"/>
        <v>7790.86</v>
      </c>
      <c r="I1583">
        <f t="shared" si="49"/>
        <v>7790.86</v>
      </c>
      <c r="J1583" s="1">
        <v>45611</v>
      </c>
      <c r="K1583" t="s">
        <v>38</v>
      </c>
      <c r="L1583" t="s">
        <v>16</v>
      </c>
      <c r="M1583">
        <v>1316.66</v>
      </c>
    </row>
    <row r="1584" spans="1:13" x14ac:dyDescent="0.25">
      <c r="A1584">
        <v>2582</v>
      </c>
      <c r="B1584" t="s">
        <v>1614</v>
      </c>
      <c r="C1584" t="s">
        <v>31</v>
      </c>
      <c r="D1584" t="s">
        <v>42</v>
      </c>
      <c r="E1584">
        <v>2</v>
      </c>
      <c r="F1584">
        <v>4154.55</v>
      </c>
      <c r="G1584">
        <f t="shared" si="48"/>
        <v>8309.1</v>
      </c>
      <c r="H1584" s="3">
        <v>0.95</v>
      </c>
      <c r="I1584">
        <f t="shared" si="49"/>
        <v>415.45500000000038</v>
      </c>
      <c r="J1584" s="1">
        <v>45551</v>
      </c>
      <c r="K1584" t="s">
        <v>44</v>
      </c>
      <c r="L1584" t="s">
        <v>23</v>
      </c>
      <c r="M1584">
        <v>-247.99</v>
      </c>
    </row>
    <row r="1585" spans="1:13" x14ac:dyDescent="0.25">
      <c r="A1585">
        <v>1014</v>
      </c>
      <c r="B1585" t="s">
        <v>1615</v>
      </c>
      <c r="C1585" t="s">
        <v>13</v>
      </c>
      <c r="D1585" t="s">
        <v>34</v>
      </c>
      <c r="E1585">
        <v>-2</v>
      </c>
      <c r="G1585">
        <f t="shared" si="48"/>
        <v>0</v>
      </c>
      <c r="I1585">
        <f t="shared" si="49"/>
        <v>0</v>
      </c>
      <c r="J1585" s="1">
        <v>45392</v>
      </c>
      <c r="K1585" t="s">
        <v>15</v>
      </c>
      <c r="L1585" t="s">
        <v>16</v>
      </c>
      <c r="M1585">
        <v>1946.1</v>
      </c>
    </row>
    <row r="1586" spans="1:13" x14ac:dyDescent="0.25">
      <c r="A1586">
        <v>2584</v>
      </c>
      <c r="B1586" t="s">
        <v>1616</v>
      </c>
      <c r="C1586" t="s">
        <v>28</v>
      </c>
      <c r="D1586" t="s">
        <v>137</v>
      </c>
      <c r="E1586">
        <v>3</v>
      </c>
      <c r="F1586">
        <v>1276.26</v>
      </c>
      <c r="G1586">
        <f t="shared" si="48"/>
        <v>3828.7799999999997</v>
      </c>
      <c r="H1586" s="3">
        <v>0.69</v>
      </c>
      <c r="I1586">
        <f t="shared" si="49"/>
        <v>1186.9218000000001</v>
      </c>
      <c r="K1586" t="s">
        <v>22</v>
      </c>
      <c r="L1586" t="s">
        <v>16</v>
      </c>
      <c r="M1586">
        <v>2446.6999999999998</v>
      </c>
    </row>
    <row r="1587" spans="1:13" x14ac:dyDescent="0.25">
      <c r="A1587">
        <v>2585</v>
      </c>
      <c r="B1587" t="s">
        <v>1617</v>
      </c>
      <c r="C1587" t="s">
        <v>36</v>
      </c>
      <c r="D1587" t="s">
        <v>37</v>
      </c>
      <c r="E1587">
        <v>2</v>
      </c>
      <c r="G1587">
        <f t="shared" si="48"/>
        <v>0</v>
      </c>
      <c r="I1587">
        <f t="shared" si="49"/>
        <v>0</v>
      </c>
      <c r="J1587" s="1">
        <v>45624</v>
      </c>
      <c r="K1587" t="s">
        <v>2517</v>
      </c>
      <c r="L1587" t="s">
        <v>16</v>
      </c>
      <c r="M1587">
        <v>1123.27</v>
      </c>
    </row>
    <row r="1588" spans="1:13" x14ac:dyDescent="0.25">
      <c r="A1588">
        <v>2586</v>
      </c>
      <c r="B1588" t="s">
        <v>1618</v>
      </c>
      <c r="C1588" t="s">
        <v>13</v>
      </c>
      <c r="D1588" t="s">
        <v>14</v>
      </c>
      <c r="E1588">
        <v>2</v>
      </c>
      <c r="F1588">
        <v>789.21</v>
      </c>
      <c r="G1588">
        <f t="shared" si="48"/>
        <v>1578.42</v>
      </c>
      <c r="I1588">
        <f t="shared" si="49"/>
        <v>1578.42</v>
      </c>
      <c r="J1588" s="1">
        <v>45672</v>
      </c>
      <c r="K1588" t="s">
        <v>18</v>
      </c>
      <c r="L1588" t="s">
        <v>16</v>
      </c>
      <c r="M1588">
        <v>1565.56</v>
      </c>
    </row>
    <row r="1589" spans="1:13" x14ac:dyDescent="0.25">
      <c r="A1589">
        <v>2587</v>
      </c>
      <c r="B1589" t="s">
        <v>1619</v>
      </c>
      <c r="C1589" t="s">
        <v>31</v>
      </c>
      <c r="D1589" t="s">
        <v>68</v>
      </c>
      <c r="E1589">
        <v>5</v>
      </c>
      <c r="F1589">
        <v>3463.37</v>
      </c>
      <c r="G1589">
        <f t="shared" si="48"/>
        <v>17316.849999999999</v>
      </c>
      <c r="H1589" s="3">
        <v>0.1</v>
      </c>
      <c r="I1589">
        <f t="shared" si="49"/>
        <v>15585.164999999999</v>
      </c>
      <c r="K1589" t="s">
        <v>38</v>
      </c>
      <c r="L1589" t="s">
        <v>23</v>
      </c>
      <c r="M1589">
        <v>-957.03</v>
      </c>
    </row>
    <row r="1590" spans="1:13" x14ac:dyDescent="0.25">
      <c r="A1590">
        <v>2588</v>
      </c>
      <c r="B1590" t="s">
        <v>1620</v>
      </c>
      <c r="C1590" t="s">
        <v>28</v>
      </c>
      <c r="D1590" t="s">
        <v>40</v>
      </c>
      <c r="E1590">
        <v>2</v>
      </c>
      <c r="G1590">
        <f t="shared" si="48"/>
        <v>0</v>
      </c>
      <c r="H1590" s="3">
        <v>1.07</v>
      </c>
      <c r="I1590">
        <f t="shared" si="49"/>
        <v>0</v>
      </c>
      <c r="J1590" s="1">
        <v>45650</v>
      </c>
      <c r="K1590" t="s">
        <v>2517</v>
      </c>
      <c r="L1590" t="s">
        <v>16</v>
      </c>
      <c r="M1590">
        <v>-927.74</v>
      </c>
    </row>
    <row r="1591" spans="1:13" x14ac:dyDescent="0.25">
      <c r="A1591">
        <v>2589</v>
      </c>
      <c r="B1591" t="s">
        <v>1621</v>
      </c>
      <c r="C1591" t="s">
        <v>25</v>
      </c>
      <c r="D1591" t="s">
        <v>62</v>
      </c>
      <c r="E1591">
        <v>0</v>
      </c>
      <c r="F1591">
        <v>3256.31</v>
      </c>
      <c r="G1591">
        <f t="shared" si="48"/>
        <v>0</v>
      </c>
      <c r="I1591">
        <f t="shared" si="49"/>
        <v>0</v>
      </c>
      <c r="J1591" s="1">
        <v>45695</v>
      </c>
      <c r="K1591" t="s">
        <v>15</v>
      </c>
      <c r="L1591" t="s">
        <v>16</v>
      </c>
      <c r="M1591">
        <v>2266.79</v>
      </c>
    </row>
    <row r="1592" spans="1:13" x14ac:dyDescent="0.25">
      <c r="A1592">
        <v>2590</v>
      </c>
      <c r="B1592" t="s">
        <v>1622</v>
      </c>
      <c r="C1592" t="s">
        <v>25</v>
      </c>
      <c r="D1592" t="s">
        <v>62</v>
      </c>
      <c r="E1592">
        <v>2</v>
      </c>
      <c r="G1592">
        <f t="shared" si="48"/>
        <v>0</v>
      </c>
      <c r="H1592" s="3">
        <v>0.54</v>
      </c>
      <c r="I1592">
        <f t="shared" si="49"/>
        <v>0</v>
      </c>
      <c r="J1592" s="1">
        <v>45542</v>
      </c>
      <c r="K1592" t="s">
        <v>15</v>
      </c>
      <c r="L1592" t="s">
        <v>23</v>
      </c>
      <c r="M1592">
        <v>1613.88</v>
      </c>
    </row>
    <row r="1593" spans="1:13" x14ac:dyDescent="0.25">
      <c r="A1593">
        <v>2591</v>
      </c>
      <c r="B1593" t="s">
        <v>1623</v>
      </c>
      <c r="C1593" t="s">
        <v>20</v>
      </c>
      <c r="D1593" t="s">
        <v>84</v>
      </c>
      <c r="E1593">
        <v>2</v>
      </c>
      <c r="F1593">
        <v>4784.03</v>
      </c>
      <c r="G1593">
        <f t="shared" si="48"/>
        <v>9568.06</v>
      </c>
      <c r="I1593">
        <f t="shared" si="49"/>
        <v>9568.06</v>
      </c>
      <c r="J1593" s="1">
        <v>45624</v>
      </c>
      <c r="K1593" t="s">
        <v>2517</v>
      </c>
      <c r="L1593" t="s">
        <v>16</v>
      </c>
      <c r="M1593">
        <v>176.96</v>
      </c>
    </row>
    <row r="1594" spans="1:13" x14ac:dyDescent="0.25">
      <c r="A1594">
        <v>2592</v>
      </c>
      <c r="B1594" t="s">
        <v>430</v>
      </c>
      <c r="C1594" t="s">
        <v>31</v>
      </c>
      <c r="D1594" t="s">
        <v>32</v>
      </c>
      <c r="E1594">
        <v>2</v>
      </c>
      <c r="F1594">
        <v>4965.93</v>
      </c>
      <c r="G1594">
        <f t="shared" si="48"/>
        <v>9931.86</v>
      </c>
      <c r="I1594">
        <f t="shared" si="49"/>
        <v>9931.86</v>
      </c>
      <c r="K1594" t="s">
        <v>44</v>
      </c>
      <c r="L1594" t="s">
        <v>16</v>
      </c>
      <c r="M1594">
        <v>1406.72</v>
      </c>
    </row>
    <row r="1595" spans="1:13" x14ac:dyDescent="0.25">
      <c r="A1595">
        <v>2593</v>
      </c>
      <c r="B1595" t="s">
        <v>1624</v>
      </c>
      <c r="C1595" t="s">
        <v>36</v>
      </c>
      <c r="D1595" t="s">
        <v>55</v>
      </c>
      <c r="E1595">
        <v>4</v>
      </c>
      <c r="F1595">
        <v>736.36</v>
      </c>
      <c r="G1595">
        <f t="shared" si="48"/>
        <v>2945.44</v>
      </c>
      <c r="H1595" s="3">
        <v>0.83</v>
      </c>
      <c r="I1595">
        <f t="shared" si="49"/>
        <v>500.72480000000013</v>
      </c>
      <c r="K1595" t="s">
        <v>22</v>
      </c>
      <c r="L1595" t="s">
        <v>16</v>
      </c>
      <c r="M1595">
        <v>2463.6799999999998</v>
      </c>
    </row>
    <row r="1596" spans="1:13" x14ac:dyDescent="0.25">
      <c r="A1596">
        <v>2594</v>
      </c>
      <c r="B1596" t="s">
        <v>1625</v>
      </c>
      <c r="C1596" t="s">
        <v>13</v>
      </c>
      <c r="D1596" t="s">
        <v>47</v>
      </c>
      <c r="E1596">
        <v>2</v>
      </c>
      <c r="G1596">
        <f t="shared" si="48"/>
        <v>0</v>
      </c>
      <c r="H1596" s="3">
        <v>0.37</v>
      </c>
      <c r="I1596">
        <f t="shared" si="49"/>
        <v>0</v>
      </c>
      <c r="K1596" t="s">
        <v>44</v>
      </c>
      <c r="L1596" t="s">
        <v>16</v>
      </c>
      <c r="M1596">
        <v>580.23</v>
      </c>
    </row>
    <row r="1597" spans="1:13" x14ac:dyDescent="0.25">
      <c r="A1597">
        <v>2595</v>
      </c>
      <c r="B1597" t="s">
        <v>1626</v>
      </c>
      <c r="C1597" t="s">
        <v>36</v>
      </c>
      <c r="D1597" t="s">
        <v>55</v>
      </c>
      <c r="E1597">
        <v>2</v>
      </c>
      <c r="F1597">
        <v>2469.67</v>
      </c>
      <c r="G1597">
        <f t="shared" si="48"/>
        <v>4939.34</v>
      </c>
      <c r="H1597" s="3">
        <v>1.07</v>
      </c>
      <c r="I1597">
        <f t="shared" si="49"/>
        <v>-345.7538000000003</v>
      </c>
      <c r="J1597" s="1">
        <v>45535</v>
      </c>
      <c r="K1597" t="s">
        <v>22</v>
      </c>
      <c r="L1597" t="s">
        <v>23</v>
      </c>
      <c r="M1597">
        <v>802.05</v>
      </c>
    </row>
    <row r="1598" spans="1:13" x14ac:dyDescent="0.25">
      <c r="A1598">
        <v>2596</v>
      </c>
      <c r="B1598" t="s">
        <v>1627</v>
      </c>
      <c r="C1598" t="s">
        <v>13</v>
      </c>
      <c r="D1598" t="s">
        <v>14</v>
      </c>
      <c r="E1598">
        <v>2</v>
      </c>
      <c r="F1598">
        <v>2538.5700000000002</v>
      </c>
      <c r="G1598">
        <f t="shared" si="48"/>
        <v>5077.1400000000003</v>
      </c>
      <c r="I1598">
        <f t="shared" si="49"/>
        <v>5077.1400000000003</v>
      </c>
      <c r="J1598" s="1">
        <v>45807</v>
      </c>
      <c r="K1598" t="s">
        <v>2517</v>
      </c>
      <c r="L1598" t="s">
        <v>16</v>
      </c>
      <c r="M1598">
        <v>342.21</v>
      </c>
    </row>
    <row r="1599" spans="1:13" x14ac:dyDescent="0.25">
      <c r="A1599">
        <v>2597</v>
      </c>
      <c r="B1599" t="s">
        <v>1628</v>
      </c>
      <c r="C1599" t="s">
        <v>20</v>
      </c>
      <c r="D1599" t="s">
        <v>21</v>
      </c>
      <c r="E1599">
        <v>2</v>
      </c>
      <c r="G1599">
        <f t="shared" si="48"/>
        <v>0</v>
      </c>
      <c r="I1599">
        <f t="shared" si="49"/>
        <v>0</v>
      </c>
      <c r="K1599" t="s">
        <v>38</v>
      </c>
      <c r="L1599" t="s">
        <v>23</v>
      </c>
      <c r="M1599">
        <v>538.11</v>
      </c>
    </row>
    <row r="1600" spans="1:13" x14ac:dyDescent="0.25">
      <c r="A1600">
        <v>2598</v>
      </c>
      <c r="B1600" t="s">
        <v>1629</v>
      </c>
      <c r="C1600" t="s">
        <v>20</v>
      </c>
      <c r="D1600" t="s">
        <v>84</v>
      </c>
      <c r="E1600">
        <v>-2</v>
      </c>
      <c r="F1600">
        <v>4412.21</v>
      </c>
      <c r="G1600">
        <f t="shared" si="48"/>
        <v>-8824.42</v>
      </c>
      <c r="I1600">
        <f t="shared" si="49"/>
        <v>-8824.42</v>
      </c>
      <c r="K1600" t="s">
        <v>38</v>
      </c>
      <c r="L1600" t="s">
        <v>16</v>
      </c>
      <c r="M1600">
        <v>2917.18</v>
      </c>
    </row>
    <row r="1601" spans="1:13" x14ac:dyDescent="0.25">
      <c r="A1601">
        <v>2599</v>
      </c>
      <c r="B1601" t="s">
        <v>1630</v>
      </c>
      <c r="C1601" t="s">
        <v>25</v>
      </c>
      <c r="D1601" t="s">
        <v>51</v>
      </c>
      <c r="E1601">
        <v>2</v>
      </c>
      <c r="G1601">
        <f t="shared" si="48"/>
        <v>0</v>
      </c>
      <c r="H1601" s="3">
        <v>0.23</v>
      </c>
      <c r="I1601">
        <f t="shared" si="49"/>
        <v>0</v>
      </c>
      <c r="J1601" s="1">
        <v>45559</v>
      </c>
      <c r="K1601" t="s">
        <v>2517</v>
      </c>
      <c r="L1601" t="s">
        <v>16</v>
      </c>
      <c r="M1601">
        <v>2293.29</v>
      </c>
    </row>
    <row r="1602" spans="1:13" x14ac:dyDescent="0.25">
      <c r="A1602">
        <v>2600</v>
      </c>
      <c r="B1602" t="s">
        <v>1631</v>
      </c>
      <c r="C1602" t="s">
        <v>25</v>
      </c>
      <c r="D1602" t="s">
        <v>82</v>
      </c>
      <c r="E1602">
        <v>5</v>
      </c>
      <c r="F1602">
        <v>4832.16</v>
      </c>
      <c r="G1602">
        <f t="shared" si="48"/>
        <v>24160.799999999999</v>
      </c>
      <c r="I1602">
        <f t="shared" si="49"/>
        <v>24160.799999999999</v>
      </c>
      <c r="J1602" s="1">
        <v>45555</v>
      </c>
      <c r="K1602" t="s">
        <v>44</v>
      </c>
      <c r="L1602" t="s">
        <v>23</v>
      </c>
      <c r="M1602">
        <v>1707.66</v>
      </c>
    </row>
    <row r="1603" spans="1:13" x14ac:dyDescent="0.25">
      <c r="A1603">
        <v>2601</v>
      </c>
      <c r="B1603" t="s">
        <v>1632</v>
      </c>
      <c r="C1603" t="s">
        <v>13</v>
      </c>
      <c r="D1603" t="s">
        <v>98</v>
      </c>
      <c r="E1603">
        <v>1</v>
      </c>
      <c r="G1603">
        <f t="shared" ref="G1603:G1666" si="50">F1603*E1603</f>
        <v>0</v>
      </c>
      <c r="H1603" s="3">
        <v>0.28000000000000003</v>
      </c>
      <c r="I1603">
        <f t="shared" ref="I1603:I1666" si="51">G1603*(1-H1603)</f>
        <v>0</v>
      </c>
      <c r="J1603" s="1">
        <v>45508</v>
      </c>
      <c r="K1603" t="s">
        <v>38</v>
      </c>
      <c r="L1603" t="s">
        <v>23</v>
      </c>
      <c r="M1603">
        <v>2556.02</v>
      </c>
    </row>
    <row r="1604" spans="1:13" x14ac:dyDescent="0.25">
      <c r="A1604">
        <v>1002</v>
      </c>
      <c r="B1604" t="s">
        <v>1633</v>
      </c>
      <c r="C1604" t="s">
        <v>28</v>
      </c>
      <c r="D1604" t="s">
        <v>116</v>
      </c>
      <c r="E1604">
        <v>2</v>
      </c>
      <c r="G1604">
        <f t="shared" si="50"/>
        <v>0</v>
      </c>
      <c r="I1604">
        <f t="shared" si="51"/>
        <v>0</v>
      </c>
      <c r="J1604" s="1">
        <v>45729</v>
      </c>
      <c r="K1604" t="s">
        <v>18</v>
      </c>
      <c r="L1604" t="s">
        <v>16</v>
      </c>
      <c r="M1604">
        <v>48.87</v>
      </c>
    </row>
    <row r="1605" spans="1:13" x14ac:dyDescent="0.25">
      <c r="A1605">
        <v>2603</v>
      </c>
      <c r="B1605" t="s">
        <v>1634</v>
      </c>
      <c r="C1605" t="s">
        <v>31</v>
      </c>
      <c r="D1605" t="s">
        <v>32</v>
      </c>
      <c r="E1605">
        <v>5</v>
      </c>
      <c r="F1605">
        <v>4403.84</v>
      </c>
      <c r="G1605">
        <f t="shared" si="50"/>
        <v>22019.200000000001</v>
      </c>
      <c r="I1605">
        <f t="shared" si="51"/>
        <v>22019.200000000001</v>
      </c>
      <c r="K1605" t="s">
        <v>22</v>
      </c>
      <c r="L1605" t="s">
        <v>16</v>
      </c>
      <c r="M1605">
        <v>-513.19000000000005</v>
      </c>
    </row>
    <row r="1606" spans="1:13" x14ac:dyDescent="0.25">
      <c r="A1606">
        <v>2604</v>
      </c>
      <c r="B1606" t="s">
        <v>1635</v>
      </c>
      <c r="C1606" t="s">
        <v>25</v>
      </c>
      <c r="D1606" t="s">
        <v>82</v>
      </c>
      <c r="E1606">
        <v>-1</v>
      </c>
      <c r="F1606">
        <v>2171.2199999999998</v>
      </c>
      <c r="G1606">
        <f t="shared" si="50"/>
        <v>-2171.2199999999998</v>
      </c>
      <c r="I1606">
        <f t="shared" si="51"/>
        <v>-2171.2199999999998</v>
      </c>
      <c r="J1606" s="1">
        <v>45806</v>
      </c>
      <c r="K1606" t="s">
        <v>38</v>
      </c>
      <c r="L1606" t="s">
        <v>23</v>
      </c>
      <c r="M1606">
        <v>2595.2199999999998</v>
      </c>
    </row>
    <row r="1607" spans="1:13" x14ac:dyDescent="0.25">
      <c r="A1607">
        <v>2605</v>
      </c>
      <c r="B1607" t="s">
        <v>1636</v>
      </c>
      <c r="C1607" t="s">
        <v>36</v>
      </c>
      <c r="D1607" t="s">
        <v>37</v>
      </c>
      <c r="E1607">
        <v>1</v>
      </c>
      <c r="F1607">
        <v>1636.26</v>
      </c>
      <c r="G1607">
        <f t="shared" si="50"/>
        <v>1636.26</v>
      </c>
      <c r="H1607" s="3">
        <v>0.94</v>
      </c>
      <c r="I1607">
        <f t="shared" si="51"/>
        <v>98.175600000000088</v>
      </c>
      <c r="J1607" s="1">
        <v>45667</v>
      </c>
      <c r="K1607" t="s">
        <v>2517</v>
      </c>
      <c r="L1607" t="s">
        <v>16</v>
      </c>
      <c r="M1607">
        <v>615.80999999999995</v>
      </c>
    </row>
    <row r="1608" spans="1:13" x14ac:dyDescent="0.25">
      <c r="A1608">
        <v>2606</v>
      </c>
      <c r="B1608" t="s">
        <v>1637</v>
      </c>
      <c r="C1608" t="s">
        <v>13</v>
      </c>
      <c r="D1608" t="s">
        <v>47</v>
      </c>
      <c r="E1608">
        <v>2</v>
      </c>
      <c r="F1608">
        <v>806.81</v>
      </c>
      <c r="G1608">
        <f t="shared" si="50"/>
        <v>1613.62</v>
      </c>
      <c r="H1608" s="3">
        <v>0.11</v>
      </c>
      <c r="I1608">
        <f t="shared" si="51"/>
        <v>1436.1217999999999</v>
      </c>
      <c r="J1608" s="1">
        <v>45442</v>
      </c>
      <c r="K1608" t="s">
        <v>44</v>
      </c>
      <c r="L1608" t="s">
        <v>16</v>
      </c>
      <c r="M1608">
        <v>634.66</v>
      </c>
    </row>
    <row r="1609" spans="1:13" x14ac:dyDescent="0.25">
      <c r="A1609">
        <v>2607</v>
      </c>
      <c r="B1609" t="s">
        <v>1638</v>
      </c>
      <c r="C1609" t="s">
        <v>20</v>
      </c>
      <c r="D1609" t="s">
        <v>21</v>
      </c>
      <c r="E1609">
        <v>2</v>
      </c>
      <c r="F1609">
        <v>2289.9299999999998</v>
      </c>
      <c r="G1609">
        <f t="shared" si="50"/>
        <v>4579.8599999999997</v>
      </c>
      <c r="H1609" s="3">
        <v>1.2</v>
      </c>
      <c r="I1609">
        <f t="shared" si="51"/>
        <v>-915.97199999999975</v>
      </c>
      <c r="J1609" s="1">
        <v>45593</v>
      </c>
      <c r="K1609" t="s">
        <v>38</v>
      </c>
      <c r="L1609" t="s">
        <v>23</v>
      </c>
      <c r="M1609">
        <v>183.34</v>
      </c>
    </row>
    <row r="1610" spans="1:13" x14ac:dyDescent="0.25">
      <c r="A1610">
        <v>2608</v>
      </c>
      <c r="B1610" t="s">
        <v>1639</v>
      </c>
      <c r="C1610" t="s">
        <v>20</v>
      </c>
      <c r="D1610" t="s">
        <v>21</v>
      </c>
      <c r="E1610">
        <v>2</v>
      </c>
      <c r="F1610">
        <v>3352.88</v>
      </c>
      <c r="G1610">
        <f t="shared" si="50"/>
        <v>6705.76</v>
      </c>
      <c r="I1610">
        <f t="shared" si="51"/>
        <v>6705.76</v>
      </c>
      <c r="J1610" s="1">
        <v>45464</v>
      </c>
      <c r="K1610" t="s">
        <v>22</v>
      </c>
      <c r="L1610" t="s">
        <v>23</v>
      </c>
      <c r="M1610">
        <v>2684.88</v>
      </c>
    </row>
    <row r="1611" spans="1:13" x14ac:dyDescent="0.25">
      <c r="A1611">
        <v>2609</v>
      </c>
      <c r="B1611" t="s">
        <v>1640</v>
      </c>
      <c r="C1611" t="s">
        <v>20</v>
      </c>
      <c r="D1611" t="s">
        <v>21</v>
      </c>
      <c r="E1611">
        <v>2</v>
      </c>
      <c r="G1611">
        <f t="shared" si="50"/>
        <v>0</v>
      </c>
      <c r="I1611">
        <f t="shared" si="51"/>
        <v>0</v>
      </c>
      <c r="K1611" t="s">
        <v>15</v>
      </c>
      <c r="L1611" t="s">
        <v>16</v>
      </c>
      <c r="M1611">
        <v>641.89</v>
      </c>
    </row>
    <row r="1612" spans="1:13" x14ac:dyDescent="0.25">
      <c r="A1612">
        <v>2610</v>
      </c>
      <c r="B1612" t="s">
        <v>1641</v>
      </c>
      <c r="C1612" t="s">
        <v>31</v>
      </c>
      <c r="D1612" t="s">
        <v>42</v>
      </c>
      <c r="E1612">
        <v>5</v>
      </c>
      <c r="F1612">
        <v>1606.99</v>
      </c>
      <c r="G1612">
        <f t="shared" si="50"/>
        <v>8034.95</v>
      </c>
      <c r="I1612">
        <f t="shared" si="51"/>
        <v>8034.95</v>
      </c>
      <c r="J1612" s="1">
        <v>45283</v>
      </c>
      <c r="K1612" t="s">
        <v>18</v>
      </c>
      <c r="L1612" t="s">
        <v>16</v>
      </c>
      <c r="M1612">
        <v>1743.11</v>
      </c>
    </row>
    <row r="1613" spans="1:13" x14ac:dyDescent="0.25">
      <c r="A1613">
        <v>2611</v>
      </c>
      <c r="B1613" t="s">
        <v>1642</v>
      </c>
      <c r="C1613" t="s">
        <v>36</v>
      </c>
      <c r="D1613" t="s">
        <v>59</v>
      </c>
      <c r="E1613">
        <v>-2</v>
      </c>
      <c r="G1613">
        <f t="shared" si="50"/>
        <v>0</v>
      </c>
      <c r="H1613" s="3">
        <v>1.05</v>
      </c>
      <c r="I1613">
        <f t="shared" si="51"/>
        <v>0</v>
      </c>
      <c r="J1613" s="1">
        <v>45665</v>
      </c>
      <c r="K1613" t="s">
        <v>44</v>
      </c>
      <c r="L1613" t="s">
        <v>23</v>
      </c>
      <c r="M1613">
        <v>2391.6999999999998</v>
      </c>
    </row>
    <row r="1614" spans="1:13" x14ac:dyDescent="0.25">
      <c r="A1614">
        <v>2612</v>
      </c>
      <c r="B1614" t="s">
        <v>1643</v>
      </c>
      <c r="C1614" t="s">
        <v>28</v>
      </c>
      <c r="D1614" t="s">
        <v>116</v>
      </c>
      <c r="E1614">
        <v>2</v>
      </c>
      <c r="F1614">
        <v>2672.64</v>
      </c>
      <c r="G1614">
        <f t="shared" si="50"/>
        <v>5345.28</v>
      </c>
      <c r="I1614">
        <f t="shared" si="51"/>
        <v>5345.28</v>
      </c>
      <c r="J1614" s="1">
        <v>45402</v>
      </c>
      <c r="K1614" t="s">
        <v>38</v>
      </c>
      <c r="L1614" t="s">
        <v>23</v>
      </c>
      <c r="M1614">
        <v>1142.44</v>
      </c>
    </row>
    <row r="1615" spans="1:13" x14ac:dyDescent="0.25">
      <c r="A1615">
        <v>2613</v>
      </c>
      <c r="B1615" t="s">
        <v>1644</v>
      </c>
      <c r="C1615" t="s">
        <v>31</v>
      </c>
      <c r="D1615" t="s">
        <v>78</v>
      </c>
      <c r="E1615">
        <v>2</v>
      </c>
      <c r="F1615">
        <v>2438.16</v>
      </c>
      <c r="G1615">
        <f t="shared" si="50"/>
        <v>4876.32</v>
      </c>
      <c r="I1615">
        <f t="shared" si="51"/>
        <v>4876.32</v>
      </c>
      <c r="J1615" s="1">
        <v>45352</v>
      </c>
      <c r="K1615" t="s">
        <v>44</v>
      </c>
      <c r="L1615" t="s">
        <v>23</v>
      </c>
      <c r="M1615">
        <v>161.35</v>
      </c>
    </row>
    <row r="1616" spans="1:13" x14ac:dyDescent="0.25">
      <c r="A1616">
        <v>2614</v>
      </c>
      <c r="B1616" t="s">
        <v>1645</v>
      </c>
      <c r="C1616" t="s">
        <v>25</v>
      </c>
      <c r="D1616" t="s">
        <v>51</v>
      </c>
      <c r="E1616">
        <v>2</v>
      </c>
      <c r="F1616">
        <v>4530.28</v>
      </c>
      <c r="G1616">
        <f t="shared" si="50"/>
        <v>9060.56</v>
      </c>
      <c r="H1616" s="3">
        <v>0.67</v>
      </c>
      <c r="I1616">
        <f t="shared" si="51"/>
        <v>2989.9847999999993</v>
      </c>
      <c r="J1616" s="1">
        <v>45648</v>
      </c>
      <c r="K1616" t="s">
        <v>18</v>
      </c>
      <c r="L1616" t="s">
        <v>23</v>
      </c>
      <c r="M1616">
        <v>2891.77</v>
      </c>
    </row>
    <row r="1617" spans="1:13" x14ac:dyDescent="0.25">
      <c r="A1617">
        <v>2615</v>
      </c>
      <c r="B1617" t="s">
        <v>1646</v>
      </c>
      <c r="C1617" t="s">
        <v>31</v>
      </c>
      <c r="D1617" t="s">
        <v>68</v>
      </c>
      <c r="E1617">
        <v>2</v>
      </c>
      <c r="G1617">
        <f t="shared" si="50"/>
        <v>0</v>
      </c>
      <c r="I1617">
        <f t="shared" si="51"/>
        <v>0</v>
      </c>
      <c r="J1617" s="1">
        <v>45267</v>
      </c>
      <c r="K1617" t="s">
        <v>22</v>
      </c>
      <c r="L1617" t="s">
        <v>23</v>
      </c>
      <c r="M1617">
        <v>1644.18</v>
      </c>
    </row>
    <row r="1618" spans="1:13" x14ac:dyDescent="0.25">
      <c r="A1618">
        <v>2616</v>
      </c>
      <c r="B1618" t="s">
        <v>1647</v>
      </c>
      <c r="C1618" t="s">
        <v>31</v>
      </c>
      <c r="D1618" t="s">
        <v>78</v>
      </c>
      <c r="E1618">
        <v>5</v>
      </c>
      <c r="G1618">
        <f t="shared" si="50"/>
        <v>0</v>
      </c>
      <c r="H1618" s="3">
        <v>0.24</v>
      </c>
      <c r="I1618">
        <f t="shared" si="51"/>
        <v>0</v>
      </c>
      <c r="J1618" s="1">
        <v>45795</v>
      </c>
      <c r="K1618" t="s">
        <v>44</v>
      </c>
      <c r="L1618" t="s">
        <v>23</v>
      </c>
      <c r="M1618">
        <v>2858.08</v>
      </c>
    </row>
    <row r="1619" spans="1:13" x14ac:dyDescent="0.25">
      <c r="A1619">
        <v>2617</v>
      </c>
      <c r="B1619" t="s">
        <v>1648</v>
      </c>
      <c r="C1619" t="s">
        <v>36</v>
      </c>
      <c r="D1619" t="s">
        <v>55</v>
      </c>
      <c r="E1619">
        <v>2</v>
      </c>
      <c r="G1619">
        <f t="shared" si="50"/>
        <v>0</v>
      </c>
      <c r="I1619">
        <f t="shared" si="51"/>
        <v>0</v>
      </c>
      <c r="J1619" s="1">
        <v>45746</v>
      </c>
      <c r="K1619" t="s">
        <v>22</v>
      </c>
      <c r="L1619" t="s">
        <v>16</v>
      </c>
      <c r="M1619">
        <v>-151.75</v>
      </c>
    </row>
    <row r="1620" spans="1:13" x14ac:dyDescent="0.25">
      <c r="A1620">
        <v>2618</v>
      </c>
      <c r="B1620" t="s">
        <v>1649</v>
      </c>
      <c r="C1620" t="s">
        <v>25</v>
      </c>
      <c r="D1620" t="s">
        <v>82</v>
      </c>
      <c r="E1620">
        <v>2</v>
      </c>
      <c r="G1620">
        <f t="shared" si="50"/>
        <v>0</v>
      </c>
      <c r="H1620" s="3">
        <v>0.95</v>
      </c>
      <c r="I1620">
        <f t="shared" si="51"/>
        <v>0</v>
      </c>
      <c r="J1620" s="1">
        <v>45541</v>
      </c>
      <c r="K1620" t="s">
        <v>18</v>
      </c>
      <c r="L1620" t="s">
        <v>16</v>
      </c>
      <c r="M1620">
        <v>-850.68</v>
      </c>
    </row>
    <row r="1621" spans="1:13" x14ac:dyDescent="0.25">
      <c r="A1621">
        <v>2619</v>
      </c>
      <c r="B1621" t="s">
        <v>1650</v>
      </c>
      <c r="C1621" t="s">
        <v>13</v>
      </c>
      <c r="D1621" t="s">
        <v>47</v>
      </c>
      <c r="E1621">
        <v>2</v>
      </c>
      <c r="G1621">
        <f t="shared" si="50"/>
        <v>0</v>
      </c>
      <c r="I1621">
        <f t="shared" si="51"/>
        <v>0</v>
      </c>
      <c r="K1621" t="s">
        <v>18</v>
      </c>
      <c r="L1621" t="s">
        <v>16</v>
      </c>
      <c r="M1621">
        <v>1443.87</v>
      </c>
    </row>
    <row r="1622" spans="1:13" x14ac:dyDescent="0.25">
      <c r="A1622">
        <v>2620</v>
      </c>
      <c r="B1622" t="s">
        <v>1651</v>
      </c>
      <c r="C1622" t="s">
        <v>25</v>
      </c>
      <c r="D1622" t="s">
        <v>26</v>
      </c>
      <c r="E1622">
        <v>2</v>
      </c>
      <c r="F1622">
        <v>3415.9</v>
      </c>
      <c r="G1622">
        <f t="shared" si="50"/>
        <v>6831.8</v>
      </c>
      <c r="I1622">
        <f t="shared" si="51"/>
        <v>6831.8</v>
      </c>
      <c r="J1622" s="1">
        <v>45526</v>
      </c>
      <c r="K1622" t="s">
        <v>22</v>
      </c>
      <c r="L1622" t="s">
        <v>16</v>
      </c>
      <c r="M1622">
        <v>25.83</v>
      </c>
    </row>
    <row r="1623" spans="1:13" x14ac:dyDescent="0.25">
      <c r="A1623">
        <v>2621</v>
      </c>
      <c r="B1623" t="s">
        <v>1652</v>
      </c>
      <c r="C1623" t="s">
        <v>25</v>
      </c>
      <c r="D1623" t="s">
        <v>26</v>
      </c>
      <c r="E1623">
        <v>4</v>
      </c>
      <c r="G1623">
        <f t="shared" si="50"/>
        <v>0</v>
      </c>
      <c r="H1623" s="3">
        <v>1.1399999999999999</v>
      </c>
      <c r="I1623">
        <f t="shared" si="51"/>
        <v>0</v>
      </c>
      <c r="J1623" s="1">
        <v>45283</v>
      </c>
      <c r="K1623" t="s">
        <v>15</v>
      </c>
      <c r="L1623" t="s">
        <v>23</v>
      </c>
      <c r="M1623">
        <v>2237.85</v>
      </c>
    </row>
    <row r="1624" spans="1:13" x14ac:dyDescent="0.25">
      <c r="A1624">
        <v>2622</v>
      </c>
      <c r="B1624" t="s">
        <v>1291</v>
      </c>
      <c r="C1624" t="s">
        <v>31</v>
      </c>
      <c r="D1624" t="s">
        <v>42</v>
      </c>
      <c r="E1624">
        <v>2</v>
      </c>
      <c r="F1624">
        <v>2705.13</v>
      </c>
      <c r="G1624">
        <f t="shared" si="50"/>
        <v>5410.26</v>
      </c>
      <c r="I1624">
        <f t="shared" si="51"/>
        <v>5410.26</v>
      </c>
      <c r="J1624" s="1">
        <v>45537</v>
      </c>
      <c r="K1624" t="s">
        <v>15</v>
      </c>
      <c r="L1624" t="s">
        <v>16</v>
      </c>
      <c r="M1624">
        <v>1133.53</v>
      </c>
    </row>
    <row r="1625" spans="1:13" x14ac:dyDescent="0.25">
      <c r="A1625">
        <v>1020</v>
      </c>
      <c r="B1625" t="s">
        <v>1653</v>
      </c>
      <c r="C1625" t="s">
        <v>36</v>
      </c>
      <c r="D1625" t="s">
        <v>87</v>
      </c>
      <c r="E1625">
        <v>2</v>
      </c>
      <c r="G1625">
        <f t="shared" si="50"/>
        <v>0</v>
      </c>
      <c r="I1625">
        <f t="shared" si="51"/>
        <v>0</v>
      </c>
      <c r="J1625" s="1">
        <v>45148</v>
      </c>
      <c r="K1625" t="s">
        <v>44</v>
      </c>
      <c r="L1625" t="s">
        <v>16</v>
      </c>
      <c r="M1625">
        <v>1224.3499999999999</v>
      </c>
    </row>
    <row r="1626" spans="1:13" x14ac:dyDescent="0.25">
      <c r="A1626">
        <v>2624</v>
      </c>
      <c r="B1626" t="s">
        <v>1654</v>
      </c>
      <c r="C1626" t="s">
        <v>28</v>
      </c>
      <c r="D1626" t="s">
        <v>137</v>
      </c>
      <c r="E1626">
        <v>-1</v>
      </c>
      <c r="G1626">
        <f t="shared" si="50"/>
        <v>0</v>
      </c>
      <c r="H1626" s="3">
        <v>0.99</v>
      </c>
      <c r="I1626">
        <f t="shared" si="51"/>
        <v>0</v>
      </c>
      <c r="J1626" s="1">
        <v>45632</v>
      </c>
      <c r="K1626" t="s">
        <v>18</v>
      </c>
      <c r="L1626" t="s">
        <v>16</v>
      </c>
      <c r="M1626">
        <v>559.1</v>
      </c>
    </row>
    <row r="1627" spans="1:13" x14ac:dyDescent="0.25">
      <c r="A1627">
        <v>2625</v>
      </c>
      <c r="B1627" t="s">
        <v>1655</v>
      </c>
      <c r="C1627" t="s">
        <v>36</v>
      </c>
      <c r="D1627" t="s">
        <v>55</v>
      </c>
      <c r="E1627">
        <v>2</v>
      </c>
      <c r="G1627">
        <f t="shared" si="50"/>
        <v>0</v>
      </c>
      <c r="I1627">
        <f t="shared" si="51"/>
        <v>0</v>
      </c>
      <c r="J1627" s="1">
        <v>45210</v>
      </c>
      <c r="K1627" t="s">
        <v>22</v>
      </c>
      <c r="L1627" t="s">
        <v>23</v>
      </c>
      <c r="M1627">
        <v>1271.1199999999999</v>
      </c>
    </row>
    <row r="1628" spans="1:13" x14ac:dyDescent="0.25">
      <c r="A1628">
        <v>2626</v>
      </c>
      <c r="B1628" t="s">
        <v>1656</v>
      </c>
      <c r="C1628" t="s">
        <v>31</v>
      </c>
      <c r="D1628" t="s">
        <v>32</v>
      </c>
      <c r="E1628">
        <v>2</v>
      </c>
      <c r="F1628">
        <v>4932.25</v>
      </c>
      <c r="G1628">
        <f t="shared" si="50"/>
        <v>9864.5</v>
      </c>
      <c r="I1628">
        <f t="shared" si="51"/>
        <v>9864.5</v>
      </c>
      <c r="J1628" s="1">
        <v>45793</v>
      </c>
      <c r="K1628" t="s">
        <v>38</v>
      </c>
      <c r="L1628" t="s">
        <v>16</v>
      </c>
      <c r="M1628">
        <v>742.42</v>
      </c>
    </row>
    <row r="1629" spans="1:13" x14ac:dyDescent="0.25">
      <c r="A1629">
        <v>2627</v>
      </c>
      <c r="B1629" t="s">
        <v>1657</v>
      </c>
      <c r="C1629" t="s">
        <v>36</v>
      </c>
      <c r="D1629" t="s">
        <v>59</v>
      </c>
      <c r="E1629">
        <v>-2</v>
      </c>
      <c r="G1629">
        <f t="shared" si="50"/>
        <v>0</v>
      </c>
      <c r="I1629">
        <f t="shared" si="51"/>
        <v>0</v>
      </c>
      <c r="J1629" s="1">
        <v>45604</v>
      </c>
      <c r="K1629" t="s">
        <v>22</v>
      </c>
      <c r="L1629" t="s">
        <v>16</v>
      </c>
      <c r="M1629">
        <v>87.54</v>
      </c>
    </row>
    <row r="1630" spans="1:13" x14ac:dyDescent="0.25">
      <c r="A1630">
        <v>2628</v>
      </c>
      <c r="B1630" t="s">
        <v>1658</v>
      </c>
      <c r="C1630" t="s">
        <v>13</v>
      </c>
      <c r="D1630" t="s">
        <v>47</v>
      </c>
      <c r="E1630">
        <v>2</v>
      </c>
      <c r="G1630">
        <f t="shared" si="50"/>
        <v>0</v>
      </c>
      <c r="I1630">
        <f t="shared" si="51"/>
        <v>0</v>
      </c>
      <c r="J1630" s="1">
        <v>45302</v>
      </c>
      <c r="K1630" t="s">
        <v>15</v>
      </c>
      <c r="L1630" t="s">
        <v>23</v>
      </c>
      <c r="M1630">
        <v>2466.4299999999998</v>
      </c>
    </row>
    <row r="1631" spans="1:13" x14ac:dyDescent="0.25">
      <c r="A1631">
        <v>2629</v>
      </c>
      <c r="B1631" t="s">
        <v>1659</v>
      </c>
      <c r="C1631" t="s">
        <v>36</v>
      </c>
      <c r="D1631" t="s">
        <v>87</v>
      </c>
      <c r="E1631">
        <v>2</v>
      </c>
      <c r="G1631">
        <f t="shared" si="50"/>
        <v>0</v>
      </c>
      <c r="I1631">
        <f t="shared" si="51"/>
        <v>0</v>
      </c>
      <c r="J1631" s="1">
        <v>45721</v>
      </c>
      <c r="K1631" t="s">
        <v>2517</v>
      </c>
      <c r="L1631" t="s">
        <v>16</v>
      </c>
      <c r="M1631">
        <v>1765.52</v>
      </c>
    </row>
    <row r="1632" spans="1:13" x14ac:dyDescent="0.25">
      <c r="A1632">
        <v>2630</v>
      </c>
      <c r="B1632" t="s">
        <v>1660</v>
      </c>
      <c r="C1632" t="s">
        <v>25</v>
      </c>
      <c r="D1632" t="s">
        <v>26</v>
      </c>
      <c r="E1632">
        <v>2</v>
      </c>
      <c r="F1632">
        <v>856.83</v>
      </c>
      <c r="G1632">
        <f t="shared" si="50"/>
        <v>1713.66</v>
      </c>
      <c r="I1632">
        <f t="shared" si="51"/>
        <v>1713.66</v>
      </c>
      <c r="J1632" s="1">
        <v>45777</v>
      </c>
      <c r="K1632" t="s">
        <v>18</v>
      </c>
      <c r="L1632" t="s">
        <v>16</v>
      </c>
      <c r="M1632">
        <v>1369.89</v>
      </c>
    </row>
    <row r="1633" spans="1:13" x14ac:dyDescent="0.25">
      <c r="A1633">
        <v>2631</v>
      </c>
      <c r="B1633" t="s">
        <v>1661</v>
      </c>
      <c r="C1633" t="s">
        <v>28</v>
      </c>
      <c r="D1633" t="s">
        <v>116</v>
      </c>
      <c r="E1633">
        <v>2</v>
      </c>
      <c r="F1633">
        <v>1753.02</v>
      </c>
      <c r="G1633">
        <f t="shared" si="50"/>
        <v>3506.04</v>
      </c>
      <c r="H1633" s="3">
        <v>0.23</v>
      </c>
      <c r="I1633">
        <f t="shared" si="51"/>
        <v>2699.6507999999999</v>
      </c>
      <c r="J1633" s="1">
        <v>45677</v>
      </c>
      <c r="K1633" t="s">
        <v>44</v>
      </c>
      <c r="L1633" t="s">
        <v>16</v>
      </c>
      <c r="M1633">
        <v>-766.47</v>
      </c>
    </row>
    <row r="1634" spans="1:13" x14ac:dyDescent="0.25">
      <c r="A1634">
        <v>2632</v>
      </c>
      <c r="B1634" t="s">
        <v>1662</v>
      </c>
      <c r="C1634" t="s">
        <v>25</v>
      </c>
      <c r="D1634" t="s">
        <v>26</v>
      </c>
      <c r="E1634">
        <v>3</v>
      </c>
      <c r="F1634">
        <v>4127.32</v>
      </c>
      <c r="G1634">
        <f t="shared" si="50"/>
        <v>12381.96</v>
      </c>
      <c r="I1634">
        <f t="shared" si="51"/>
        <v>12381.96</v>
      </c>
      <c r="K1634" t="s">
        <v>44</v>
      </c>
      <c r="L1634" t="s">
        <v>23</v>
      </c>
      <c r="M1634">
        <v>989.17</v>
      </c>
    </row>
    <row r="1635" spans="1:13" x14ac:dyDescent="0.25">
      <c r="A1635">
        <v>2633</v>
      </c>
      <c r="B1635" t="s">
        <v>1663</v>
      </c>
      <c r="C1635" t="s">
        <v>28</v>
      </c>
      <c r="D1635" t="s">
        <v>137</v>
      </c>
      <c r="E1635">
        <v>-1</v>
      </c>
      <c r="G1635">
        <f t="shared" si="50"/>
        <v>0</v>
      </c>
      <c r="H1635" s="3">
        <v>0.87</v>
      </c>
      <c r="I1635">
        <f t="shared" si="51"/>
        <v>0</v>
      </c>
      <c r="J1635" s="1">
        <v>45221</v>
      </c>
      <c r="K1635" t="s">
        <v>44</v>
      </c>
      <c r="L1635" t="s">
        <v>23</v>
      </c>
      <c r="M1635">
        <v>300.47000000000003</v>
      </c>
    </row>
    <row r="1636" spans="1:13" x14ac:dyDescent="0.25">
      <c r="A1636">
        <v>2634</v>
      </c>
      <c r="B1636" t="s">
        <v>1664</v>
      </c>
      <c r="C1636" t="s">
        <v>28</v>
      </c>
      <c r="D1636" t="s">
        <v>116</v>
      </c>
      <c r="E1636">
        <v>-2</v>
      </c>
      <c r="G1636">
        <f t="shared" si="50"/>
        <v>0</v>
      </c>
      <c r="H1636" s="3">
        <v>0.96</v>
      </c>
      <c r="I1636">
        <f t="shared" si="51"/>
        <v>0</v>
      </c>
      <c r="K1636" t="s">
        <v>2517</v>
      </c>
      <c r="L1636" t="s">
        <v>23</v>
      </c>
      <c r="M1636">
        <v>2065.7399999999998</v>
      </c>
    </row>
    <row r="1637" spans="1:13" x14ac:dyDescent="0.25">
      <c r="A1637">
        <v>2635</v>
      </c>
      <c r="B1637" t="s">
        <v>1665</v>
      </c>
      <c r="C1637" t="s">
        <v>25</v>
      </c>
      <c r="D1637" t="s">
        <v>82</v>
      </c>
      <c r="E1637">
        <v>2</v>
      </c>
      <c r="G1637">
        <f t="shared" si="50"/>
        <v>0</v>
      </c>
      <c r="I1637">
        <f t="shared" si="51"/>
        <v>0</v>
      </c>
      <c r="J1637" s="1">
        <v>45691</v>
      </c>
      <c r="K1637" t="s">
        <v>44</v>
      </c>
      <c r="L1637" t="s">
        <v>16</v>
      </c>
      <c r="M1637">
        <v>461.83</v>
      </c>
    </row>
    <row r="1638" spans="1:13" x14ac:dyDescent="0.25">
      <c r="A1638">
        <v>2636</v>
      </c>
      <c r="B1638" t="s">
        <v>1666</v>
      </c>
      <c r="C1638" t="s">
        <v>36</v>
      </c>
      <c r="D1638" t="s">
        <v>59</v>
      </c>
      <c r="E1638">
        <v>3</v>
      </c>
      <c r="F1638">
        <v>1006.98</v>
      </c>
      <c r="G1638">
        <f t="shared" si="50"/>
        <v>3020.94</v>
      </c>
      <c r="I1638">
        <f t="shared" si="51"/>
        <v>3020.94</v>
      </c>
      <c r="J1638" s="1">
        <v>45151</v>
      </c>
      <c r="K1638" t="s">
        <v>22</v>
      </c>
      <c r="L1638" t="s">
        <v>23</v>
      </c>
      <c r="M1638">
        <v>1576.71</v>
      </c>
    </row>
    <row r="1639" spans="1:13" x14ac:dyDescent="0.25">
      <c r="A1639">
        <v>2637</v>
      </c>
      <c r="B1639" t="s">
        <v>1667</v>
      </c>
      <c r="C1639" t="s">
        <v>20</v>
      </c>
      <c r="D1639" t="s">
        <v>118</v>
      </c>
      <c r="E1639">
        <v>2</v>
      </c>
      <c r="G1639">
        <f t="shared" si="50"/>
        <v>0</v>
      </c>
      <c r="H1639" s="3">
        <v>0.72</v>
      </c>
      <c r="I1639">
        <f t="shared" si="51"/>
        <v>0</v>
      </c>
      <c r="K1639" t="s">
        <v>15</v>
      </c>
      <c r="L1639" t="s">
        <v>23</v>
      </c>
      <c r="M1639">
        <v>1326.41</v>
      </c>
    </row>
    <row r="1640" spans="1:13" x14ac:dyDescent="0.25">
      <c r="A1640">
        <v>2638</v>
      </c>
      <c r="B1640" t="s">
        <v>1668</v>
      </c>
      <c r="C1640" t="s">
        <v>20</v>
      </c>
      <c r="D1640" t="s">
        <v>118</v>
      </c>
      <c r="E1640">
        <v>6</v>
      </c>
      <c r="F1640">
        <v>2012.14</v>
      </c>
      <c r="G1640">
        <f t="shared" si="50"/>
        <v>12072.84</v>
      </c>
      <c r="I1640">
        <f t="shared" si="51"/>
        <v>12072.84</v>
      </c>
      <c r="J1640" s="1">
        <v>45643</v>
      </c>
      <c r="K1640" t="s">
        <v>15</v>
      </c>
      <c r="L1640" t="s">
        <v>23</v>
      </c>
      <c r="M1640">
        <v>3.53</v>
      </c>
    </row>
    <row r="1641" spans="1:13" x14ac:dyDescent="0.25">
      <c r="A1641">
        <v>2639</v>
      </c>
      <c r="B1641" t="s">
        <v>1669</v>
      </c>
      <c r="C1641" t="s">
        <v>25</v>
      </c>
      <c r="D1641" t="s">
        <v>51</v>
      </c>
      <c r="E1641">
        <v>-1</v>
      </c>
      <c r="F1641">
        <v>4947.96</v>
      </c>
      <c r="G1641">
        <f t="shared" si="50"/>
        <v>-4947.96</v>
      </c>
      <c r="I1641">
        <f t="shared" si="51"/>
        <v>-4947.96</v>
      </c>
      <c r="K1641" t="s">
        <v>44</v>
      </c>
      <c r="L1641" t="s">
        <v>16</v>
      </c>
      <c r="M1641">
        <v>1245.6099999999999</v>
      </c>
    </row>
    <row r="1642" spans="1:13" x14ac:dyDescent="0.25">
      <c r="A1642">
        <v>2640</v>
      </c>
      <c r="B1642" t="s">
        <v>1670</v>
      </c>
      <c r="C1642" t="s">
        <v>20</v>
      </c>
      <c r="D1642" t="s">
        <v>118</v>
      </c>
      <c r="E1642">
        <v>6</v>
      </c>
      <c r="F1642">
        <v>4720.2299999999996</v>
      </c>
      <c r="G1642">
        <f t="shared" si="50"/>
        <v>28321.379999999997</v>
      </c>
      <c r="H1642" s="3">
        <v>0.69</v>
      </c>
      <c r="I1642">
        <f t="shared" si="51"/>
        <v>8779.6278000000002</v>
      </c>
      <c r="J1642" s="1">
        <v>45289</v>
      </c>
      <c r="K1642" t="s">
        <v>18</v>
      </c>
      <c r="L1642" t="s">
        <v>23</v>
      </c>
      <c r="M1642">
        <v>2243.09</v>
      </c>
    </row>
    <row r="1643" spans="1:13" x14ac:dyDescent="0.25">
      <c r="A1643">
        <v>2641</v>
      </c>
      <c r="B1643" t="s">
        <v>1671</v>
      </c>
      <c r="C1643" t="s">
        <v>36</v>
      </c>
      <c r="D1643" t="s">
        <v>87</v>
      </c>
      <c r="E1643">
        <v>6</v>
      </c>
      <c r="G1643">
        <f t="shared" si="50"/>
        <v>0</v>
      </c>
      <c r="I1643">
        <f t="shared" si="51"/>
        <v>0</v>
      </c>
      <c r="J1643" s="1">
        <v>45824</v>
      </c>
      <c r="K1643" t="s">
        <v>15</v>
      </c>
      <c r="L1643" t="s">
        <v>23</v>
      </c>
      <c r="M1643">
        <v>-151.61000000000001</v>
      </c>
    </row>
    <row r="1644" spans="1:13" x14ac:dyDescent="0.25">
      <c r="A1644">
        <v>2642</v>
      </c>
      <c r="B1644" t="s">
        <v>1672</v>
      </c>
      <c r="C1644" t="s">
        <v>20</v>
      </c>
      <c r="D1644" t="s">
        <v>76</v>
      </c>
      <c r="E1644">
        <v>-1</v>
      </c>
      <c r="F1644">
        <v>1043.58</v>
      </c>
      <c r="G1644">
        <f t="shared" si="50"/>
        <v>-1043.58</v>
      </c>
      <c r="I1644">
        <f t="shared" si="51"/>
        <v>-1043.58</v>
      </c>
      <c r="J1644" s="1">
        <v>45846</v>
      </c>
      <c r="K1644" t="s">
        <v>2517</v>
      </c>
      <c r="L1644" t="s">
        <v>23</v>
      </c>
      <c r="M1644">
        <v>1206.72</v>
      </c>
    </row>
    <row r="1645" spans="1:13" x14ac:dyDescent="0.25">
      <c r="A1645">
        <v>2643</v>
      </c>
      <c r="B1645" t="s">
        <v>1673</v>
      </c>
      <c r="C1645" t="s">
        <v>20</v>
      </c>
      <c r="D1645" t="s">
        <v>76</v>
      </c>
      <c r="E1645">
        <v>2</v>
      </c>
      <c r="G1645">
        <f t="shared" si="50"/>
        <v>0</v>
      </c>
      <c r="H1645" s="3">
        <v>0.53</v>
      </c>
      <c r="I1645">
        <f t="shared" si="51"/>
        <v>0</v>
      </c>
      <c r="J1645" s="1">
        <v>45517</v>
      </c>
      <c r="K1645" t="s">
        <v>38</v>
      </c>
      <c r="L1645" t="s">
        <v>23</v>
      </c>
      <c r="M1645">
        <v>2911.37</v>
      </c>
    </row>
    <row r="1646" spans="1:13" x14ac:dyDescent="0.25">
      <c r="A1646">
        <v>2644</v>
      </c>
      <c r="B1646" t="s">
        <v>1674</v>
      </c>
      <c r="C1646" t="s">
        <v>13</v>
      </c>
      <c r="D1646" t="s">
        <v>14</v>
      </c>
      <c r="E1646">
        <v>2</v>
      </c>
      <c r="G1646">
        <f t="shared" si="50"/>
        <v>0</v>
      </c>
      <c r="I1646">
        <f t="shared" si="51"/>
        <v>0</v>
      </c>
      <c r="J1646" s="1">
        <v>45325</v>
      </c>
      <c r="K1646" t="s">
        <v>22</v>
      </c>
      <c r="L1646" t="s">
        <v>16</v>
      </c>
      <c r="M1646">
        <v>2044.35</v>
      </c>
    </row>
    <row r="1647" spans="1:13" x14ac:dyDescent="0.25">
      <c r="A1647">
        <v>2645</v>
      </c>
      <c r="B1647" t="s">
        <v>1675</v>
      </c>
      <c r="C1647" t="s">
        <v>28</v>
      </c>
      <c r="D1647" t="s">
        <v>40</v>
      </c>
      <c r="E1647">
        <v>2</v>
      </c>
      <c r="G1647">
        <f t="shared" si="50"/>
        <v>0</v>
      </c>
      <c r="H1647" s="3">
        <v>0.98</v>
      </c>
      <c r="I1647">
        <f t="shared" si="51"/>
        <v>0</v>
      </c>
      <c r="J1647" s="1">
        <v>45761</v>
      </c>
      <c r="K1647" t="s">
        <v>18</v>
      </c>
      <c r="L1647" t="s">
        <v>23</v>
      </c>
      <c r="M1647">
        <v>1141.67</v>
      </c>
    </row>
    <row r="1648" spans="1:13" x14ac:dyDescent="0.25">
      <c r="A1648">
        <v>2646</v>
      </c>
      <c r="B1648" t="s">
        <v>1676</v>
      </c>
      <c r="C1648" t="s">
        <v>13</v>
      </c>
      <c r="D1648" t="s">
        <v>34</v>
      </c>
      <c r="E1648">
        <v>6</v>
      </c>
      <c r="G1648">
        <f t="shared" si="50"/>
        <v>0</v>
      </c>
      <c r="I1648">
        <f t="shared" si="51"/>
        <v>0</v>
      </c>
      <c r="J1648" s="1">
        <v>45661</v>
      </c>
      <c r="K1648" t="s">
        <v>15</v>
      </c>
      <c r="L1648" t="s">
        <v>16</v>
      </c>
      <c r="M1648">
        <v>2299.84</v>
      </c>
    </row>
    <row r="1649" spans="1:13" x14ac:dyDescent="0.25">
      <c r="A1649">
        <v>2647</v>
      </c>
      <c r="B1649" t="s">
        <v>1677</v>
      </c>
      <c r="C1649" t="s">
        <v>28</v>
      </c>
      <c r="D1649" t="s">
        <v>29</v>
      </c>
      <c r="E1649">
        <v>5</v>
      </c>
      <c r="G1649">
        <f t="shared" si="50"/>
        <v>0</v>
      </c>
      <c r="I1649">
        <f t="shared" si="51"/>
        <v>0</v>
      </c>
      <c r="J1649" s="1">
        <v>45497</v>
      </c>
      <c r="K1649" t="s">
        <v>2517</v>
      </c>
      <c r="L1649" t="s">
        <v>23</v>
      </c>
      <c r="M1649">
        <v>-102.81</v>
      </c>
    </row>
    <row r="1650" spans="1:13" x14ac:dyDescent="0.25">
      <c r="A1650">
        <v>2648</v>
      </c>
      <c r="B1650" t="s">
        <v>1678</v>
      </c>
      <c r="C1650" t="s">
        <v>13</v>
      </c>
      <c r="D1650" t="s">
        <v>47</v>
      </c>
      <c r="E1650">
        <v>2</v>
      </c>
      <c r="F1650">
        <v>4899.84</v>
      </c>
      <c r="G1650">
        <f t="shared" si="50"/>
        <v>9799.68</v>
      </c>
      <c r="I1650">
        <f t="shared" si="51"/>
        <v>9799.68</v>
      </c>
      <c r="J1650" s="1">
        <v>45671</v>
      </c>
      <c r="K1650" t="s">
        <v>18</v>
      </c>
      <c r="L1650" t="s">
        <v>16</v>
      </c>
      <c r="M1650">
        <v>1775.2</v>
      </c>
    </row>
    <row r="1651" spans="1:13" x14ac:dyDescent="0.25">
      <c r="A1651">
        <v>2649</v>
      </c>
      <c r="B1651" t="s">
        <v>1679</v>
      </c>
      <c r="C1651" t="s">
        <v>28</v>
      </c>
      <c r="D1651" t="s">
        <v>40</v>
      </c>
      <c r="E1651">
        <v>3</v>
      </c>
      <c r="F1651">
        <v>3838.55</v>
      </c>
      <c r="G1651">
        <f t="shared" si="50"/>
        <v>11515.650000000001</v>
      </c>
      <c r="H1651" s="3">
        <v>0.91</v>
      </c>
      <c r="I1651">
        <f t="shared" si="51"/>
        <v>1036.4084999999998</v>
      </c>
      <c r="J1651" s="1">
        <v>45504</v>
      </c>
      <c r="K1651" t="s">
        <v>44</v>
      </c>
      <c r="L1651" t="s">
        <v>16</v>
      </c>
      <c r="M1651">
        <v>2380.44</v>
      </c>
    </row>
    <row r="1652" spans="1:13" x14ac:dyDescent="0.25">
      <c r="A1652">
        <v>2650</v>
      </c>
      <c r="B1652" t="s">
        <v>1680</v>
      </c>
      <c r="C1652" t="s">
        <v>25</v>
      </c>
      <c r="D1652" t="s">
        <v>62</v>
      </c>
      <c r="E1652">
        <v>2</v>
      </c>
      <c r="G1652">
        <f t="shared" si="50"/>
        <v>0</v>
      </c>
      <c r="I1652">
        <f t="shared" si="51"/>
        <v>0</v>
      </c>
      <c r="J1652" s="1">
        <v>45700</v>
      </c>
      <c r="K1652" t="s">
        <v>38</v>
      </c>
      <c r="L1652" t="s">
        <v>16</v>
      </c>
      <c r="M1652">
        <v>2003.15</v>
      </c>
    </row>
    <row r="1653" spans="1:13" x14ac:dyDescent="0.25">
      <c r="A1653">
        <v>1040</v>
      </c>
      <c r="B1653" t="s">
        <v>1681</v>
      </c>
      <c r="C1653" t="s">
        <v>20</v>
      </c>
      <c r="D1653" t="s">
        <v>21</v>
      </c>
      <c r="E1653">
        <v>2</v>
      </c>
      <c r="F1653">
        <v>1640.04</v>
      </c>
      <c r="G1653">
        <f t="shared" si="50"/>
        <v>3280.08</v>
      </c>
      <c r="I1653">
        <f t="shared" si="51"/>
        <v>3280.08</v>
      </c>
      <c r="J1653" s="1">
        <v>45747</v>
      </c>
      <c r="K1653" t="s">
        <v>38</v>
      </c>
      <c r="L1653" t="s">
        <v>16</v>
      </c>
      <c r="M1653">
        <v>288.44</v>
      </c>
    </row>
    <row r="1654" spans="1:13" x14ac:dyDescent="0.25">
      <c r="A1654">
        <v>2652</v>
      </c>
      <c r="B1654" t="s">
        <v>1682</v>
      </c>
      <c r="C1654" t="s">
        <v>13</v>
      </c>
      <c r="D1654" t="s">
        <v>34</v>
      </c>
      <c r="E1654">
        <v>2</v>
      </c>
      <c r="G1654">
        <f t="shared" si="50"/>
        <v>0</v>
      </c>
      <c r="I1654">
        <f t="shared" si="51"/>
        <v>0</v>
      </c>
      <c r="K1654" t="s">
        <v>18</v>
      </c>
      <c r="L1654" t="s">
        <v>16</v>
      </c>
      <c r="M1654">
        <v>1472.41</v>
      </c>
    </row>
    <row r="1655" spans="1:13" x14ac:dyDescent="0.25">
      <c r="A1655">
        <v>2653</v>
      </c>
      <c r="B1655" t="s">
        <v>1683</v>
      </c>
      <c r="C1655" t="s">
        <v>31</v>
      </c>
      <c r="D1655" t="s">
        <v>42</v>
      </c>
      <c r="E1655">
        <v>2</v>
      </c>
      <c r="G1655">
        <f t="shared" si="50"/>
        <v>0</v>
      </c>
      <c r="H1655" s="3">
        <v>0.03</v>
      </c>
      <c r="I1655">
        <f t="shared" si="51"/>
        <v>0</v>
      </c>
      <c r="J1655" s="1">
        <v>45529</v>
      </c>
      <c r="K1655" t="s">
        <v>44</v>
      </c>
      <c r="L1655" t="s">
        <v>23</v>
      </c>
      <c r="M1655">
        <v>-327.41000000000003</v>
      </c>
    </row>
    <row r="1656" spans="1:13" x14ac:dyDescent="0.25">
      <c r="A1656">
        <v>2654</v>
      </c>
      <c r="B1656" t="s">
        <v>1684</v>
      </c>
      <c r="C1656" t="s">
        <v>25</v>
      </c>
      <c r="D1656" t="s">
        <v>62</v>
      </c>
      <c r="E1656">
        <v>6</v>
      </c>
      <c r="G1656">
        <f t="shared" si="50"/>
        <v>0</v>
      </c>
      <c r="H1656" s="3">
        <v>0.31</v>
      </c>
      <c r="I1656">
        <f t="shared" si="51"/>
        <v>0</v>
      </c>
      <c r="J1656" s="1">
        <v>45692</v>
      </c>
      <c r="K1656" t="s">
        <v>2517</v>
      </c>
      <c r="L1656" t="s">
        <v>23</v>
      </c>
      <c r="M1656">
        <v>250.85</v>
      </c>
    </row>
    <row r="1657" spans="1:13" x14ac:dyDescent="0.25">
      <c r="A1657">
        <v>2655</v>
      </c>
      <c r="B1657" t="s">
        <v>1685</v>
      </c>
      <c r="C1657" t="s">
        <v>28</v>
      </c>
      <c r="D1657" t="s">
        <v>137</v>
      </c>
      <c r="E1657">
        <v>4</v>
      </c>
      <c r="G1657">
        <f t="shared" si="50"/>
        <v>0</v>
      </c>
      <c r="I1657">
        <f t="shared" si="51"/>
        <v>0</v>
      </c>
      <c r="K1657" t="s">
        <v>15</v>
      </c>
      <c r="L1657" t="s">
        <v>16</v>
      </c>
      <c r="M1657">
        <v>-630.72</v>
      </c>
    </row>
    <row r="1658" spans="1:13" x14ac:dyDescent="0.25">
      <c r="A1658">
        <v>2656</v>
      </c>
      <c r="B1658" t="s">
        <v>1686</v>
      </c>
      <c r="C1658" t="s">
        <v>25</v>
      </c>
      <c r="D1658" t="s">
        <v>51</v>
      </c>
      <c r="E1658">
        <v>2</v>
      </c>
      <c r="G1658">
        <f t="shared" si="50"/>
        <v>0</v>
      </c>
      <c r="I1658">
        <f t="shared" si="51"/>
        <v>0</v>
      </c>
      <c r="J1658" s="1">
        <v>45757</v>
      </c>
      <c r="K1658" t="s">
        <v>18</v>
      </c>
      <c r="L1658" t="s">
        <v>16</v>
      </c>
      <c r="M1658">
        <v>1096.6099999999999</v>
      </c>
    </row>
    <row r="1659" spans="1:13" x14ac:dyDescent="0.25">
      <c r="A1659">
        <v>1033</v>
      </c>
      <c r="B1659" t="s">
        <v>1687</v>
      </c>
      <c r="C1659" t="s">
        <v>36</v>
      </c>
      <c r="D1659" t="s">
        <v>37</v>
      </c>
      <c r="E1659">
        <v>2</v>
      </c>
      <c r="F1659">
        <v>3863.95</v>
      </c>
      <c r="G1659">
        <f t="shared" si="50"/>
        <v>7727.9</v>
      </c>
      <c r="H1659" s="3">
        <v>0.9</v>
      </c>
      <c r="I1659">
        <f t="shared" si="51"/>
        <v>772.78999999999974</v>
      </c>
      <c r="K1659" t="s">
        <v>44</v>
      </c>
      <c r="L1659" t="s">
        <v>16</v>
      </c>
      <c r="M1659">
        <v>1784.65</v>
      </c>
    </row>
    <row r="1660" spans="1:13" x14ac:dyDescent="0.25">
      <c r="A1660">
        <v>2658</v>
      </c>
      <c r="B1660" t="s">
        <v>1688</v>
      </c>
      <c r="C1660" t="s">
        <v>13</v>
      </c>
      <c r="D1660" t="s">
        <v>98</v>
      </c>
      <c r="E1660">
        <v>2</v>
      </c>
      <c r="F1660">
        <v>3726.31</v>
      </c>
      <c r="G1660">
        <f t="shared" si="50"/>
        <v>7452.62</v>
      </c>
      <c r="I1660">
        <f t="shared" si="51"/>
        <v>7452.62</v>
      </c>
      <c r="K1660" t="s">
        <v>22</v>
      </c>
      <c r="L1660" t="s">
        <v>16</v>
      </c>
      <c r="M1660">
        <v>1524.78</v>
      </c>
    </row>
    <row r="1661" spans="1:13" x14ac:dyDescent="0.25">
      <c r="A1661">
        <v>2659</v>
      </c>
      <c r="B1661" t="s">
        <v>1689</v>
      </c>
      <c r="C1661" t="s">
        <v>31</v>
      </c>
      <c r="D1661" t="s">
        <v>68</v>
      </c>
      <c r="E1661">
        <v>2</v>
      </c>
      <c r="F1661">
        <v>1059.0899999999999</v>
      </c>
      <c r="G1661">
        <f t="shared" si="50"/>
        <v>2118.1799999999998</v>
      </c>
      <c r="H1661" s="3">
        <v>1.24</v>
      </c>
      <c r="I1661">
        <f t="shared" si="51"/>
        <v>-508.36319999999995</v>
      </c>
      <c r="J1661" s="1">
        <v>45856</v>
      </c>
      <c r="K1661" t="s">
        <v>15</v>
      </c>
      <c r="L1661" t="s">
        <v>16</v>
      </c>
      <c r="M1661">
        <v>-521.41</v>
      </c>
    </row>
    <row r="1662" spans="1:13" x14ac:dyDescent="0.25">
      <c r="A1662">
        <v>2660</v>
      </c>
      <c r="B1662" t="s">
        <v>1690</v>
      </c>
      <c r="C1662" t="s">
        <v>31</v>
      </c>
      <c r="D1662" t="s">
        <v>78</v>
      </c>
      <c r="E1662">
        <v>2</v>
      </c>
      <c r="G1662">
        <f t="shared" si="50"/>
        <v>0</v>
      </c>
      <c r="I1662">
        <f t="shared" si="51"/>
        <v>0</v>
      </c>
      <c r="K1662" t="s">
        <v>2517</v>
      </c>
      <c r="L1662" t="s">
        <v>16</v>
      </c>
      <c r="M1662">
        <v>1006.1</v>
      </c>
    </row>
    <row r="1663" spans="1:13" x14ac:dyDescent="0.25">
      <c r="A1663">
        <v>2661</v>
      </c>
      <c r="B1663" t="s">
        <v>1691</v>
      </c>
      <c r="C1663" t="s">
        <v>36</v>
      </c>
      <c r="D1663" t="s">
        <v>37</v>
      </c>
      <c r="E1663">
        <v>2</v>
      </c>
      <c r="G1663">
        <f t="shared" si="50"/>
        <v>0</v>
      </c>
      <c r="I1663">
        <f t="shared" si="51"/>
        <v>0</v>
      </c>
      <c r="J1663" s="1">
        <v>45765</v>
      </c>
      <c r="K1663" t="s">
        <v>18</v>
      </c>
      <c r="L1663" t="s">
        <v>23</v>
      </c>
      <c r="M1663">
        <v>1249.5899999999999</v>
      </c>
    </row>
    <row r="1664" spans="1:13" x14ac:dyDescent="0.25">
      <c r="A1664">
        <v>2662</v>
      </c>
      <c r="B1664" t="s">
        <v>1692</v>
      </c>
      <c r="C1664" t="s">
        <v>31</v>
      </c>
      <c r="D1664" t="s">
        <v>32</v>
      </c>
      <c r="E1664">
        <v>-1</v>
      </c>
      <c r="F1664">
        <v>2718.51</v>
      </c>
      <c r="G1664">
        <f t="shared" si="50"/>
        <v>-2718.51</v>
      </c>
      <c r="I1664">
        <f t="shared" si="51"/>
        <v>-2718.51</v>
      </c>
      <c r="J1664" s="1">
        <v>45841</v>
      </c>
      <c r="K1664" t="s">
        <v>44</v>
      </c>
      <c r="L1664" t="s">
        <v>16</v>
      </c>
      <c r="M1664">
        <v>903.59</v>
      </c>
    </row>
    <row r="1665" spans="1:13" x14ac:dyDescent="0.25">
      <c r="A1665">
        <v>2663</v>
      </c>
      <c r="B1665" t="s">
        <v>1693</v>
      </c>
      <c r="C1665" t="s">
        <v>28</v>
      </c>
      <c r="D1665" t="s">
        <v>40</v>
      </c>
      <c r="E1665">
        <v>-2</v>
      </c>
      <c r="F1665">
        <v>2212.25</v>
      </c>
      <c r="G1665">
        <f t="shared" si="50"/>
        <v>-4424.5</v>
      </c>
      <c r="H1665" s="3">
        <v>0.35</v>
      </c>
      <c r="I1665">
        <f t="shared" si="51"/>
        <v>-2875.9250000000002</v>
      </c>
      <c r="J1665" s="1">
        <v>45602</v>
      </c>
      <c r="K1665" t="s">
        <v>22</v>
      </c>
      <c r="L1665" t="s">
        <v>16</v>
      </c>
      <c r="M1665">
        <v>2992.12</v>
      </c>
    </row>
    <row r="1666" spans="1:13" x14ac:dyDescent="0.25">
      <c r="A1666">
        <v>2664</v>
      </c>
      <c r="B1666" t="s">
        <v>1694</v>
      </c>
      <c r="C1666" t="s">
        <v>25</v>
      </c>
      <c r="D1666" t="s">
        <v>82</v>
      </c>
      <c r="E1666">
        <v>2</v>
      </c>
      <c r="G1666">
        <f t="shared" si="50"/>
        <v>0</v>
      </c>
      <c r="I1666">
        <f t="shared" si="51"/>
        <v>0</v>
      </c>
      <c r="J1666" s="1">
        <v>45382</v>
      </c>
      <c r="K1666" t="s">
        <v>2517</v>
      </c>
      <c r="L1666" t="s">
        <v>16</v>
      </c>
      <c r="M1666">
        <v>-338.97</v>
      </c>
    </row>
    <row r="1667" spans="1:13" x14ac:dyDescent="0.25">
      <c r="A1667">
        <v>2665</v>
      </c>
      <c r="B1667" t="s">
        <v>1695</v>
      </c>
      <c r="C1667" t="s">
        <v>20</v>
      </c>
      <c r="D1667" t="s">
        <v>84</v>
      </c>
      <c r="E1667">
        <v>3</v>
      </c>
      <c r="G1667">
        <f t="shared" ref="G1667:G1730" si="52">F1667*E1667</f>
        <v>0</v>
      </c>
      <c r="I1667">
        <f t="shared" ref="I1667:I1730" si="53">G1667*(1-H1667)</f>
        <v>0</v>
      </c>
      <c r="J1667" s="1">
        <v>45827</v>
      </c>
      <c r="K1667" t="s">
        <v>44</v>
      </c>
      <c r="L1667" t="s">
        <v>16</v>
      </c>
      <c r="M1667">
        <v>122</v>
      </c>
    </row>
    <row r="1668" spans="1:13" x14ac:dyDescent="0.25">
      <c r="A1668">
        <v>2666</v>
      </c>
      <c r="B1668" t="s">
        <v>1696</v>
      </c>
      <c r="C1668" t="s">
        <v>36</v>
      </c>
      <c r="D1668" t="s">
        <v>59</v>
      </c>
      <c r="E1668">
        <v>2</v>
      </c>
      <c r="G1668">
        <f t="shared" si="52"/>
        <v>0</v>
      </c>
      <c r="I1668">
        <f t="shared" si="53"/>
        <v>0</v>
      </c>
      <c r="K1668" t="s">
        <v>44</v>
      </c>
      <c r="L1668" t="s">
        <v>23</v>
      </c>
      <c r="M1668">
        <v>1989.64</v>
      </c>
    </row>
    <row r="1669" spans="1:13" x14ac:dyDescent="0.25">
      <c r="A1669">
        <v>2667</v>
      </c>
      <c r="B1669" t="s">
        <v>1697</v>
      </c>
      <c r="C1669" t="s">
        <v>31</v>
      </c>
      <c r="D1669" t="s">
        <v>78</v>
      </c>
      <c r="E1669">
        <v>1</v>
      </c>
      <c r="F1669">
        <v>4710.7700000000004</v>
      </c>
      <c r="G1669">
        <f t="shared" si="52"/>
        <v>4710.7700000000004</v>
      </c>
      <c r="I1669">
        <f t="shared" si="53"/>
        <v>4710.7700000000004</v>
      </c>
      <c r="K1669" t="s">
        <v>18</v>
      </c>
      <c r="L1669" t="s">
        <v>23</v>
      </c>
      <c r="M1669">
        <v>2520.0500000000002</v>
      </c>
    </row>
    <row r="1670" spans="1:13" x14ac:dyDescent="0.25">
      <c r="A1670">
        <v>2668</v>
      </c>
      <c r="B1670" t="s">
        <v>1698</v>
      </c>
      <c r="C1670" t="s">
        <v>31</v>
      </c>
      <c r="D1670" t="s">
        <v>68</v>
      </c>
      <c r="E1670">
        <v>1</v>
      </c>
      <c r="G1670">
        <f t="shared" si="52"/>
        <v>0</v>
      </c>
      <c r="H1670" s="3">
        <v>0.64</v>
      </c>
      <c r="I1670">
        <f t="shared" si="53"/>
        <v>0</v>
      </c>
      <c r="J1670" s="1">
        <v>45282</v>
      </c>
      <c r="K1670" t="s">
        <v>18</v>
      </c>
      <c r="L1670" t="s">
        <v>16</v>
      </c>
      <c r="M1670">
        <v>-3.95</v>
      </c>
    </row>
    <row r="1671" spans="1:13" x14ac:dyDescent="0.25">
      <c r="A1671">
        <v>2669</v>
      </c>
      <c r="B1671" t="s">
        <v>1699</v>
      </c>
      <c r="C1671" t="s">
        <v>31</v>
      </c>
      <c r="D1671" t="s">
        <v>78</v>
      </c>
      <c r="E1671">
        <v>-1</v>
      </c>
      <c r="G1671">
        <f t="shared" si="52"/>
        <v>0</v>
      </c>
      <c r="I1671">
        <f t="shared" si="53"/>
        <v>0</v>
      </c>
      <c r="J1671" s="1">
        <v>45749</v>
      </c>
      <c r="K1671" t="s">
        <v>44</v>
      </c>
      <c r="L1671" t="s">
        <v>16</v>
      </c>
      <c r="M1671">
        <v>-760.17</v>
      </c>
    </row>
    <row r="1672" spans="1:13" x14ac:dyDescent="0.25">
      <c r="A1672">
        <v>2670</v>
      </c>
      <c r="B1672" t="s">
        <v>1700</v>
      </c>
      <c r="C1672" t="s">
        <v>31</v>
      </c>
      <c r="D1672" t="s">
        <v>78</v>
      </c>
      <c r="E1672">
        <v>2</v>
      </c>
      <c r="G1672">
        <f t="shared" si="52"/>
        <v>0</v>
      </c>
      <c r="I1672">
        <f t="shared" si="53"/>
        <v>0</v>
      </c>
      <c r="J1672" s="1">
        <v>45561</v>
      </c>
      <c r="K1672" t="s">
        <v>44</v>
      </c>
      <c r="L1672" t="s">
        <v>16</v>
      </c>
      <c r="M1672">
        <v>775.45</v>
      </c>
    </row>
    <row r="1673" spans="1:13" x14ac:dyDescent="0.25">
      <c r="A1673">
        <v>2671</v>
      </c>
      <c r="B1673" t="s">
        <v>1701</v>
      </c>
      <c r="C1673" t="s">
        <v>28</v>
      </c>
      <c r="D1673" t="s">
        <v>137</v>
      </c>
      <c r="E1673">
        <v>2</v>
      </c>
      <c r="F1673">
        <v>2377.81</v>
      </c>
      <c r="G1673">
        <f t="shared" si="52"/>
        <v>4755.62</v>
      </c>
      <c r="H1673" s="3">
        <v>0.56999999999999995</v>
      </c>
      <c r="I1673">
        <f t="shared" si="53"/>
        <v>2044.9166000000002</v>
      </c>
      <c r="K1673" t="s">
        <v>22</v>
      </c>
      <c r="L1673" t="s">
        <v>23</v>
      </c>
      <c r="M1673">
        <v>1967.3</v>
      </c>
    </row>
    <row r="1674" spans="1:13" x14ac:dyDescent="0.25">
      <c r="A1674">
        <v>1026</v>
      </c>
      <c r="B1674" t="s">
        <v>1702</v>
      </c>
      <c r="C1674" t="s">
        <v>36</v>
      </c>
      <c r="D1674" t="s">
        <v>55</v>
      </c>
      <c r="E1674">
        <v>2</v>
      </c>
      <c r="G1674">
        <f t="shared" si="52"/>
        <v>0</v>
      </c>
      <c r="I1674">
        <f t="shared" si="53"/>
        <v>0</v>
      </c>
      <c r="J1674" s="1">
        <v>45457</v>
      </c>
      <c r="K1674" t="s">
        <v>18</v>
      </c>
      <c r="L1674" t="s">
        <v>16</v>
      </c>
      <c r="M1674">
        <v>2344.12</v>
      </c>
    </row>
    <row r="1675" spans="1:13" x14ac:dyDescent="0.25">
      <c r="A1675">
        <v>2673</v>
      </c>
      <c r="B1675" t="s">
        <v>1703</v>
      </c>
      <c r="C1675" t="s">
        <v>28</v>
      </c>
      <c r="D1675" t="s">
        <v>29</v>
      </c>
      <c r="E1675">
        <v>2</v>
      </c>
      <c r="G1675">
        <f t="shared" si="52"/>
        <v>0</v>
      </c>
      <c r="I1675">
        <f t="shared" si="53"/>
        <v>0</v>
      </c>
      <c r="K1675" t="s">
        <v>38</v>
      </c>
      <c r="L1675" t="s">
        <v>23</v>
      </c>
      <c r="M1675">
        <v>2493.87</v>
      </c>
    </row>
    <row r="1676" spans="1:13" x14ac:dyDescent="0.25">
      <c r="A1676">
        <v>2674</v>
      </c>
      <c r="B1676" t="s">
        <v>1704</v>
      </c>
      <c r="C1676" t="s">
        <v>31</v>
      </c>
      <c r="D1676" t="s">
        <v>68</v>
      </c>
      <c r="E1676">
        <v>2</v>
      </c>
      <c r="F1676">
        <v>1261.5899999999999</v>
      </c>
      <c r="G1676">
        <f t="shared" si="52"/>
        <v>2523.1799999999998</v>
      </c>
      <c r="I1676">
        <f t="shared" si="53"/>
        <v>2523.1799999999998</v>
      </c>
      <c r="J1676" s="1">
        <v>45542</v>
      </c>
      <c r="K1676" t="s">
        <v>22</v>
      </c>
      <c r="L1676" t="s">
        <v>23</v>
      </c>
      <c r="M1676">
        <v>534.09</v>
      </c>
    </row>
    <row r="1677" spans="1:13" x14ac:dyDescent="0.25">
      <c r="A1677">
        <v>2675</v>
      </c>
      <c r="B1677" t="s">
        <v>1705</v>
      </c>
      <c r="C1677" t="s">
        <v>25</v>
      </c>
      <c r="D1677" t="s">
        <v>26</v>
      </c>
      <c r="E1677">
        <v>1</v>
      </c>
      <c r="G1677">
        <f t="shared" si="52"/>
        <v>0</v>
      </c>
      <c r="H1677" s="3">
        <v>0.83</v>
      </c>
      <c r="I1677">
        <f t="shared" si="53"/>
        <v>0</v>
      </c>
      <c r="J1677" s="1">
        <v>45504</v>
      </c>
      <c r="K1677" t="s">
        <v>22</v>
      </c>
      <c r="L1677" t="s">
        <v>16</v>
      </c>
      <c r="M1677">
        <v>2164.08</v>
      </c>
    </row>
    <row r="1678" spans="1:13" x14ac:dyDescent="0.25">
      <c r="A1678">
        <v>1014</v>
      </c>
      <c r="B1678" t="s">
        <v>1706</v>
      </c>
      <c r="C1678" t="s">
        <v>13</v>
      </c>
      <c r="D1678" t="s">
        <v>34</v>
      </c>
      <c r="E1678">
        <v>2</v>
      </c>
      <c r="G1678">
        <f t="shared" si="52"/>
        <v>0</v>
      </c>
      <c r="I1678">
        <f t="shared" si="53"/>
        <v>0</v>
      </c>
      <c r="J1678" s="1">
        <v>45704</v>
      </c>
      <c r="K1678" t="s">
        <v>15</v>
      </c>
      <c r="L1678" t="s">
        <v>23</v>
      </c>
      <c r="M1678">
        <v>2219.4899999999998</v>
      </c>
    </row>
    <row r="1679" spans="1:13" x14ac:dyDescent="0.25">
      <c r="A1679">
        <v>2677</v>
      </c>
      <c r="B1679" t="s">
        <v>1707</v>
      </c>
      <c r="C1679" t="s">
        <v>25</v>
      </c>
      <c r="D1679" t="s">
        <v>62</v>
      </c>
      <c r="E1679">
        <v>5</v>
      </c>
      <c r="F1679">
        <v>1727.66</v>
      </c>
      <c r="G1679">
        <f t="shared" si="52"/>
        <v>8638.3000000000011</v>
      </c>
      <c r="H1679" s="3">
        <v>1.24</v>
      </c>
      <c r="I1679">
        <f t="shared" si="53"/>
        <v>-2073.192</v>
      </c>
      <c r="J1679" s="1">
        <v>45776</v>
      </c>
      <c r="K1679" t="s">
        <v>44</v>
      </c>
      <c r="L1679" t="s">
        <v>23</v>
      </c>
      <c r="M1679">
        <v>-546.05999999999995</v>
      </c>
    </row>
    <row r="1680" spans="1:13" x14ac:dyDescent="0.25">
      <c r="A1680">
        <v>2678</v>
      </c>
      <c r="B1680" t="s">
        <v>1708</v>
      </c>
      <c r="C1680" t="s">
        <v>36</v>
      </c>
      <c r="D1680" t="s">
        <v>59</v>
      </c>
      <c r="E1680">
        <v>-2</v>
      </c>
      <c r="G1680">
        <f t="shared" si="52"/>
        <v>0</v>
      </c>
      <c r="H1680" s="3">
        <v>0.51</v>
      </c>
      <c r="I1680">
        <f t="shared" si="53"/>
        <v>0</v>
      </c>
      <c r="J1680" s="1">
        <v>45741</v>
      </c>
      <c r="K1680" t="s">
        <v>2517</v>
      </c>
      <c r="L1680" t="s">
        <v>16</v>
      </c>
      <c r="M1680">
        <v>-333.97</v>
      </c>
    </row>
    <row r="1681" spans="1:13" x14ac:dyDescent="0.25">
      <c r="A1681">
        <v>2679</v>
      </c>
      <c r="B1681" t="s">
        <v>1709</v>
      </c>
      <c r="C1681" t="s">
        <v>28</v>
      </c>
      <c r="D1681" t="s">
        <v>116</v>
      </c>
      <c r="E1681">
        <v>2</v>
      </c>
      <c r="F1681">
        <v>2514.6999999999998</v>
      </c>
      <c r="G1681">
        <f t="shared" si="52"/>
        <v>5029.3999999999996</v>
      </c>
      <c r="I1681">
        <f t="shared" si="53"/>
        <v>5029.3999999999996</v>
      </c>
      <c r="J1681" s="1">
        <v>45564</v>
      </c>
      <c r="K1681" t="s">
        <v>2517</v>
      </c>
      <c r="L1681" t="s">
        <v>16</v>
      </c>
      <c r="M1681">
        <v>2652.58</v>
      </c>
    </row>
    <row r="1682" spans="1:13" x14ac:dyDescent="0.25">
      <c r="A1682">
        <v>2680</v>
      </c>
      <c r="B1682" t="s">
        <v>1710</v>
      </c>
      <c r="C1682" t="s">
        <v>25</v>
      </c>
      <c r="D1682" t="s">
        <v>62</v>
      </c>
      <c r="E1682">
        <v>6</v>
      </c>
      <c r="G1682">
        <f t="shared" si="52"/>
        <v>0</v>
      </c>
      <c r="I1682">
        <f t="shared" si="53"/>
        <v>0</v>
      </c>
      <c r="K1682" t="s">
        <v>15</v>
      </c>
      <c r="L1682" t="s">
        <v>16</v>
      </c>
      <c r="M1682">
        <v>-963.81</v>
      </c>
    </row>
    <row r="1683" spans="1:13" x14ac:dyDescent="0.25">
      <c r="A1683">
        <v>2681</v>
      </c>
      <c r="B1683" t="s">
        <v>1711</v>
      </c>
      <c r="C1683" t="s">
        <v>20</v>
      </c>
      <c r="D1683" t="s">
        <v>84</v>
      </c>
      <c r="E1683">
        <v>-1</v>
      </c>
      <c r="F1683">
        <v>4770.92</v>
      </c>
      <c r="G1683">
        <f t="shared" si="52"/>
        <v>-4770.92</v>
      </c>
      <c r="I1683">
        <f t="shared" si="53"/>
        <v>-4770.92</v>
      </c>
      <c r="J1683" s="1">
        <v>45223</v>
      </c>
      <c r="K1683" t="s">
        <v>44</v>
      </c>
      <c r="L1683" t="s">
        <v>23</v>
      </c>
      <c r="M1683">
        <v>433.04</v>
      </c>
    </row>
    <row r="1684" spans="1:13" x14ac:dyDescent="0.25">
      <c r="A1684">
        <v>2682</v>
      </c>
      <c r="B1684" t="s">
        <v>1712</v>
      </c>
      <c r="C1684" t="s">
        <v>31</v>
      </c>
      <c r="D1684" t="s">
        <v>78</v>
      </c>
      <c r="E1684">
        <v>2</v>
      </c>
      <c r="F1684">
        <v>4784.55</v>
      </c>
      <c r="G1684">
        <f t="shared" si="52"/>
        <v>9569.1</v>
      </c>
      <c r="I1684">
        <f t="shared" si="53"/>
        <v>9569.1</v>
      </c>
      <c r="J1684" s="1">
        <v>45622</v>
      </c>
      <c r="K1684" t="s">
        <v>38</v>
      </c>
      <c r="L1684" t="s">
        <v>16</v>
      </c>
      <c r="M1684">
        <v>2034.52</v>
      </c>
    </row>
    <row r="1685" spans="1:13" x14ac:dyDescent="0.25">
      <c r="A1685">
        <v>2683</v>
      </c>
      <c r="B1685" t="s">
        <v>1713</v>
      </c>
      <c r="C1685" t="s">
        <v>20</v>
      </c>
      <c r="D1685" t="s">
        <v>21</v>
      </c>
      <c r="E1685">
        <v>5</v>
      </c>
      <c r="F1685">
        <v>3163.97</v>
      </c>
      <c r="G1685">
        <f t="shared" si="52"/>
        <v>15819.849999999999</v>
      </c>
      <c r="I1685">
        <f t="shared" si="53"/>
        <v>15819.849999999999</v>
      </c>
      <c r="K1685" t="s">
        <v>15</v>
      </c>
      <c r="L1685" t="s">
        <v>23</v>
      </c>
      <c r="M1685">
        <v>1411.27</v>
      </c>
    </row>
    <row r="1686" spans="1:13" x14ac:dyDescent="0.25">
      <c r="A1686">
        <v>2684</v>
      </c>
      <c r="B1686" t="s">
        <v>1714</v>
      </c>
      <c r="C1686" t="s">
        <v>25</v>
      </c>
      <c r="D1686" t="s">
        <v>82</v>
      </c>
      <c r="E1686">
        <v>2</v>
      </c>
      <c r="F1686">
        <v>794.81</v>
      </c>
      <c r="G1686">
        <f t="shared" si="52"/>
        <v>1589.62</v>
      </c>
      <c r="H1686" s="3">
        <v>1.1200000000000001</v>
      </c>
      <c r="I1686">
        <f t="shared" si="53"/>
        <v>-190.75440000000015</v>
      </c>
      <c r="J1686" s="1">
        <v>45483</v>
      </c>
      <c r="K1686" t="s">
        <v>38</v>
      </c>
      <c r="L1686" t="s">
        <v>23</v>
      </c>
      <c r="M1686">
        <v>-391.38</v>
      </c>
    </row>
    <row r="1687" spans="1:13" x14ac:dyDescent="0.25">
      <c r="A1687">
        <v>2685</v>
      </c>
      <c r="B1687" t="s">
        <v>1715</v>
      </c>
      <c r="C1687" t="s">
        <v>25</v>
      </c>
      <c r="D1687" t="s">
        <v>51</v>
      </c>
      <c r="E1687">
        <v>2</v>
      </c>
      <c r="F1687">
        <v>1804.59</v>
      </c>
      <c r="G1687">
        <f t="shared" si="52"/>
        <v>3609.18</v>
      </c>
      <c r="I1687">
        <f t="shared" si="53"/>
        <v>3609.18</v>
      </c>
      <c r="J1687" s="1">
        <v>45839</v>
      </c>
      <c r="K1687" t="s">
        <v>18</v>
      </c>
      <c r="L1687" t="s">
        <v>23</v>
      </c>
      <c r="M1687">
        <v>-208.79</v>
      </c>
    </row>
    <row r="1688" spans="1:13" x14ac:dyDescent="0.25">
      <c r="A1688">
        <v>2686</v>
      </c>
      <c r="B1688" t="s">
        <v>1716</v>
      </c>
      <c r="C1688" t="s">
        <v>28</v>
      </c>
      <c r="D1688" t="s">
        <v>137</v>
      </c>
      <c r="E1688">
        <v>2</v>
      </c>
      <c r="G1688">
        <f t="shared" si="52"/>
        <v>0</v>
      </c>
      <c r="H1688" s="3">
        <v>0.49</v>
      </c>
      <c r="I1688">
        <f t="shared" si="53"/>
        <v>0</v>
      </c>
      <c r="K1688" t="s">
        <v>44</v>
      </c>
      <c r="L1688" t="s">
        <v>16</v>
      </c>
      <c r="M1688">
        <v>2957.49</v>
      </c>
    </row>
    <row r="1689" spans="1:13" x14ac:dyDescent="0.25">
      <c r="A1689">
        <v>2687</v>
      </c>
      <c r="B1689" t="s">
        <v>1717</v>
      </c>
      <c r="C1689" t="s">
        <v>25</v>
      </c>
      <c r="D1689" t="s">
        <v>51</v>
      </c>
      <c r="E1689">
        <v>0</v>
      </c>
      <c r="G1689">
        <f t="shared" si="52"/>
        <v>0</v>
      </c>
      <c r="I1689">
        <f t="shared" si="53"/>
        <v>0</v>
      </c>
      <c r="J1689" s="1">
        <v>45521</v>
      </c>
      <c r="K1689" t="s">
        <v>22</v>
      </c>
      <c r="L1689" t="s">
        <v>16</v>
      </c>
      <c r="M1689">
        <v>510.99</v>
      </c>
    </row>
    <row r="1690" spans="1:13" x14ac:dyDescent="0.25">
      <c r="A1690">
        <v>2688</v>
      </c>
      <c r="B1690" t="s">
        <v>1718</v>
      </c>
      <c r="C1690" t="s">
        <v>31</v>
      </c>
      <c r="D1690" t="s">
        <v>32</v>
      </c>
      <c r="E1690">
        <v>2</v>
      </c>
      <c r="G1690">
        <f t="shared" si="52"/>
        <v>0</v>
      </c>
      <c r="H1690" s="3">
        <v>0.11</v>
      </c>
      <c r="I1690">
        <f t="shared" si="53"/>
        <v>0</v>
      </c>
      <c r="K1690" t="s">
        <v>2517</v>
      </c>
      <c r="L1690" t="s">
        <v>16</v>
      </c>
      <c r="M1690">
        <v>161.9</v>
      </c>
    </row>
    <row r="1691" spans="1:13" x14ac:dyDescent="0.25">
      <c r="A1691">
        <v>2689</v>
      </c>
      <c r="B1691" t="s">
        <v>1719</v>
      </c>
      <c r="C1691" t="s">
        <v>28</v>
      </c>
      <c r="D1691" t="s">
        <v>137</v>
      </c>
      <c r="E1691">
        <v>4</v>
      </c>
      <c r="F1691">
        <v>4777.51</v>
      </c>
      <c r="G1691">
        <f t="shared" si="52"/>
        <v>19110.04</v>
      </c>
      <c r="I1691">
        <f t="shared" si="53"/>
        <v>19110.04</v>
      </c>
      <c r="J1691" s="1">
        <v>45609</v>
      </c>
      <c r="K1691" t="s">
        <v>2517</v>
      </c>
      <c r="L1691" t="s">
        <v>16</v>
      </c>
      <c r="M1691">
        <v>-204.04</v>
      </c>
    </row>
    <row r="1692" spans="1:13" x14ac:dyDescent="0.25">
      <c r="A1692">
        <v>2690</v>
      </c>
      <c r="B1692" t="s">
        <v>1720</v>
      </c>
      <c r="C1692" t="s">
        <v>13</v>
      </c>
      <c r="D1692" t="s">
        <v>98</v>
      </c>
      <c r="E1692">
        <v>2</v>
      </c>
      <c r="F1692">
        <v>2862.03</v>
      </c>
      <c r="G1692">
        <f t="shared" si="52"/>
        <v>5724.06</v>
      </c>
      <c r="I1692">
        <f t="shared" si="53"/>
        <v>5724.06</v>
      </c>
      <c r="J1692" s="1">
        <v>45277</v>
      </c>
      <c r="K1692" t="s">
        <v>22</v>
      </c>
      <c r="L1692" t="s">
        <v>16</v>
      </c>
      <c r="M1692">
        <v>115.86</v>
      </c>
    </row>
    <row r="1693" spans="1:13" x14ac:dyDescent="0.25">
      <c r="A1693">
        <v>2691</v>
      </c>
      <c r="B1693" t="s">
        <v>1721</v>
      </c>
      <c r="C1693" t="s">
        <v>31</v>
      </c>
      <c r="D1693" t="s">
        <v>32</v>
      </c>
      <c r="E1693">
        <v>1</v>
      </c>
      <c r="G1693">
        <f t="shared" si="52"/>
        <v>0</v>
      </c>
      <c r="H1693" s="3">
        <v>0.5</v>
      </c>
      <c r="I1693">
        <f t="shared" si="53"/>
        <v>0</v>
      </c>
      <c r="J1693" s="1">
        <v>45411</v>
      </c>
      <c r="K1693" t="s">
        <v>38</v>
      </c>
      <c r="L1693" t="s">
        <v>16</v>
      </c>
      <c r="M1693">
        <v>-182.86</v>
      </c>
    </row>
    <row r="1694" spans="1:13" x14ac:dyDescent="0.25">
      <c r="A1694">
        <v>2692</v>
      </c>
      <c r="B1694" t="s">
        <v>1722</v>
      </c>
      <c r="C1694" t="s">
        <v>36</v>
      </c>
      <c r="D1694" t="s">
        <v>87</v>
      </c>
      <c r="E1694">
        <v>2</v>
      </c>
      <c r="G1694">
        <f t="shared" si="52"/>
        <v>0</v>
      </c>
      <c r="I1694">
        <f t="shared" si="53"/>
        <v>0</v>
      </c>
      <c r="J1694" s="1">
        <v>45762</v>
      </c>
      <c r="K1694" t="s">
        <v>22</v>
      </c>
      <c r="L1694" t="s">
        <v>16</v>
      </c>
      <c r="M1694">
        <v>-364.29</v>
      </c>
    </row>
    <row r="1695" spans="1:13" x14ac:dyDescent="0.25">
      <c r="A1695">
        <v>2693</v>
      </c>
      <c r="B1695" t="s">
        <v>1723</v>
      </c>
      <c r="C1695" t="s">
        <v>13</v>
      </c>
      <c r="D1695" t="s">
        <v>34</v>
      </c>
      <c r="E1695">
        <v>4</v>
      </c>
      <c r="F1695">
        <v>4366.3999999999996</v>
      </c>
      <c r="G1695">
        <f t="shared" si="52"/>
        <v>17465.599999999999</v>
      </c>
      <c r="I1695">
        <f t="shared" si="53"/>
        <v>17465.599999999999</v>
      </c>
      <c r="K1695" t="s">
        <v>2517</v>
      </c>
      <c r="L1695" t="s">
        <v>16</v>
      </c>
      <c r="M1695">
        <v>-542.72</v>
      </c>
    </row>
    <row r="1696" spans="1:13" x14ac:dyDescent="0.25">
      <c r="A1696">
        <v>2694</v>
      </c>
      <c r="B1696" t="s">
        <v>1724</v>
      </c>
      <c r="C1696" t="s">
        <v>25</v>
      </c>
      <c r="D1696" t="s">
        <v>62</v>
      </c>
      <c r="E1696">
        <v>2</v>
      </c>
      <c r="F1696">
        <v>1617.83</v>
      </c>
      <c r="G1696">
        <f t="shared" si="52"/>
        <v>3235.66</v>
      </c>
      <c r="H1696" s="3">
        <v>1.18</v>
      </c>
      <c r="I1696">
        <f t="shared" si="53"/>
        <v>-582.41879999999981</v>
      </c>
      <c r="J1696" s="1">
        <v>45834</v>
      </c>
      <c r="K1696" t="s">
        <v>15</v>
      </c>
      <c r="L1696" t="s">
        <v>16</v>
      </c>
      <c r="M1696">
        <v>1532.93</v>
      </c>
    </row>
    <row r="1697" spans="1:13" x14ac:dyDescent="0.25">
      <c r="A1697">
        <v>2695</v>
      </c>
      <c r="B1697" t="s">
        <v>1725</v>
      </c>
      <c r="C1697" t="s">
        <v>13</v>
      </c>
      <c r="D1697" t="s">
        <v>34</v>
      </c>
      <c r="E1697">
        <v>2</v>
      </c>
      <c r="F1697">
        <v>4834.87</v>
      </c>
      <c r="G1697">
        <f t="shared" si="52"/>
        <v>9669.74</v>
      </c>
      <c r="I1697">
        <f t="shared" si="53"/>
        <v>9669.74</v>
      </c>
      <c r="K1697" t="s">
        <v>38</v>
      </c>
      <c r="L1697" t="s">
        <v>23</v>
      </c>
      <c r="M1697">
        <v>1655.07</v>
      </c>
    </row>
    <row r="1698" spans="1:13" x14ac:dyDescent="0.25">
      <c r="A1698">
        <v>2696</v>
      </c>
      <c r="B1698" t="s">
        <v>1726</v>
      </c>
      <c r="C1698" t="s">
        <v>20</v>
      </c>
      <c r="D1698" t="s">
        <v>21</v>
      </c>
      <c r="E1698">
        <v>2</v>
      </c>
      <c r="F1698">
        <v>2579.8000000000002</v>
      </c>
      <c r="G1698">
        <f t="shared" si="52"/>
        <v>5159.6000000000004</v>
      </c>
      <c r="H1698" s="3">
        <v>1.26</v>
      </c>
      <c r="I1698">
        <f t="shared" si="53"/>
        <v>-1341.4960000000001</v>
      </c>
      <c r="J1698" s="1">
        <v>45797</v>
      </c>
      <c r="K1698" t="s">
        <v>18</v>
      </c>
      <c r="L1698" t="s">
        <v>23</v>
      </c>
      <c r="M1698">
        <v>-804.09</v>
      </c>
    </row>
    <row r="1699" spans="1:13" x14ac:dyDescent="0.25">
      <c r="A1699">
        <v>2697</v>
      </c>
      <c r="B1699" t="s">
        <v>1727</v>
      </c>
      <c r="C1699" t="s">
        <v>36</v>
      </c>
      <c r="D1699" t="s">
        <v>59</v>
      </c>
      <c r="E1699">
        <v>2</v>
      </c>
      <c r="F1699">
        <v>3300.82</v>
      </c>
      <c r="G1699">
        <f t="shared" si="52"/>
        <v>6601.64</v>
      </c>
      <c r="I1699">
        <f t="shared" si="53"/>
        <v>6601.64</v>
      </c>
      <c r="J1699" s="1">
        <v>45796</v>
      </c>
      <c r="K1699" t="s">
        <v>18</v>
      </c>
      <c r="L1699" t="s">
        <v>23</v>
      </c>
      <c r="M1699">
        <v>394.83</v>
      </c>
    </row>
    <row r="1700" spans="1:13" x14ac:dyDescent="0.25">
      <c r="A1700">
        <v>2698</v>
      </c>
      <c r="B1700" t="s">
        <v>1728</v>
      </c>
      <c r="C1700" t="s">
        <v>20</v>
      </c>
      <c r="D1700" t="s">
        <v>76</v>
      </c>
      <c r="E1700">
        <v>2</v>
      </c>
      <c r="F1700">
        <v>1810.81</v>
      </c>
      <c r="G1700">
        <f t="shared" si="52"/>
        <v>3621.62</v>
      </c>
      <c r="H1700" s="3">
        <v>0.5</v>
      </c>
      <c r="I1700">
        <f t="shared" si="53"/>
        <v>1810.81</v>
      </c>
      <c r="K1700" t="s">
        <v>44</v>
      </c>
      <c r="L1700" t="s">
        <v>16</v>
      </c>
      <c r="M1700">
        <v>1605.28</v>
      </c>
    </row>
    <row r="1701" spans="1:13" x14ac:dyDescent="0.25">
      <c r="A1701">
        <v>2699</v>
      </c>
      <c r="B1701" t="s">
        <v>1729</v>
      </c>
      <c r="C1701" t="s">
        <v>13</v>
      </c>
      <c r="D1701" t="s">
        <v>47</v>
      </c>
      <c r="E1701">
        <v>6</v>
      </c>
      <c r="G1701">
        <f t="shared" si="52"/>
        <v>0</v>
      </c>
      <c r="I1701">
        <f t="shared" si="53"/>
        <v>0</v>
      </c>
      <c r="J1701" s="1">
        <v>45802</v>
      </c>
      <c r="K1701" t="s">
        <v>15</v>
      </c>
      <c r="L1701" t="s">
        <v>16</v>
      </c>
      <c r="M1701">
        <v>1068.6600000000001</v>
      </c>
    </row>
    <row r="1702" spans="1:13" x14ac:dyDescent="0.25">
      <c r="A1702">
        <v>2700</v>
      </c>
      <c r="B1702" t="s">
        <v>1730</v>
      </c>
      <c r="C1702" t="s">
        <v>25</v>
      </c>
      <c r="D1702" t="s">
        <v>82</v>
      </c>
      <c r="E1702">
        <v>2</v>
      </c>
      <c r="G1702">
        <f t="shared" si="52"/>
        <v>0</v>
      </c>
      <c r="I1702">
        <f t="shared" si="53"/>
        <v>0</v>
      </c>
      <c r="K1702" t="s">
        <v>22</v>
      </c>
      <c r="L1702" t="s">
        <v>16</v>
      </c>
      <c r="M1702">
        <v>588.04</v>
      </c>
    </row>
    <row r="1703" spans="1:13" x14ac:dyDescent="0.25">
      <c r="A1703">
        <v>2701</v>
      </c>
      <c r="B1703" t="s">
        <v>1731</v>
      </c>
      <c r="C1703" t="s">
        <v>28</v>
      </c>
      <c r="D1703" t="s">
        <v>116</v>
      </c>
      <c r="E1703">
        <v>-1</v>
      </c>
      <c r="F1703">
        <v>2085.92</v>
      </c>
      <c r="G1703">
        <f t="shared" si="52"/>
        <v>-2085.92</v>
      </c>
      <c r="I1703">
        <f t="shared" si="53"/>
        <v>-2085.92</v>
      </c>
      <c r="J1703" s="1">
        <v>45669</v>
      </c>
      <c r="K1703" t="s">
        <v>38</v>
      </c>
      <c r="L1703" t="s">
        <v>16</v>
      </c>
      <c r="M1703">
        <v>1301.3699999999999</v>
      </c>
    </row>
    <row r="1704" spans="1:13" x14ac:dyDescent="0.25">
      <c r="A1704">
        <v>2702</v>
      </c>
      <c r="B1704" t="s">
        <v>1732</v>
      </c>
      <c r="C1704" t="s">
        <v>31</v>
      </c>
      <c r="D1704" t="s">
        <v>78</v>
      </c>
      <c r="E1704">
        <v>-2</v>
      </c>
      <c r="G1704">
        <f t="shared" si="52"/>
        <v>0</v>
      </c>
      <c r="I1704">
        <f t="shared" si="53"/>
        <v>0</v>
      </c>
      <c r="J1704" s="1">
        <v>45537</v>
      </c>
      <c r="K1704" t="s">
        <v>2517</v>
      </c>
      <c r="L1704" t="s">
        <v>16</v>
      </c>
      <c r="M1704">
        <v>606.51</v>
      </c>
    </row>
    <row r="1705" spans="1:13" x14ac:dyDescent="0.25">
      <c r="A1705">
        <v>2703</v>
      </c>
      <c r="B1705" t="s">
        <v>1733</v>
      </c>
      <c r="C1705" t="s">
        <v>28</v>
      </c>
      <c r="D1705" t="s">
        <v>29</v>
      </c>
      <c r="E1705">
        <v>-2</v>
      </c>
      <c r="G1705">
        <f t="shared" si="52"/>
        <v>0</v>
      </c>
      <c r="I1705">
        <f t="shared" si="53"/>
        <v>0</v>
      </c>
      <c r="J1705" s="1">
        <v>45784</v>
      </c>
      <c r="K1705" t="s">
        <v>2517</v>
      </c>
      <c r="L1705" t="s">
        <v>16</v>
      </c>
      <c r="M1705">
        <v>2193.86</v>
      </c>
    </row>
    <row r="1706" spans="1:13" x14ac:dyDescent="0.25">
      <c r="A1706">
        <v>2704</v>
      </c>
      <c r="B1706" t="s">
        <v>1734</v>
      </c>
      <c r="C1706" t="s">
        <v>20</v>
      </c>
      <c r="D1706" t="s">
        <v>76</v>
      </c>
      <c r="E1706">
        <v>1</v>
      </c>
      <c r="G1706">
        <f t="shared" si="52"/>
        <v>0</v>
      </c>
      <c r="I1706">
        <f t="shared" si="53"/>
        <v>0</v>
      </c>
      <c r="J1706" s="1">
        <v>45506</v>
      </c>
      <c r="K1706" t="s">
        <v>22</v>
      </c>
      <c r="L1706" t="s">
        <v>16</v>
      </c>
      <c r="M1706">
        <v>7.12</v>
      </c>
    </row>
    <row r="1707" spans="1:13" x14ac:dyDescent="0.25">
      <c r="A1707">
        <v>2705</v>
      </c>
      <c r="B1707" t="s">
        <v>1735</v>
      </c>
      <c r="C1707" t="s">
        <v>36</v>
      </c>
      <c r="D1707" t="s">
        <v>37</v>
      </c>
      <c r="E1707">
        <v>2</v>
      </c>
      <c r="F1707">
        <v>4870.82</v>
      </c>
      <c r="G1707">
        <f t="shared" si="52"/>
        <v>9741.64</v>
      </c>
      <c r="I1707">
        <f t="shared" si="53"/>
        <v>9741.64</v>
      </c>
      <c r="J1707" s="1">
        <v>45846</v>
      </c>
      <c r="K1707" t="s">
        <v>15</v>
      </c>
      <c r="L1707" t="s">
        <v>23</v>
      </c>
      <c r="M1707">
        <v>2833.18</v>
      </c>
    </row>
    <row r="1708" spans="1:13" x14ac:dyDescent="0.25">
      <c r="A1708">
        <v>2706</v>
      </c>
      <c r="B1708" t="s">
        <v>1736</v>
      </c>
      <c r="C1708" t="s">
        <v>31</v>
      </c>
      <c r="D1708" t="s">
        <v>68</v>
      </c>
      <c r="E1708">
        <v>6</v>
      </c>
      <c r="G1708">
        <f t="shared" si="52"/>
        <v>0</v>
      </c>
      <c r="I1708">
        <f t="shared" si="53"/>
        <v>0</v>
      </c>
      <c r="J1708" s="1">
        <v>45595</v>
      </c>
      <c r="K1708" t="s">
        <v>44</v>
      </c>
      <c r="L1708" t="s">
        <v>16</v>
      </c>
      <c r="M1708">
        <v>2379.5</v>
      </c>
    </row>
    <row r="1709" spans="1:13" x14ac:dyDescent="0.25">
      <c r="A1709">
        <v>2707</v>
      </c>
      <c r="B1709" t="s">
        <v>1737</v>
      </c>
      <c r="C1709" t="s">
        <v>20</v>
      </c>
      <c r="D1709" t="s">
        <v>21</v>
      </c>
      <c r="E1709">
        <v>5</v>
      </c>
      <c r="G1709">
        <f t="shared" si="52"/>
        <v>0</v>
      </c>
      <c r="I1709">
        <f t="shared" si="53"/>
        <v>0</v>
      </c>
      <c r="J1709" s="1">
        <v>45542</v>
      </c>
      <c r="K1709" t="s">
        <v>22</v>
      </c>
      <c r="L1709" t="s">
        <v>23</v>
      </c>
      <c r="M1709">
        <v>2763.02</v>
      </c>
    </row>
    <row r="1710" spans="1:13" x14ac:dyDescent="0.25">
      <c r="A1710">
        <v>2708</v>
      </c>
      <c r="B1710" t="s">
        <v>1738</v>
      </c>
      <c r="C1710" t="s">
        <v>28</v>
      </c>
      <c r="D1710" t="s">
        <v>29</v>
      </c>
      <c r="E1710">
        <v>4</v>
      </c>
      <c r="F1710">
        <v>4882.6899999999996</v>
      </c>
      <c r="G1710">
        <f t="shared" si="52"/>
        <v>19530.759999999998</v>
      </c>
      <c r="I1710">
        <f t="shared" si="53"/>
        <v>19530.759999999998</v>
      </c>
      <c r="J1710" s="1">
        <v>45656</v>
      </c>
      <c r="K1710" t="s">
        <v>22</v>
      </c>
      <c r="L1710" t="s">
        <v>23</v>
      </c>
      <c r="M1710">
        <v>2658.6</v>
      </c>
    </row>
    <row r="1711" spans="1:13" x14ac:dyDescent="0.25">
      <c r="A1711">
        <v>2709</v>
      </c>
      <c r="B1711" t="s">
        <v>1739</v>
      </c>
      <c r="C1711" t="s">
        <v>20</v>
      </c>
      <c r="D1711" t="s">
        <v>76</v>
      </c>
      <c r="E1711">
        <v>2</v>
      </c>
      <c r="G1711">
        <f t="shared" si="52"/>
        <v>0</v>
      </c>
      <c r="H1711" s="3">
        <v>0.3</v>
      </c>
      <c r="I1711">
        <f t="shared" si="53"/>
        <v>0</v>
      </c>
      <c r="J1711" s="1">
        <v>45696</v>
      </c>
      <c r="K1711" t="s">
        <v>2517</v>
      </c>
      <c r="L1711" t="s">
        <v>16</v>
      </c>
      <c r="M1711">
        <v>-473.04</v>
      </c>
    </row>
    <row r="1712" spans="1:13" x14ac:dyDescent="0.25">
      <c r="A1712">
        <v>2710</v>
      </c>
      <c r="B1712" t="s">
        <v>1740</v>
      </c>
      <c r="C1712" t="s">
        <v>36</v>
      </c>
      <c r="D1712" t="s">
        <v>87</v>
      </c>
      <c r="E1712">
        <v>2</v>
      </c>
      <c r="F1712">
        <v>2565.5500000000002</v>
      </c>
      <c r="G1712">
        <f t="shared" si="52"/>
        <v>5131.1000000000004</v>
      </c>
      <c r="I1712">
        <f t="shared" si="53"/>
        <v>5131.1000000000004</v>
      </c>
      <c r="J1712" s="1">
        <v>45547</v>
      </c>
      <c r="K1712" t="s">
        <v>38</v>
      </c>
      <c r="L1712" t="s">
        <v>16</v>
      </c>
      <c r="M1712">
        <v>62.05</v>
      </c>
    </row>
    <row r="1713" spans="1:13" x14ac:dyDescent="0.25">
      <c r="A1713">
        <v>2711</v>
      </c>
      <c r="B1713" t="s">
        <v>1741</v>
      </c>
      <c r="C1713" t="s">
        <v>36</v>
      </c>
      <c r="D1713" t="s">
        <v>87</v>
      </c>
      <c r="E1713">
        <v>2</v>
      </c>
      <c r="G1713">
        <f t="shared" si="52"/>
        <v>0</v>
      </c>
      <c r="I1713">
        <f t="shared" si="53"/>
        <v>0</v>
      </c>
      <c r="J1713" s="1">
        <v>45321</v>
      </c>
      <c r="K1713" t="s">
        <v>44</v>
      </c>
      <c r="L1713" t="s">
        <v>23</v>
      </c>
      <c r="M1713">
        <v>-25.26</v>
      </c>
    </row>
    <row r="1714" spans="1:13" x14ac:dyDescent="0.25">
      <c r="A1714">
        <v>2712</v>
      </c>
      <c r="B1714" t="s">
        <v>1742</v>
      </c>
      <c r="C1714" t="s">
        <v>20</v>
      </c>
      <c r="D1714" t="s">
        <v>118</v>
      </c>
      <c r="E1714">
        <v>2</v>
      </c>
      <c r="G1714">
        <f t="shared" si="52"/>
        <v>0</v>
      </c>
      <c r="I1714">
        <f t="shared" si="53"/>
        <v>0</v>
      </c>
      <c r="J1714" s="1">
        <v>45641</v>
      </c>
      <c r="K1714" t="s">
        <v>38</v>
      </c>
      <c r="L1714" t="s">
        <v>23</v>
      </c>
      <c r="M1714">
        <v>-973.58</v>
      </c>
    </row>
    <row r="1715" spans="1:13" x14ac:dyDescent="0.25">
      <c r="A1715">
        <v>2713</v>
      </c>
      <c r="B1715" t="s">
        <v>1743</v>
      </c>
      <c r="C1715" t="s">
        <v>25</v>
      </c>
      <c r="D1715" t="s">
        <v>51</v>
      </c>
      <c r="E1715">
        <v>0</v>
      </c>
      <c r="F1715">
        <v>1559.67</v>
      </c>
      <c r="G1715">
        <f t="shared" si="52"/>
        <v>0</v>
      </c>
      <c r="I1715">
        <f t="shared" si="53"/>
        <v>0</v>
      </c>
      <c r="J1715" s="1">
        <v>45707</v>
      </c>
      <c r="K1715" t="s">
        <v>44</v>
      </c>
      <c r="L1715" t="s">
        <v>16</v>
      </c>
      <c r="M1715">
        <v>2605.5500000000002</v>
      </c>
    </row>
    <row r="1716" spans="1:13" x14ac:dyDescent="0.25">
      <c r="A1716">
        <v>2714</v>
      </c>
      <c r="B1716" t="s">
        <v>1744</v>
      </c>
      <c r="C1716" t="s">
        <v>25</v>
      </c>
      <c r="D1716" t="s">
        <v>82</v>
      </c>
      <c r="E1716">
        <v>-2</v>
      </c>
      <c r="F1716">
        <v>1171.79</v>
      </c>
      <c r="G1716">
        <f t="shared" si="52"/>
        <v>-2343.58</v>
      </c>
      <c r="I1716">
        <f t="shared" si="53"/>
        <v>-2343.58</v>
      </c>
      <c r="K1716" t="s">
        <v>15</v>
      </c>
      <c r="L1716" t="s">
        <v>23</v>
      </c>
      <c r="M1716">
        <v>-392.96</v>
      </c>
    </row>
    <row r="1717" spans="1:13" x14ac:dyDescent="0.25">
      <c r="A1717">
        <v>2715</v>
      </c>
      <c r="B1717" t="s">
        <v>1745</v>
      </c>
      <c r="C1717" t="s">
        <v>25</v>
      </c>
      <c r="D1717" t="s">
        <v>62</v>
      </c>
      <c r="E1717">
        <v>4</v>
      </c>
      <c r="G1717">
        <f t="shared" si="52"/>
        <v>0</v>
      </c>
      <c r="I1717">
        <f t="shared" si="53"/>
        <v>0</v>
      </c>
      <c r="J1717" s="1">
        <v>45134</v>
      </c>
      <c r="K1717" t="s">
        <v>18</v>
      </c>
      <c r="L1717" t="s">
        <v>16</v>
      </c>
      <c r="M1717">
        <v>-144.72</v>
      </c>
    </row>
    <row r="1718" spans="1:13" x14ac:dyDescent="0.25">
      <c r="A1718">
        <v>2716</v>
      </c>
      <c r="B1718" t="s">
        <v>1746</v>
      </c>
      <c r="C1718" t="s">
        <v>25</v>
      </c>
      <c r="D1718" t="s">
        <v>26</v>
      </c>
      <c r="E1718">
        <v>1</v>
      </c>
      <c r="G1718">
        <f t="shared" si="52"/>
        <v>0</v>
      </c>
      <c r="H1718" s="3">
        <v>0.49</v>
      </c>
      <c r="I1718">
        <f t="shared" si="53"/>
        <v>0</v>
      </c>
      <c r="K1718" t="s">
        <v>44</v>
      </c>
      <c r="L1718" t="s">
        <v>23</v>
      </c>
      <c r="M1718">
        <v>2134.2800000000002</v>
      </c>
    </row>
    <row r="1719" spans="1:13" x14ac:dyDescent="0.25">
      <c r="A1719">
        <v>2717</v>
      </c>
      <c r="B1719" t="s">
        <v>1747</v>
      </c>
      <c r="C1719" t="s">
        <v>13</v>
      </c>
      <c r="D1719" t="s">
        <v>34</v>
      </c>
      <c r="E1719">
        <v>2</v>
      </c>
      <c r="G1719">
        <f t="shared" si="52"/>
        <v>0</v>
      </c>
      <c r="I1719">
        <f t="shared" si="53"/>
        <v>0</v>
      </c>
      <c r="J1719" s="1">
        <v>45660</v>
      </c>
      <c r="K1719" t="s">
        <v>44</v>
      </c>
      <c r="L1719" t="s">
        <v>16</v>
      </c>
      <c r="M1719">
        <v>2786.83</v>
      </c>
    </row>
    <row r="1720" spans="1:13" x14ac:dyDescent="0.25">
      <c r="A1720">
        <v>2718</v>
      </c>
      <c r="B1720" t="s">
        <v>1748</v>
      </c>
      <c r="C1720" t="s">
        <v>13</v>
      </c>
      <c r="D1720" t="s">
        <v>14</v>
      </c>
      <c r="E1720">
        <v>3</v>
      </c>
      <c r="F1720">
        <v>909.31</v>
      </c>
      <c r="G1720">
        <f t="shared" si="52"/>
        <v>2727.93</v>
      </c>
      <c r="I1720">
        <f t="shared" si="53"/>
        <v>2727.93</v>
      </c>
      <c r="J1720" s="1">
        <v>45752</v>
      </c>
      <c r="K1720" t="s">
        <v>44</v>
      </c>
      <c r="L1720" t="s">
        <v>16</v>
      </c>
      <c r="M1720">
        <v>1389.16</v>
      </c>
    </row>
    <row r="1721" spans="1:13" x14ac:dyDescent="0.25">
      <c r="A1721">
        <v>2719</v>
      </c>
      <c r="B1721" t="s">
        <v>1749</v>
      </c>
      <c r="C1721" t="s">
        <v>36</v>
      </c>
      <c r="D1721" t="s">
        <v>37</v>
      </c>
      <c r="E1721">
        <v>0</v>
      </c>
      <c r="F1721">
        <v>1602.49</v>
      </c>
      <c r="G1721">
        <f t="shared" si="52"/>
        <v>0</v>
      </c>
      <c r="I1721">
        <f t="shared" si="53"/>
        <v>0</v>
      </c>
      <c r="J1721" s="1">
        <v>45741</v>
      </c>
      <c r="K1721" t="s">
        <v>38</v>
      </c>
      <c r="L1721" t="s">
        <v>23</v>
      </c>
      <c r="M1721">
        <v>-886.11</v>
      </c>
    </row>
    <row r="1722" spans="1:13" x14ac:dyDescent="0.25">
      <c r="A1722">
        <v>2720</v>
      </c>
      <c r="B1722" t="s">
        <v>1750</v>
      </c>
      <c r="C1722" t="s">
        <v>36</v>
      </c>
      <c r="D1722" t="s">
        <v>59</v>
      </c>
      <c r="E1722">
        <v>2</v>
      </c>
      <c r="F1722">
        <v>3476.53</v>
      </c>
      <c r="G1722">
        <f t="shared" si="52"/>
        <v>6953.06</v>
      </c>
      <c r="I1722">
        <f t="shared" si="53"/>
        <v>6953.06</v>
      </c>
      <c r="J1722" s="1">
        <v>45729</v>
      </c>
      <c r="K1722" t="s">
        <v>44</v>
      </c>
      <c r="L1722" t="s">
        <v>16</v>
      </c>
      <c r="M1722">
        <v>-522.33000000000004</v>
      </c>
    </row>
    <row r="1723" spans="1:13" x14ac:dyDescent="0.25">
      <c r="A1723">
        <v>2721</v>
      </c>
      <c r="B1723" t="s">
        <v>1751</v>
      </c>
      <c r="C1723" t="s">
        <v>13</v>
      </c>
      <c r="D1723" t="s">
        <v>47</v>
      </c>
      <c r="E1723">
        <v>2</v>
      </c>
      <c r="F1723">
        <v>1109.5999999999999</v>
      </c>
      <c r="G1723">
        <f t="shared" si="52"/>
        <v>2219.1999999999998</v>
      </c>
      <c r="H1723" s="3">
        <v>0.04</v>
      </c>
      <c r="I1723">
        <f t="shared" si="53"/>
        <v>2130.4319999999998</v>
      </c>
      <c r="K1723" t="s">
        <v>2517</v>
      </c>
      <c r="L1723" t="s">
        <v>16</v>
      </c>
      <c r="M1723">
        <v>885.21</v>
      </c>
    </row>
    <row r="1724" spans="1:13" x14ac:dyDescent="0.25">
      <c r="A1724">
        <v>2722</v>
      </c>
      <c r="B1724" t="s">
        <v>1752</v>
      </c>
      <c r="C1724" t="s">
        <v>13</v>
      </c>
      <c r="D1724" t="s">
        <v>98</v>
      </c>
      <c r="E1724">
        <v>2</v>
      </c>
      <c r="G1724">
        <f t="shared" si="52"/>
        <v>0</v>
      </c>
      <c r="I1724">
        <f t="shared" si="53"/>
        <v>0</v>
      </c>
      <c r="K1724" t="s">
        <v>38</v>
      </c>
      <c r="L1724" t="s">
        <v>16</v>
      </c>
      <c r="M1724">
        <v>-367.6</v>
      </c>
    </row>
    <row r="1725" spans="1:13" x14ac:dyDescent="0.25">
      <c r="A1725">
        <v>2723</v>
      </c>
      <c r="B1725" t="s">
        <v>1753</v>
      </c>
      <c r="C1725" t="s">
        <v>31</v>
      </c>
      <c r="D1725" t="s">
        <v>68</v>
      </c>
      <c r="E1725">
        <v>2</v>
      </c>
      <c r="G1725">
        <f t="shared" si="52"/>
        <v>0</v>
      </c>
      <c r="I1725">
        <f t="shared" si="53"/>
        <v>0</v>
      </c>
      <c r="J1725" s="1">
        <v>45709</v>
      </c>
      <c r="K1725" t="s">
        <v>44</v>
      </c>
      <c r="L1725" t="s">
        <v>16</v>
      </c>
      <c r="M1725">
        <v>253.64</v>
      </c>
    </row>
    <row r="1726" spans="1:13" x14ac:dyDescent="0.25">
      <c r="A1726">
        <v>2724</v>
      </c>
      <c r="B1726" t="s">
        <v>1754</v>
      </c>
      <c r="C1726" t="s">
        <v>13</v>
      </c>
      <c r="D1726" t="s">
        <v>14</v>
      </c>
      <c r="E1726">
        <v>2</v>
      </c>
      <c r="F1726">
        <v>716.3</v>
      </c>
      <c r="G1726">
        <f t="shared" si="52"/>
        <v>1432.6</v>
      </c>
      <c r="I1726">
        <f t="shared" si="53"/>
        <v>1432.6</v>
      </c>
      <c r="J1726" s="1">
        <v>45726</v>
      </c>
      <c r="K1726" t="s">
        <v>15</v>
      </c>
      <c r="L1726" t="s">
        <v>16</v>
      </c>
      <c r="M1726">
        <v>-400.16</v>
      </c>
    </row>
    <row r="1727" spans="1:13" x14ac:dyDescent="0.25">
      <c r="A1727">
        <v>2725</v>
      </c>
      <c r="B1727" t="s">
        <v>1755</v>
      </c>
      <c r="C1727" t="s">
        <v>20</v>
      </c>
      <c r="D1727" t="s">
        <v>118</v>
      </c>
      <c r="E1727">
        <v>2</v>
      </c>
      <c r="G1727">
        <f t="shared" si="52"/>
        <v>0</v>
      </c>
      <c r="I1727">
        <f t="shared" si="53"/>
        <v>0</v>
      </c>
      <c r="J1727" s="1">
        <v>45701</v>
      </c>
      <c r="K1727" t="s">
        <v>2517</v>
      </c>
      <c r="L1727" t="s">
        <v>16</v>
      </c>
      <c r="M1727">
        <v>2116.0700000000002</v>
      </c>
    </row>
    <row r="1728" spans="1:13" x14ac:dyDescent="0.25">
      <c r="A1728">
        <v>2726</v>
      </c>
      <c r="B1728" t="s">
        <v>1756</v>
      </c>
      <c r="C1728" t="s">
        <v>36</v>
      </c>
      <c r="D1728" t="s">
        <v>55</v>
      </c>
      <c r="E1728">
        <v>2</v>
      </c>
      <c r="G1728">
        <f t="shared" si="52"/>
        <v>0</v>
      </c>
      <c r="H1728" s="3">
        <v>0.17</v>
      </c>
      <c r="I1728">
        <f t="shared" si="53"/>
        <v>0</v>
      </c>
      <c r="K1728" t="s">
        <v>22</v>
      </c>
      <c r="L1728" t="s">
        <v>16</v>
      </c>
      <c r="M1728">
        <v>1751.12</v>
      </c>
    </row>
    <row r="1729" spans="1:13" x14ac:dyDescent="0.25">
      <c r="A1729">
        <v>2727</v>
      </c>
      <c r="B1729" t="s">
        <v>1757</v>
      </c>
      <c r="C1729" t="s">
        <v>28</v>
      </c>
      <c r="D1729" t="s">
        <v>40</v>
      </c>
      <c r="E1729">
        <v>2</v>
      </c>
      <c r="G1729">
        <f t="shared" si="52"/>
        <v>0</v>
      </c>
      <c r="I1729">
        <f t="shared" si="53"/>
        <v>0</v>
      </c>
      <c r="J1729" s="1">
        <v>45161</v>
      </c>
      <c r="K1729" t="s">
        <v>18</v>
      </c>
      <c r="L1729" t="s">
        <v>16</v>
      </c>
      <c r="M1729">
        <v>1804.04</v>
      </c>
    </row>
    <row r="1730" spans="1:13" x14ac:dyDescent="0.25">
      <c r="A1730">
        <v>2728</v>
      </c>
      <c r="B1730" t="s">
        <v>1758</v>
      </c>
      <c r="C1730" t="s">
        <v>31</v>
      </c>
      <c r="D1730" t="s">
        <v>32</v>
      </c>
      <c r="E1730">
        <v>2</v>
      </c>
      <c r="F1730">
        <v>1935.05</v>
      </c>
      <c r="G1730">
        <f t="shared" si="52"/>
        <v>3870.1</v>
      </c>
      <c r="I1730">
        <f t="shared" si="53"/>
        <v>3870.1</v>
      </c>
      <c r="J1730" s="1">
        <v>45625</v>
      </c>
      <c r="K1730" t="s">
        <v>38</v>
      </c>
      <c r="L1730" t="s">
        <v>16</v>
      </c>
      <c r="M1730">
        <v>1483.93</v>
      </c>
    </row>
    <row r="1731" spans="1:13" x14ac:dyDescent="0.25">
      <c r="A1731">
        <v>2729</v>
      </c>
      <c r="B1731" t="s">
        <v>1759</v>
      </c>
      <c r="C1731" t="s">
        <v>36</v>
      </c>
      <c r="D1731" t="s">
        <v>87</v>
      </c>
      <c r="E1731">
        <v>5</v>
      </c>
      <c r="G1731">
        <f t="shared" ref="G1731:G1794" si="54">F1731*E1731</f>
        <v>0</v>
      </c>
      <c r="H1731" s="3">
        <v>1.22</v>
      </c>
      <c r="I1731">
        <f t="shared" ref="I1731:I1794" si="55">G1731*(1-H1731)</f>
        <v>0</v>
      </c>
      <c r="K1731" t="s">
        <v>18</v>
      </c>
      <c r="L1731" t="s">
        <v>16</v>
      </c>
      <c r="M1731">
        <v>-973.04</v>
      </c>
    </row>
    <row r="1732" spans="1:13" x14ac:dyDescent="0.25">
      <c r="A1732">
        <v>2730</v>
      </c>
      <c r="B1732" t="s">
        <v>1760</v>
      </c>
      <c r="C1732" t="s">
        <v>31</v>
      </c>
      <c r="D1732" t="s">
        <v>68</v>
      </c>
      <c r="E1732">
        <v>2</v>
      </c>
      <c r="G1732">
        <f t="shared" si="54"/>
        <v>0</v>
      </c>
      <c r="I1732">
        <f t="shared" si="55"/>
        <v>0</v>
      </c>
      <c r="J1732" s="1">
        <v>45350</v>
      </c>
      <c r="K1732" t="s">
        <v>15</v>
      </c>
      <c r="L1732" t="s">
        <v>16</v>
      </c>
      <c r="M1732">
        <v>2203.9699999999998</v>
      </c>
    </row>
    <row r="1733" spans="1:13" x14ac:dyDescent="0.25">
      <c r="A1733">
        <v>2731</v>
      </c>
      <c r="B1733" t="s">
        <v>1761</v>
      </c>
      <c r="C1733" t="s">
        <v>20</v>
      </c>
      <c r="D1733" t="s">
        <v>21</v>
      </c>
      <c r="E1733">
        <v>-1</v>
      </c>
      <c r="F1733">
        <v>1635.12</v>
      </c>
      <c r="G1733">
        <f t="shared" si="54"/>
        <v>-1635.12</v>
      </c>
      <c r="I1733">
        <f t="shared" si="55"/>
        <v>-1635.12</v>
      </c>
      <c r="J1733" s="1">
        <v>45854</v>
      </c>
      <c r="K1733" t="s">
        <v>22</v>
      </c>
      <c r="L1733" t="s">
        <v>23</v>
      </c>
      <c r="M1733">
        <v>-526.88</v>
      </c>
    </row>
    <row r="1734" spans="1:13" x14ac:dyDescent="0.25">
      <c r="A1734">
        <v>2732</v>
      </c>
      <c r="B1734" t="s">
        <v>1762</v>
      </c>
      <c r="C1734" t="s">
        <v>25</v>
      </c>
      <c r="D1734" t="s">
        <v>82</v>
      </c>
      <c r="E1734">
        <v>6</v>
      </c>
      <c r="G1734">
        <f t="shared" si="54"/>
        <v>0</v>
      </c>
      <c r="H1734" s="3">
        <v>0.55000000000000004</v>
      </c>
      <c r="I1734">
        <f t="shared" si="55"/>
        <v>0</v>
      </c>
      <c r="K1734" t="s">
        <v>2517</v>
      </c>
      <c r="L1734" t="s">
        <v>16</v>
      </c>
      <c r="M1734">
        <v>-833.43</v>
      </c>
    </row>
    <row r="1735" spans="1:13" x14ac:dyDescent="0.25">
      <c r="A1735">
        <v>2733</v>
      </c>
      <c r="B1735" t="s">
        <v>1763</v>
      </c>
      <c r="C1735" t="s">
        <v>13</v>
      </c>
      <c r="D1735" t="s">
        <v>34</v>
      </c>
      <c r="E1735">
        <v>2</v>
      </c>
      <c r="G1735">
        <f t="shared" si="54"/>
        <v>0</v>
      </c>
      <c r="I1735">
        <f t="shared" si="55"/>
        <v>0</v>
      </c>
      <c r="J1735" s="1">
        <v>45562</v>
      </c>
      <c r="K1735" t="s">
        <v>22</v>
      </c>
      <c r="L1735" t="s">
        <v>23</v>
      </c>
      <c r="M1735">
        <v>2523.7199999999998</v>
      </c>
    </row>
    <row r="1736" spans="1:13" x14ac:dyDescent="0.25">
      <c r="A1736">
        <v>2734</v>
      </c>
      <c r="B1736" t="s">
        <v>1764</v>
      </c>
      <c r="C1736" t="s">
        <v>36</v>
      </c>
      <c r="D1736" t="s">
        <v>59</v>
      </c>
      <c r="E1736">
        <v>4</v>
      </c>
      <c r="F1736">
        <v>3261.51</v>
      </c>
      <c r="G1736">
        <f t="shared" si="54"/>
        <v>13046.04</v>
      </c>
      <c r="H1736" s="3">
        <v>0.82</v>
      </c>
      <c r="I1736">
        <f t="shared" si="55"/>
        <v>2348.2872000000007</v>
      </c>
      <c r="K1736" t="s">
        <v>2517</v>
      </c>
      <c r="L1736" t="s">
        <v>16</v>
      </c>
      <c r="M1736">
        <v>1429.02</v>
      </c>
    </row>
    <row r="1737" spans="1:13" x14ac:dyDescent="0.25">
      <c r="A1737">
        <v>2735</v>
      </c>
      <c r="B1737" t="s">
        <v>1765</v>
      </c>
      <c r="C1737" t="s">
        <v>28</v>
      </c>
      <c r="D1737" t="s">
        <v>40</v>
      </c>
      <c r="E1737">
        <v>2</v>
      </c>
      <c r="F1737">
        <v>541.71</v>
      </c>
      <c r="G1737">
        <f t="shared" si="54"/>
        <v>1083.42</v>
      </c>
      <c r="I1737">
        <f t="shared" si="55"/>
        <v>1083.42</v>
      </c>
      <c r="J1737" s="1">
        <v>45576</v>
      </c>
      <c r="K1737" t="s">
        <v>38</v>
      </c>
      <c r="L1737" t="s">
        <v>23</v>
      </c>
      <c r="M1737">
        <v>1872.65</v>
      </c>
    </row>
    <row r="1738" spans="1:13" x14ac:dyDescent="0.25">
      <c r="A1738">
        <v>2736</v>
      </c>
      <c r="B1738" t="s">
        <v>1766</v>
      </c>
      <c r="C1738" t="s">
        <v>13</v>
      </c>
      <c r="D1738" t="s">
        <v>14</v>
      </c>
      <c r="E1738">
        <v>2</v>
      </c>
      <c r="G1738">
        <f t="shared" si="54"/>
        <v>0</v>
      </c>
      <c r="I1738">
        <f t="shared" si="55"/>
        <v>0</v>
      </c>
      <c r="J1738" s="1">
        <v>45827</v>
      </c>
      <c r="K1738" t="s">
        <v>15</v>
      </c>
      <c r="L1738" t="s">
        <v>16</v>
      </c>
      <c r="M1738">
        <v>-253.78</v>
      </c>
    </row>
    <row r="1739" spans="1:13" x14ac:dyDescent="0.25">
      <c r="A1739">
        <v>2737</v>
      </c>
      <c r="B1739" t="s">
        <v>1767</v>
      </c>
      <c r="C1739" t="s">
        <v>28</v>
      </c>
      <c r="D1739" t="s">
        <v>116</v>
      </c>
      <c r="E1739">
        <v>2</v>
      </c>
      <c r="F1739">
        <v>1927.98</v>
      </c>
      <c r="G1739">
        <f t="shared" si="54"/>
        <v>3855.96</v>
      </c>
      <c r="I1739">
        <f t="shared" si="55"/>
        <v>3855.96</v>
      </c>
      <c r="J1739" s="1">
        <v>45791</v>
      </c>
      <c r="K1739" t="s">
        <v>44</v>
      </c>
      <c r="L1739" t="s">
        <v>16</v>
      </c>
      <c r="M1739">
        <v>-251.21</v>
      </c>
    </row>
    <row r="1740" spans="1:13" x14ac:dyDescent="0.25">
      <c r="A1740">
        <v>2738</v>
      </c>
      <c r="B1740" t="s">
        <v>1768</v>
      </c>
      <c r="C1740" t="s">
        <v>36</v>
      </c>
      <c r="D1740" t="s">
        <v>59</v>
      </c>
      <c r="E1740">
        <v>2</v>
      </c>
      <c r="G1740">
        <f t="shared" si="54"/>
        <v>0</v>
      </c>
      <c r="H1740" s="3">
        <v>0.55000000000000004</v>
      </c>
      <c r="I1740">
        <f t="shared" si="55"/>
        <v>0</v>
      </c>
      <c r="J1740" s="1">
        <v>45655</v>
      </c>
      <c r="K1740" t="s">
        <v>22</v>
      </c>
      <c r="L1740" t="s">
        <v>23</v>
      </c>
      <c r="M1740">
        <v>733.8</v>
      </c>
    </row>
    <row r="1741" spans="1:13" x14ac:dyDescent="0.25">
      <c r="A1741">
        <v>2739</v>
      </c>
      <c r="B1741" t="s">
        <v>1769</v>
      </c>
      <c r="C1741" t="s">
        <v>25</v>
      </c>
      <c r="D1741" t="s">
        <v>82</v>
      </c>
      <c r="E1741">
        <v>4</v>
      </c>
      <c r="F1741">
        <v>4316.8500000000004</v>
      </c>
      <c r="G1741">
        <f t="shared" si="54"/>
        <v>17267.400000000001</v>
      </c>
      <c r="I1741">
        <f t="shared" si="55"/>
        <v>17267.400000000001</v>
      </c>
      <c r="J1741" s="1">
        <v>45268</v>
      </c>
      <c r="K1741" t="s">
        <v>18</v>
      </c>
      <c r="L1741" t="s">
        <v>16</v>
      </c>
      <c r="M1741">
        <v>2259.3000000000002</v>
      </c>
    </row>
    <row r="1742" spans="1:13" x14ac:dyDescent="0.25">
      <c r="A1742">
        <v>2740</v>
      </c>
      <c r="B1742" t="s">
        <v>1770</v>
      </c>
      <c r="C1742" t="s">
        <v>13</v>
      </c>
      <c r="D1742" t="s">
        <v>34</v>
      </c>
      <c r="E1742">
        <v>1</v>
      </c>
      <c r="G1742">
        <f t="shared" si="54"/>
        <v>0</v>
      </c>
      <c r="I1742">
        <f t="shared" si="55"/>
        <v>0</v>
      </c>
      <c r="K1742" t="s">
        <v>22</v>
      </c>
      <c r="L1742" t="s">
        <v>23</v>
      </c>
      <c r="M1742">
        <v>996.39</v>
      </c>
    </row>
    <row r="1743" spans="1:13" x14ac:dyDescent="0.25">
      <c r="A1743">
        <v>2741</v>
      </c>
      <c r="B1743" t="s">
        <v>1771</v>
      </c>
      <c r="C1743" t="s">
        <v>20</v>
      </c>
      <c r="D1743" t="s">
        <v>76</v>
      </c>
      <c r="E1743">
        <v>1</v>
      </c>
      <c r="G1743">
        <f t="shared" si="54"/>
        <v>0</v>
      </c>
      <c r="H1743" s="3">
        <v>0.53</v>
      </c>
      <c r="I1743">
        <f t="shared" si="55"/>
        <v>0</v>
      </c>
      <c r="J1743" s="1">
        <v>45563</v>
      </c>
      <c r="K1743" t="s">
        <v>22</v>
      </c>
      <c r="L1743" t="s">
        <v>16</v>
      </c>
      <c r="M1743">
        <v>2013.85</v>
      </c>
    </row>
    <row r="1744" spans="1:13" x14ac:dyDescent="0.25">
      <c r="A1744">
        <v>2742</v>
      </c>
      <c r="B1744" t="s">
        <v>1772</v>
      </c>
      <c r="C1744" t="s">
        <v>28</v>
      </c>
      <c r="D1744" t="s">
        <v>29</v>
      </c>
      <c r="E1744">
        <v>-2</v>
      </c>
      <c r="G1744">
        <f t="shared" si="54"/>
        <v>0</v>
      </c>
      <c r="I1744">
        <f t="shared" si="55"/>
        <v>0</v>
      </c>
      <c r="J1744" s="1">
        <v>45853</v>
      </c>
      <c r="K1744" t="s">
        <v>38</v>
      </c>
      <c r="L1744" t="s">
        <v>16</v>
      </c>
      <c r="M1744">
        <v>1045.71</v>
      </c>
    </row>
    <row r="1745" spans="1:13" x14ac:dyDescent="0.25">
      <c r="A1745">
        <v>1032</v>
      </c>
      <c r="B1745" t="s">
        <v>1773</v>
      </c>
      <c r="C1745" t="s">
        <v>20</v>
      </c>
      <c r="D1745" t="s">
        <v>76</v>
      </c>
      <c r="E1745">
        <v>-1</v>
      </c>
      <c r="F1745">
        <v>4146.91</v>
      </c>
      <c r="G1745">
        <f t="shared" si="54"/>
        <v>-4146.91</v>
      </c>
      <c r="H1745" s="3">
        <v>1.03</v>
      </c>
      <c r="I1745">
        <f t="shared" si="55"/>
        <v>124.40730000000011</v>
      </c>
      <c r="J1745" s="1">
        <v>45791</v>
      </c>
      <c r="K1745" t="s">
        <v>15</v>
      </c>
      <c r="L1745" t="s">
        <v>23</v>
      </c>
      <c r="M1745">
        <v>930.16</v>
      </c>
    </row>
    <row r="1746" spans="1:13" x14ac:dyDescent="0.25">
      <c r="A1746">
        <v>2744</v>
      </c>
      <c r="B1746" t="s">
        <v>1774</v>
      </c>
      <c r="C1746" t="s">
        <v>31</v>
      </c>
      <c r="D1746" t="s">
        <v>32</v>
      </c>
      <c r="E1746">
        <v>-2</v>
      </c>
      <c r="G1746">
        <f t="shared" si="54"/>
        <v>0</v>
      </c>
      <c r="I1746">
        <f t="shared" si="55"/>
        <v>0</v>
      </c>
      <c r="K1746" t="s">
        <v>22</v>
      </c>
      <c r="L1746" t="s">
        <v>23</v>
      </c>
      <c r="M1746">
        <v>-635.51</v>
      </c>
    </row>
    <row r="1747" spans="1:13" x14ac:dyDescent="0.25">
      <c r="A1747">
        <v>2745</v>
      </c>
      <c r="B1747" t="s">
        <v>1775</v>
      </c>
      <c r="C1747" t="s">
        <v>13</v>
      </c>
      <c r="D1747" t="s">
        <v>14</v>
      </c>
      <c r="E1747">
        <v>-1</v>
      </c>
      <c r="F1747">
        <v>869.82</v>
      </c>
      <c r="G1747">
        <f t="shared" si="54"/>
        <v>-869.82</v>
      </c>
      <c r="I1747">
        <f t="shared" si="55"/>
        <v>-869.82</v>
      </c>
      <c r="J1747" s="1">
        <v>45497</v>
      </c>
      <c r="K1747" t="s">
        <v>38</v>
      </c>
      <c r="L1747" t="s">
        <v>16</v>
      </c>
      <c r="M1747">
        <v>737.77</v>
      </c>
    </row>
    <row r="1748" spans="1:13" x14ac:dyDescent="0.25">
      <c r="A1748">
        <v>2746</v>
      </c>
      <c r="B1748" t="s">
        <v>1776</v>
      </c>
      <c r="C1748" t="s">
        <v>13</v>
      </c>
      <c r="D1748" t="s">
        <v>14</v>
      </c>
      <c r="E1748">
        <v>2</v>
      </c>
      <c r="F1748">
        <v>668.51</v>
      </c>
      <c r="G1748">
        <f t="shared" si="54"/>
        <v>1337.02</v>
      </c>
      <c r="H1748" s="3">
        <v>1.02</v>
      </c>
      <c r="I1748">
        <f t="shared" si="55"/>
        <v>-26.740400000000022</v>
      </c>
      <c r="J1748" s="1">
        <v>45608</v>
      </c>
      <c r="K1748" t="s">
        <v>38</v>
      </c>
      <c r="L1748" t="s">
        <v>16</v>
      </c>
      <c r="M1748">
        <v>2100.4</v>
      </c>
    </row>
    <row r="1749" spans="1:13" x14ac:dyDescent="0.25">
      <c r="A1749">
        <v>2747</v>
      </c>
      <c r="B1749" t="s">
        <v>1777</v>
      </c>
      <c r="C1749" t="s">
        <v>31</v>
      </c>
      <c r="D1749" t="s">
        <v>78</v>
      </c>
      <c r="E1749">
        <v>1</v>
      </c>
      <c r="F1749">
        <v>1369.29</v>
      </c>
      <c r="G1749">
        <f t="shared" si="54"/>
        <v>1369.29</v>
      </c>
      <c r="I1749">
        <f t="shared" si="55"/>
        <v>1369.29</v>
      </c>
      <c r="J1749" s="1">
        <v>45796</v>
      </c>
      <c r="K1749" t="s">
        <v>22</v>
      </c>
      <c r="L1749" t="s">
        <v>16</v>
      </c>
      <c r="M1749">
        <v>325.08</v>
      </c>
    </row>
    <row r="1750" spans="1:13" x14ac:dyDescent="0.25">
      <c r="A1750">
        <v>2748</v>
      </c>
      <c r="B1750" t="s">
        <v>1778</v>
      </c>
      <c r="C1750" t="s">
        <v>28</v>
      </c>
      <c r="D1750" t="s">
        <v>116</v>
      </c>
      <c r="E1750">
        <v>4</v>
      </c>
      <c r="F1750">
        <v>3977.88</v>
      </c>
      <c r="G1750">
        <f t="shared" si="54"/>
        <v>15911.52</v>
      </c>
      <c r="I1750">
        <f t="shared" si="55"/>
        <v>15911.52</v>
      </c>
      <c r="J1750" s="1">
        <v>45670</v>
      </c>
      <c r="K1750" t="s">
        <v>18</v>
      </c>
      <c r="L1750" t="s">
        <v>16</v>
      </c>
      <c r="M1750">
        <v>2431.13</v>
      </c>
    </row>
    <row r="1751" spans="1:13" x14ac:dyDescent="0.25">
      <c r="A1751">
        <v>2749</v>
      </c>
      <c r="B1751" t="s">
        <v>1779</v>
      </c>
      <c r="C1751" t="s">
        <v>20</v>
      </c>
      <c r="D1751" t="s">
        <v>21</v>
      </c>
      <c r="E1751">
        <v>5</v>
      </c>
      <c r="G1751">
        <f t="shared" si="54"/>
        <v>0</v>
      </c>
      <c r="I1751">
        <f t="shared" si="55"/>
        <v>0</v>
      </c>
      <c r="K1751" t="s">
        <v>44</v>
      </c>
      <c r="L1751" t="s">
        <v>16</v>
      </c>
      <c r="M1751">
        <v>2595.31</v>
      </c>
    </row>
    <row r="1752" spans="1:13" x14ac:dyDescent="0.25">
      <c r="A1752">
        <v>1049</v>
      </c>
      <c r="B1752" t="s">
        <v>1780</v>
      </c>
      <c r="C1752" t="s">
        <v>20</v>
      </c>
      <c r="D1752" t="s">
        <v>118</v>
      </c>
      <c r="E1752">
        <v>2</v>
      </c>
      <c r="F1752">
        <v>1360.22</v>
      </c>
      <c r="G1752">
        <f t="shared" si="54"/>
        <v>2720.44</v>
      </c>
      <c r="I1752">
        <f t="shared" si="55"/>
        <v>2720.44</v>
      </c>
      <c r="J1752" s="1">
        <v>45761</v>
      </c>
      <c r="K1752" t="s">
        <v>22</v>
      </c>
      <c r="L1752" t="s">
        <v>16</v>
      </c>
      <c r="M1752">
        <v>276.89999999999998</v>
      </c>
    </row>
    <row r="1753" spans="1:13" x14ac:dyDescent="0.25">
      <c r="A1753">
        <v>2751</v>
      </c>
      <c r="B1753" t="s">
        <v>1781</v>
      </c>
      <c r="C1753" t="s">
        <v>20</v>
      </c>
      <c r="D1753" t="s">
        <v>118</v>
      </c>
      <c r="E1753">
        <v>2</v>
      </c>
      <c r="G1753">
        <f t="shared" si="54"/>
        <v>0</v>
      </c>
      <c r="H1753" s="3">
        <v>0.98</v>
      </c>
      <c r="I1753">
        <f t="shared" si="55"/>
        <v>0</v>
      </c>
      <c r="J1753" s="1">
        <v>45642</v>
      </c>
      <c r="K1753" t="s">
        <v>38</v>
      </c>
      <c r="L1753" t="s">
        <v>16</v>
      </c>
      <c r="M1753">
        <v>1778.54</v>
      </c>
    </row>
    <row r="1754" spans="1:13" x14ac:dyDescent="0.25">
      <c r="A1754">
        <v>2752</v>
      </c>
      <c r="B1754" t="s">
        <v>1782</v>
      </c>
      <c r="C1754" t="s">
        <v>25</v>
      </c>
      <c r="D1754" t="s">
        <v>51</v>
      </c>
      <c r="E1754">
        <v>2</v>
      </c>
      <c r="F1754">
        <v>4552.8</v>
      </c>
      <c r="G1754">
        <f t="shared" si="54"/>
        <v>9105.6</v>
      </c>
      <c r="H1754" s="3">
        <v>1.01</v>
      </c>
      <c r="I1754">
        <f t="shared" si="55"/>
        <v>-91.056000000000083</v>
      </c>
      <c r="K1754" t="s">
        <v>44</v>
      </c>
      <c r="L1754" t="s">
        <v>23</v>
      </c>
      <c r="M1754">
        <v>1802.91</v>
      </c>
    </row>
    <row r="1755" spans="1:13" x14ac:dyDescent="0.25">
      <c r="A1755">
        <v>1002</v>
      </c>
      <c r="B1755" t="s">
        <v>1783</v>
      </c>
      <c r="C1755" t="s">
        <v>13</v>
      </c>
      <c r="D1755" t="s">
        <v>34</v>
      </c>
      <c r="E1755">
        <v>-1</v>
      </c>
      <c r="F1755">
        <v>4351.1099999999997</v>
      </c>
      <c r="G1755">
        <f t="shared" si="54"/>
        <v>-4351.1099999999997</v>
      </c>
      <c r="I1755">
        <f t="shared" si="55"/>
        <v>-4351.1099999999997</v>
      </c>
      <c r="J1755" s="1">
        <v>45518</v>
      </c>
      <c r="K1755" t="s">
        <v>44</v>
      </c>
      <c r="L1755" t="s">
        <v>16</v>
      </c>
      <c r="M1755">
        <v>-190.68</v>
      </c>
    </row>
    <row r="1756" spans="1:13" x14ac:dyDescent="0.25">
      <c r="A1756">
        <v>2754</v>
      </c>
      <c r="B1756" t="s">
        <v>1784</v>
      </c>
      <c r="C1756" t="s">
        <v>13</v>
      </c>
      <c r="D1756" t="s">
        <v>47</v>
      </c>
      <c r="E1756">
        <v>1</v>
      </c>
      <c r="G1756">
        <f t="shared" si="54"/>
        <v>0</v>
      </c>
      <c r="I1756">
        <f t="shared" si="55"/>
        <v>0</v>
      </c>
      <c r="J1756" s="1">
        <v>45734</v>
      </c>
      <c r="K1756" t="s">
        <v>38</v>
      </c>
      <c r="L1756" t="s">
        <v>16</v>
      </c>
      <c r="M1756">
        <v>-0.15</v>
      </c>
    </row>
    <row r="1757" spans="1:13" x14ac:dyDescent="0.25">
      <c r="A1757">
        <v>2755</v>
      </c>
      <c r="B1757" t="s">
        <v>1785</v>
      </c>
      <c r="C1757" t="s">
        <v>28</v>
      </c>
      <c r="D1757" t="s">
        <v>116</v>
      </c>
      <c r="E1757">
        <v>-2</v>
      </c>
      <c r="G1757">
        <f t="shared" si="54"/>
        <v>0</v>
      </c>
      <c r="H1757" s="3">
        <v>0.32</v>
      </c>
      <c r="I1757">
        <f t="shared" si="55"/>
        <v>0</v>
      </c>
      <c r="J1757" s="1">
        <v>45199</v>
      </c>
      <c r="K1757" t="s">
        <v>15</v>
      </c>
      <c r="L1757" t="s">
        <v>23</v>
      </c>
      <c r="M1757">
        <v>1174.6400000000001</v>
      </c>
    </row>
    <row r="1758" spans="1:13" x14ac:dyDescent="0.25">
      <c r="A1758">
        <v>2756</v>
      </c>
      <c r="B1758" t="s">
        <v>1786</v>
      </c>
      <c r="C1758" t="s">
        <v>31</v>
      </c>
      <c r="D1758" t="s">
        <v>68</v>
      </c>
      <c r="E1758">
        <v>6</v>
      </c>
      <c r="G1758">
        <f t="shared" si="54"/>
        <v>0</v>
      </c>
      <c r="I1758">
        <f t="shared" si="55"/>
        <v>0</v>
      </c>
      <c r="J1758" s="1">
        <v>45566</v>
      </c>
      <c r="K1758" t="s">
        <v>44</v>
      </c>
      <c r="L1758" t="s">
        <v>16</v>
      </c>
      <c r="M1758">
        <v>813.53</v>
      </c>
    </row>
    <row r="1759" spans="1:13" x14ac:dyDescent="0.25">
      <c r="A1759">
        <v>2757</v>
      </c>
      <c r="B1759" t="s">
        <v>1787</v>
      </c>
      <c r="C1759" t="s">
        <v>28</v>
      </c>
      <c r="D1759" t="s">
        <v>137</v>
      </c>
      <c r="E1759">
        <v>3</v>
      </c>
      <c r="F1759">
        <v>4923.95</v>
      </c>
      <c r="G1759">
        <f t="shared" si="54"/>
        <v>14771.849999999999</v>
      </c>
      <c r="I1759">
        <f t="shared" si="55"/>
        <v>14771.849999999999</v>
      </c>
      <c r="J1759" s="1">
        <v>45794</v>
      </c>
      <c r="K1759" t="s">
        <v>44</v>
      </c>
      <c r="L1759" t="s">
        <v>23</v>
      </c>
      <c r="M1759">
        <v>794.65</v>
      </c>
    </row>
    <row r="1760" spans="1:13" x14ac:dyDescent="0.25">
      <c r="A1760">
        <v>1029</v>
      </c>
      <c r="B1760" t="s">
        <v>1788</v>
      </c>
      <c r="C1760" t="s">
        <v>31</v>
      </c>
      <c r="D1760" t="s">
        <v>42</v>
      </c>
      <c r="E1760">
        <v>2</v>
      </c>
      <c r="F1760">
        <v>2965.32</v>
      </c>
      <c r="G1760">
        <f t="shared" si="54"/>
        <v>5930.64</v>
      </c>
      <c r="I1760">
        <f t="shared" si="55"/>
        <v>5930.64</v>
      </c>
      <c r="K1760" t="s">
        <v>22</v>
      </c>
      <c r="L1760" t="s">
        <v>16</v>
      </c>
      <c r="M1760">
        <v>-786.53</v>
      </c>
    </row>
    <row r="1761" spans="1:13" x14ac:dyDescent="0.25">
      <c r="A1761">
        <v>2759</v>
      </c>
      <c r="B1761" t="s">
        <v>1789</v>
      </c>
      <c r="C1761" t="s">
        <v>25</v>
      </c>
      <c r="D1761" t="s">
        <v>82</v>
      </c>
      <c r="E1761">
        <v>2</v>
      </c>
      <c r="G1761">
        <f t="shared" si="54"/>
        <v>0</v>
      </c>
      <c r="H1761" s="3">
        <v>0.9</v>
      </c>
      <c r="I1761">
        <f t="shared" si="55"/>
        <v>0</v>
      </c>
      <c r="J1761" s="1">
        <v>45509</v>
      </c>
      <c r="K1761" t="s">
        <v>18</v>
      </c>
      <c r="L1761" t="s">
        <v>16</v>
      </c>
      <c r="M1761">
        <v>-300.89999999999998</v>
      </c>
    </row>
    <row r="1762" spans="1:13" x14ac:dyDescent="0.25">
      <c r="A1762">
        <v>2760</v>
      </c>
      <c r="B1762" t="s">
        <v>1790</v>
      </c>
      <c r="C1762" t="s">
        <v>25</v>
      </c>
      <c r="D1762" t="s">
        <v>62</v>
      </c>
      <c r="E1762">
        <v>2</v>
      </c>
      <c r="G1762">
        <f t="shared" si="54"/>
        <v>0</v>
      </c>
      <c r="I1762">
        <f t="shared" si="55"/>
        <v>0</v>
      </c>
      <c r="J1762" s="1">
        <v>45586</v>
      </c>
      <c r="K1762" t="s">
        <v>15</v>
      </c>
      <c r="L1762" t="s">
        <v>23</v>
      </c>
      <c r="M1762">
        <v>-833.77</v>
      </c>
    </row>
    <row r="1763" spans="1:13" x14ac:dyDescent="0.25">
      <c r="A1763">
        <v>2761</v>
      </c>
      <c r="B1763" t="s">
        <v>1791</v>
      </c>
      <c r="C1763" t="s">
        <v>36</v>
      </c>
      <c r="D1763" t="s">
        <v>55</v>
      </c>
      <c r="E1763">
        <v>2</v>
      </c>
      <c r="F1763">
        <v>3586.76</v>
      </c>
      <c r="G1763">
        <f t="shared" si="54"/>
        <v>7173.52</v>
      </c>
      <c r="I1763">
        <f t="shared" si="55"/>
        <v>7173.52</v>
      </c>
      <c r="J1763" s="1">
        <v>45752</v>
      </c>
      <c r="K1763" t="s">
        <v>44</v>
      </c>
      <c r="L1763" t="s">
        <v>16</v>
      </c>
      <c r="M1763">
        <v>594.95000000000005</v>
      </c>
    </row>
    <row r="1764" spans="1:13" x14ac:dyDescent="0.25">
      <c r="A1764">
        <v>2762</v>
      </c>
      <c r="B1764" t="s">
        <v>1792</v>
      </c>
      <c r="C1764" t="s">
        <v>36</v>
      </c>
      <c r="D1764" t="s">
        <v>59</v>
      </c>
      <c r="E1764">
        <v>2</v>
      </c>
      <c r="F1764">
        <v>1278.8499999999999</v>
      </c>
      <c r="G1764">
        <f t="shared" si="54"/>
        <v>2557.6999999999998</v>
      </c>
      <c r="I1764">
        <f t="shared" si="55"/>
        <v>2557.6999999999998</v>
      </c>
      <c r="J1764" s="1">
        <v>45670</v>
      </c>
      <c r="K1764" t="s">
        <v>2517</v>
      </c>
      <c r="L1764" t="s">
        <v>23</v>
      </c>
      <c r="M1764">
        <v>1989.71</v>
      </c>
    </row>
    <row r="1765" spans="1:13" x14ac:dyDescent="0.25">
      <c r="A1765">
        <v>2763</v>
      </c>
      <c r="B1765" t="s">
        <v>1793</v>
      </c>
      <c r="C1765" t="s">
        <v>28</v>
      </c>
      <c r="D1765" t="s">
        <v>137</v>
      </c>
      <c r="E1765">
        <v>3</v>
      </c>
      <c r="F1765">
        <v>3360.01</v>
      </c>
      <c r="G1765">
        <f t="shared" si="54"/>
        <v>10080.030000000001</v>
      </c>
      <c r="I1765">
        <f t="shared" si="55"/>
        <v>10080.030000000001</v>
      </c>
      <c r="K1765" t="s">
        <v>2517</v>
      </c>
      <c r="L1765" t="s">
        <v>16</v>
      </c>
      <c r="M1765">
        <v>1547.22</v>
      </c>
    </row>
    <row r="1766" spans="1:13" x14ac:dyDescent="0.25">
      <c r="A1766">
        <v>2764</v>
      </c>
      <c r="B1766" t="s">
        <v>1794</v>
      </c>
      <c r="C1766" t="s">
        <v>28</v>
      </c>
      <c r="D1766" t="s">
        <v>116</v>
      </c>
      <c r="E1766">
        <v>3</v>
      </c>
      <c r="G1766">
        <f t="shared" si="54"/>
        <v>0</v>
      </c>
      <c r="I1766">
        <f t="shared" si="55"/>
        <v>0</v>
      </c>
      <c r="J1766" s="1">
        <v>45593</v>
      </c>
      <c r="K1766" t="s">
        <v>18</v>
      </c>
      <c r="L1766" t="s">
        <v>23</v>
      </c>
      <c r="M1766">
        <v>2347.0700000000002</v>
      </c>
    </row>
    <row r="1767" spans="1:13" x14ac:dyDescent="0.25">
      <c r="A1767">
        <v>2765</v>
      </c>
      <c r="B1767" t="s">
        <v>1795</v>
      </c>
      <c r="C1767" t="s">
        <v>36</v>
      </c>
      <c r="D1767" t="s">
        <v>59</v>
      </c>
      <c r="E1767">
        <v>2</v>
      </c>
      <c r="G1767">
        <f t="shared" si="54"/>
        <v>0</v>
      </c>
      <c r="I1767">
        <f t="shared" si="55"/>
        <v>0</v>
      </c>
      <c r="J1767" s="1">
        <v>45834</v>
      </c>
      <c r="K1767" t="s">
        <v>44</v>
      </c>
      <c r="L1767" t="s">
        <v>16</v>
      </c>
      <c r="M1767">
        <v>2047.44</v>
      </c>
    </row>
    <row r="1768" spans="1:13" x14ac:dyDescent="0.25">
      <c r="A1768">
        <v>2766</v>
      </c>
      <c r="B1768" t="s">
        <v>1796</v>
      </c>
      <c r="C1768" t="s">
        <v>13</v>
      </c>
      <c r="D1768" t="s">
        <v>47</v>
      </c>
      <c r="E1768">
        <v>2</v>
      </c>
      <c r="G1768">
        <f t="shared" si="54"/>
        <v>0</v>
      </c>
      <c r="I1768">
        <f t="shared" si="55"/>
        <v>0</v>
      </c>
      <c r="J1768" s="1">
        <v>45530</v>
      </c>
      <c r="K1768" t="s">
        <v>44</v>
      </c>
      <c r="L1768" t="s">
        <v>16</v>
      </c>
      <c r="M1768">
        <v>621.85</v>
      </c>
    </row>
    <row r="1769" spans="1:13" x14ac:dyDescent="0.25">
      <c r="A1769">
        <v>2767</v>
      </c>
      <c r="B1769" t="s">
        <v>1797</v>
      </c>
      <c r="C1769" t="s">
        <v>31</v>
      </c>
      <c r="D1769" t="s">
        <v>68</v>
      </c>
      <c r="E1769">
        <v>2</v>
      </c>
      <c r="F1769">
        <v>4149.42</v>
      </c>
      <c r="G1769">
        <f t="shared" si="54"/>
        <v>8298.84</v>
      </c>
      <c r="H1769" s="3">
        <v>0.13</v>
      </c>
      <c r="I1769">
        <f t="shared" si="55"/>
        <v>7219.9908000000005</v>
      </c>
      <c r="K1769" t="s">
        <v>2517</v>
      </c>
      <c r="L1769" t="s">
        <v>23</v>
      </c>
      <c r="M1769">
        <v>1926.29</v>
      </c>
    </row>
    <row r="1770" spans="1:13" x14ac:dyDescent="0.25">
      <c r="A1770">
        <v>2768</v>
      </c>
      <c r="B1770" t="s">
        <v>1798</v>
      </c>
      <c r="C1770" t="s">
        <v>31</v>
      </c>
      <c r="D1770" t="s">
        <v>42</v>
      </c>
      <c r="E1770">
        <v>2</v>
      </c>
      <c r="G1770">
        <f t="shared" si="54"/>
        <v>0</v>
      </c>
      <c r="H1770" s="3">
        <v>0.69</v>
      </c>
      <c r="I1770">
        <f t="shared" si="55"/>
        <v>0</v>
      </c>
      <c r="J1770" s="1">
        <v>45822</v>
      </c>
      <c r="K1770" t="s">
        <v>44</v>
      </c>
      <c r="L1770" t="s">
        <v>16</v>
      </c>
      <c r="M1770">
        <v>465.45</v>
      </c>
    </row>
    <row r="1771" spans="1:13" x14ac:dyDescent="0.25">
      <c r="A1771">
        <v>2769</v>
      </c>
      <c r="B1771" t="s">
        <v>1799</v>
      </c>
      <c r="C1771" t="s">
        <v>31</v>
      </c>
      <c r="D1771" t="s">
        <v>78</v>
      </c>
      <c r="E1771">
        <v>2</v>
      </c>
      <c r="G1771">
        <f t="shared" si="54"/>
        <v>0</v>
      </c>
      <c r="I1771">
        <f t="shared" si="55"/>
        <v>0</v>
      </c>
      <c r="J1771" s="1">
        <v>45690</v>
      </c>
      <c r="K1771" t="s">
        <v>18</v>
      </c>
      <c r="L1771" t="s">
        <v>23</v>
      </c>
      <c r="M1771">
        <v>2102.88</v>
      </c>
    </row>
    <row r="1772" spans="1:13" x14ac:dyDescent="0.25">
      <c r="A1772">
        <v>2770</v>
      </c>
      <c r="B1772" t="s">
        <v>1800</v>
      </c>
      <c r="C1772" t="s">
        <v>31</v>
      </c>
      <c r="D1772" t="s">
        <v>68</v>
      </c>
      <c r="E1772">
        <v>2</v>
      </c>
      <c r="F1772">
        <v>1439.18</v>
      </c>
      <c r="G1772">
        <f t="shared" si="54"/>
        <v>2878.36</v>
      </c>
      <c r="H1772" s="3">
        <v>0.49</v>
      </c>
      <c r="I1772">
        <f t="shared" si="55"/>
        <v>1467.9636</v>
      </c>
      <c r="J1772" s="1">
        <v>45760</v>
      </c>
      <c r="K1772" t="s">
        <v>44</v>
      </c>
      <c r="L1772" t="s">
        <v>16</v>
      </c>
      <c r="M1772">
        <v>2007.56</v>
      </c>
    </row>
    <row r="1773" spans="1:13" x14ac:dyDescent="0.25">
      <c r="A1773">
        <v>1032</v>
      </c>
      <c r="B1773" t="s">
        <v>1801</v>
      </c>
      <c r="C1773" t="s">
        <v>25</v>
      </c>
      <c r="D1773" t="s">
        <v>26</v>
      </c>
      <c r="E1773">
        <v>2</v>
      </c>
      <c r="F1773">
        <v>3956.83</v>
      </c>
      <c r="G1773">
        <f t="shared" si="54"/>
        <v>7913.66</v>
      </c>
      <c r="I1773">
        <f t="shared" si="55"/>
        <v>7913.66</v>
      </c>
      <c r="J1773" s="1">
        <v>45620</v>
      </c>
      <c r="K1773" t="s">
        <v>2517</v>
      </c>
      <c r="L1773" t="s">
        <v>23</v>
      </c>
      <c r="M1773">
        <v>1061.44</v>
      </c>
    </row>
    <row r="1774" spans="1:13" x14ac:dyDescent="0.25">
      <c r="A1774">
        <v>2772</v>
      </c>
      <c r="B1774" t="s">
        <v>1802</v>
      </c>
      <c r="C1774" t="s">
        <v>13</v>
      </c>
      <c r="D1774" t="s">
        <v>98</v>
      </c>
      <c r="E1774">
        <v>2</v>
      </c>
      <c r="G1774">
        <f t="shared" si="54"/>
        <v>0</v>
      </c>
      <c r="I1774">
        <f t="shared" si="55"/>
        <v>0</v>
      </c>
      <c r="J1774" s="1">
        <v>45342</v>
      </c>
      <c r="K1774" t="s">
        <v>2517</v>
      </c>
      <c r="L1774" t="s">
        <v>23</v>
      </c>
      <c r="M1774">
        <v>-865.59</v>
      </c>
    </row>
    <row r="1775" spans="1:13" x14ac:dyDescent="0.25">
      <c r="A1775">
        <v>2773</v>
      </c>
      <c r="B1775" t="s">
        <v>1803</v>
      </c>
      <c r="C1775" t="s">
        <v>20</v>
      </c>
      <c r="D1775" t="s">
        <v>76</v>
      </c>
      <c r="E1775">
        <v>2</v>
      </c>
      <c r="G1775">
        <f t="shared" si="54"/>
        <v>0</v>
      </c>
      <c r="I1775">
        <f t="shared" si="55"/>
        <v>0</v>
      </c>
      <c r="K1775" t="s">
        <v>18</v>
      </c>
      <c r="L1775" t="s">
        <v>16</v>
      </c>
      <c r="M1775">
        <v>1944.87</v>
      </c>
    </row>
    <row r="1776" spans="1:13" x14ac:dyDescent="0.25">
      <c r="A1776">
        <v>2774</v>
      </c>
      <c r="B1776" t="s">
        <v>1804</v>
      </c>
      <c r="C1776" t="s">
        <v>28</v>
      </c>
      <c r="D1776" t="s">
        <v>40</v>
      </c>
      <c r="E1776">
        <v>2</v>
      </c>
      <c r="G1776">
        <f t="shared" si="54"/>
        <v>0</v>
      </c>
      <c r="I1776">
        <f t="shared" si="55"/>
        <v>0</v>
      </c>
      <c r="J1776" s="1">
        <v>45497</v>
      </c>
      <c r="K1776" t="s">
        <v>22</v>
      </c>
      <c r="L1776" t="s">
        <v>16</v>
      </c>
      <c r="M1776">
        <v>1081.4100000000001</v>
      </c>
    </row>
    <row r="1777" spans="1:13" x14ac:dyDescent="0.25">
      <c r="A1777">
        <v>2775</v>
      </c>
      <c r="B1777" t="s">
        <v>1805</v>
      </c>
      <c r="C1777" t="s">
        <v>25</v>
      </c>
      <c r="D1777" t="s">
        <v>51</v>
      </c>
      <c r="E1777">
        <v>5</v>
      </c>
      <c r="G1777">
        <f t="shared" si="54"/>
        <v>0</v>
      </c>
      <c r="H1777" s="3">
        <v>0.46</v>
      </c>
      <c r="I1777">
        <f t="shared" si="55"/>
        <v>0</v>
      </c>
      <c r="J1777" s="1">
        <v>45504</v>
      </c>
      <c r="K1777" t="s">
        <v>18</v>
      </c>
      <c r="L1777" t="s">
        <v>23</v>
      </c>
      <c r="M1777">
        <v>1182.1199999999999</v>
      </c>
    </row>
    <row r="1778" spans="1:13" x14ac:dyDescent="0.25">
      <c r="A1778">
        <v>2776</v>
      </c>
      <c r="B1778" t="s">
        <v>1806</v>
      </c>
      <c r="C1778" t="s">
        <v>20</v>
      </c>
      <c r="D1778" t="s">
        <v>118</v>
      </c>
      <c r="E1778">
        <v>2</v>
      </c>
      <c r="F1778">
        <v>891.42</v>
      </c>
      <c r="G1778">
        <f t="shared" si="54"/>
        <v>1782.84</v>
      </c>
      <c r="I1778">
        <f t="shared" si="55"/>
        <v>1782.84</v>
      </c>
      <c r="J1778" s="1">
        <v>45617</v>
      </c>
      <c r="K1778" t="s">
        <v>22</v>
      </c>
      <c r="L1778" t="s">
        <v>16</v>
      </c>
      <c r="M1778">
        <v>664.02</v>
      </c>
    </row>
    <row r="1779" spans="1:13" x14ac:dyDescent="0.25">
      <c r="A1779">
        <v>2777</v>
      </c>
      <c r="B1779" t="s">
        <v>1807</v>
      </c>
      <c r="C1779" t="s">
        <v>25</v>
      </c>
      <c r="D1779" t="s">
        <v>51</v>
      </c>
      <c r="E1779">
        <v>2</v>
      </c>
      <c r="G1779">
        <f t="shared" si="54"/>
        <v>0</v>
      </c>
      <c r="H1779" s="3">
        <v>0.42</v>
      </c>
      <c r="I1779">
        <f t="shared" si="55"/>
        <v>0</v>
      </c>
      <c r="J1779" s="1">
        <v>45638</v>
      </c>
      <c r="K1779" t="s">
        <v>44</v>
      </c>
      <c r="L1779" t="s">
        <v>23</v>
      </c>
      <c r="M1779">
        <v>1373.67</v>
      </c>
    </row>
    <row r="1780" spans="1:13" x14ac:dyDescent="0.25">
      <c r="A1780">
        <v>2778</v>
      </c>
      <c r="B1780" t="s">
        <v>1808</v>
      </c>
      <c r="C1780" t="s">
        <v>36</v>
      </c>
      <c r="D1780" t="s">
        <v>59</v>
      </c>
      <c r="E1780">
        <v>0</v>
      </c>
      <c r="F1780">
        <v>578.58000000000004</v>
      </c>
      <c r="G1780">
        <f t="shared" si="54"/>
        <v>0</v>
      </c>
      <c r="H1780" s="3">
        <v>1.0900000000000001</v>
      </c>
      <c r="I1780">
        <f t="shared" si="55"/>
        <v>0</v>
      </c>
      <c r="J1780" s="1">
        <v>45671</v>
      </c>
      <c r="K1780" t="s">
        <v>18</v>
      </c>
      <c r="L1780" t="s">
        <v>16</v>
      </c>
      <c r="M1780">
        <v>414.18</v>
      </c>
    </row>
    <row r="1781" spans="1:13" x14ac:dyDescent="0.25">
      <c r="A1781">
        <v>2779</v>
      </c>
      <c r="B1781" t="s">
        <v>1809</v>
      </c>
      <c r="C1781" t="s">
        <v>31</v>
      </c>
      <c r="D1781" t="s">
        <v>32</v>
      </c>
      <c r="E1781">
        <v>2</v>
      </c>
      <c r="G1781">
        <f t="shared" si="54"/>
        <v>0</v>
      </c>
      <c r="H1781" s="3">
        <v>0.4</v>
      </c>
      <c r="I1781">
        <f t="shared" si="55"/>
        <v>0</v>
      </c>
      <c r="J1781" s="1">
        <v>45774</v>
      </c>
      <c r="K1781" t="s">
        <v>44</v>
      </c>
      <c r="L1781" t="s">
        <v>16</v>
      </c>
      <c r="M1781">
        <v>2573.85</v>
      </c>
    </row>
    <row r="1782" spans="1:13" x14ac:dyDescent="0.25">
      <c r="A1782">
        <v>2780</v>
      </c>
      <c r="B1782" t="s">
        <v>1810</v>
      </c>
      <c r="C1782" t="s">
        <v>36</v>
      </c>
      <c r="D1782" t="s">
        <v>37</v>
      </c>
      <c r="E1782">
        <v>2</v>
      </c>
      <c r="F1782">
        <v>2534.9</v>
      </c>
      <c r="G1782">
        <f t="shared" si="54"/>
        <v>5069.8</v>
      </c>
      <c r="I1782">
        <f t="shared" si="55"/>
        <v>5069.8</v>
      </c>
      <c r="J1782" s="1">
        <v>45781</v>
      </c>
      <c r="K1782" t="s">
        <v>18</v>
      </c>
      <c r="L1782" t="s">
        <v>23</v>
      </c>
      <c r="M1782">
        <v>1529.17</v>
      </c>
    </row>
    <row r="1783" spans="1:13" x14ac:dyDescent="0.25">
      <c r="A1783">
        <v>2781</v>
      </c>
      <c r="B1783" t="s">
        <v>1811</v>
      </c>
      <c r="C1783" t="s">
        <v>13</v>
      </c>
      <c r="D1783" t="s">
        <v>47</v>
      </c>
      <c r="E1783">
        <v>2</v>
      </c>
      <c r="G1783">
        <f t="shared" si="54"/>
        <v>0</v>
      </c>
      <c r="H1783" s="3">
        <v>1.07</v>
      </c>
      <c r="I1783">
        <f t="shared" si="55"/>
        <v>0</v>
      </c>
      <c r="J1783" s="1">
        <v>45780</v>
      </c>
      <c r="K1783" t="s">
        <v>18</v>
      </c>
      <c r="L1783" t="s">
        <v>16</v>
      </c>
      <c r="M1783">
        <v>1947.29</v>
      </c>
    </row>
    <row r="1784" spans="1:13" x14ac:dyDescent="0.25">
      <c r="A1784">
        <v>2782</v>
      </c>
      <c r="B1784" t="s">
        <v>1812</v>
      </c>
      <c r="C1784" t="s">
        <v>13</v>
      </c>
      <c r="D1784" t="s">
        <v>98</v>
      </c>
      <c r="E1784">
        <v>2</v>
      </c>
      <c r="F1784">
        <v>449.09</v>
      </c>
      <c r="G1784">
        <f t="shared" si="54"/>
        <v>898.18</v>
      </c>
      <c r="I1784">
        <f t="shared" si="55"/>
        <v>898.18</v>
      </c>
      <c r="K1784" t="s">
        <v>22</v>
      </c>
      <c r="L1784" t="s">
        <v>16</v>
      </c>
      <c r="M1784">
        <v>2797.37</v>
      </c>
    </row>
    <row r="1785" spans="1:13" x14ac:dyDescent="0.25">
      <c r="A1785">
        <v>2783</v>
      </c>
      <c r="B1785" t="s">
        <v>1813</v>
      </c>
      <c r="C1785" t="s">
        <v>28</v>
      </c>
      <c r="D1785" t="s">
        <v>29</v>
      </c>
      <c r="E1785">
        <v>2</v>
      </c>
      <c r="G1785">
        <f t="shared" si="54"/>
        <v>0</v>
      </c>
      <c r="I1785">
        <f t="shared" si="55"/>
        <v>0</v>
      </c>
      <c r="J1785" s="1">
        <v>45547</v>
      </c>
      <c r="K1785" t="s">
        <v>22</v>
      </c>
      <c r="L1785" t="s">
        <v>16</v>
      </c>
      <c r="M1785">
        <v>45.06</v>
      </c>
    </row>
    <row r="1786" spans="1:13" x14ac:dyDescent="0.25">
      <c r="A1786">
        <v>2784</v>
      </c>
      <c r="B1786" t="s">
        <v>1814</v>
      </c>
      <c r="C1786" t="s">
        <v>20</v>
      </c>
      <c r="D1786" t="s">
        <v>76</v>
      </c>
      <c r="E1786">
        <v>2</v>
      </c>
      <c r="G1786">
        <f t="shared" si="54"/>
        <v>0</v>
      </c>
      <c r="I1786">
        <f t="shared" si="55"/>
        <v>0</v>
      </c>
      <c r="J1786" s="1">
        <v>45660</v>
      </c>
      <c r="K1786" t="s">
        <v>44</v>
      </c>
      <c r="L1786" t="s">
        <v>16</v>
      </c>
      <c r="M1786">
        <v>2921.6</v>
      </c>
    </row>
    <row r="1787" spans="1:13" x14ac:dyDescent="0.25">
      <c r="A1787">
        <v>2785</v>
      </c>
      <c r="B1787" t="s">
        <v>1815</v>
      </c>
      <c r="C1787" t="s">
        <v>25</v>
      </c>
      <c r="D1787" t="s">
        <v>51</v>
      </c>
      <c r="E1787">
        <v>0</v>
      </c>
      <c r="G1787">
        <f t="shared" si="54"/>
        <v>0</v>
      </c>
      <c r="I1787">
        <f t="shared" si="55"/>
        <v>0</v>
      </c>
      <c r="J1787" s="1">
        <v>45569</v>
      </c>
      <c r="K1787" t="s">
        <v>22</v>
      </c>
      <c r="L1787" t="s">
        <v>16</v>
      </c>
      <c r="M1787">
        <v>385.61</v>
      </c>
    </row>
    <row r="1788" spans="1:13" x14ac:dyDescent="0.25">
      <c r="A1788">
        <v>1026</v>
      </c>
      <c r="B1788" t="s">
        <v>1816</v>
      </c>
      <c r="C1788" t="s">
        <v>20</v>
      </c>
      <c r="D1788" t="s">
        <v>84</v>
      </c>
      <c r="E1788">
        <v>2</v>
      </c>
      <c r="G1788">
        <f t="shared" si="54"/>
        <v>0</v>
      </c>
      <c r="H1788" s="3">
        <v>0.03</v>
      </c>
      <c r="I1788">
        <f t="shared" si="55"/>
        <v>0</v>
      </c>
      <c r="J1788" s="1">
        <v>45561</v>
      </c>
      <c r="K1788" t="s">
        <v>15</v>
      </c>
      <c r="L1788" t="s">
        <v>16</v>
      </c>
      <c r="M1788">
        <v>688.48</v>
      </c>
    </row>
    <row r="1789" spans="1:13" x14ac:dyDescent="0.25">
      <c r="A1789">
        <v>2787</v>
      </c>
      <c r="B1789" t="s">
        <v>1817</v>
      </c>
      <c r="C1789" t="s">
        <v>28</v>
      </c>
      <c r="D1789" t="s">
        <v>137</v>
      </c>
      <c r="E1789">
        <v>2</v>
      </c>
      <c r="G1789">
        <f t="shared" si="54"/>
        <v>0</v>
      </c>
      <c r="I1789">
        <f t="shared" si="55"/>
        <v>0</v>
      </c>
      <c r="K1789" t="s">
        <v>2517</v>
      </c>
      <c r="L1789" t="s">
        <v>16</v>
      </c>
      <c r="M1789">
        <v>1459.62</v>
      </c>
    </row>
    <row r="1790" spans="1:13" x14ac:dyDescent="0.25">
      <c r="A1790">
        <v>2788</v>
      </c>
      <c r="B1790" t="s">
        <v>1818</v>
      </c>
      <c r="C1790" t="s">
        <v>28</v>
      </c>
      <c r="D1790" t="s">
        <v>40</v>
      </c>
      <c r="E1790">
        <v>-1</v>
      </c>
      <c r="F1790">
        <v>3267.28</v>
      </c>
      <c r="G1790">
        <f t="shared" si="54"/>
        <v>-3267.28</v>
      </c>
      <c r="I1790">
        <f t="shared" si="55"/>
        <v>-3267.28</v>
      </c>
      <c r="J1790" s="1">
        <v>45742</v>
      </c>
      <c r="K1790" t="s">
        <v>38</v>
      </c>
      <c r="L1790" t="s">
        <v>23</v>
      </c>
      <c r="M1790">
        <v>81.99</v>
      </c>
    </row>
    <row r="1791" spans="1:13" x14ac:dyDescent="0.25">
      <c r="A1791">
        <v>2789</v>
      </c>
      <c r="B1791" t="s">
        <v>1819</v>
      </c>
      <c r="C1791" t="s">
        <v>28</v>
      </c>
      <c r="D1791" t="s">
        <v>29</v>
      </c>
      <c r="E1791">
        <v>3</v>
      </c>
      <c r="F1791">
        <v>3735.56</v>
      </c>
      <c r="G1791">
        <f t="shared" si="54"/>
        <v>11206.68</v>
      </c>
      <c r="I1791">
        <f t="shared" si="55"/>
        <v>11206.68</v>
      </c>
      <c r="K1791" t="s">
        <v>44</v>
      </c>
      <c r="L1791" t="s">
        <v>16</v>
      </c>
      <c r="M1791">
        <v>-690.11</v>
      </c>
    </row>
    <row r="1792" spans="1:13" x14ac:dyDescent="0.25">
      <c r="A1792">
        <v>2790</v>
      </c>
      <c r="B1792" t="s">
        <v>1820</v>
      </c>
      <c r="C1792" t="s">
        <v>13</v>
      </c>
      <c r="D1792" t="s">
        <v>34</v>
      </c>
      <c r="E1792">
        <v>3</v>
      </c>
      <c r="F1792">
        <v>2675.27</v>
      </c>
      <c r="G1792">
        <f t="shared" si="54"/>
        <v>8025.8099999999995</v>
      </c>
      <c r="H1792" s="3">
        <v>0.41</v>
      </c>
      <c r="I1792">
        <f t="shared" si="55"/>
        <v>4735.2279000000008</v>
      </c>
      <c r="J1792" s="1">
        <v>45605</v>
      </c>
      <c r="K1792" t="s">
        <v>15</v>
      </c>
      <c r="L1792" t="s">
        <v>23</v>
      </c>
      <c r="M1792">
        <v>1960.51</v>
      </c>
    </row>
    <row r="1793" spans="1:13" x14ac:dyDescent="0.25">
      <c r="A1793">
        <v>2791</v>
      </c>
      <c r="B1793" t="s">
        <v>1821</v>
      </c>
      <c r="C1793" t="s">
        <v>31</v>
      </c>
      <c r="D1793" t="s">
        <v>68</v>
      </c>
      <c r="E1793">
        <v>3</v>
      </c>
      <c r="G1793">
        <f t="shared" si="54"/>
        <v>0</v>
      </c>
      <c r="I1793">
        <f t="shared" si="55"/>
        <v>0</v>
      </c>
      <c r="J1793" s="1">
        <v>45604</v>
      </c>
      <c r="K1793" t="s">
        <v>44</v>
      </c>
      <c r="L1793" t="s">
        <v>16</v>
      </c>
      <c r="M1793">
        <v>-166.3</v>
      </c>
    </row>
    <row r="1794" spans="1:13" x14ac:dyDescent="0.25">
      <c r="A1794">
        <v>2792</v>
      </c>
      <c r="B1794" t="s">
        <v>1822</v>
      </c>
      <c r="C1794" t="s">
        <v>31</v>
      </c>
      <c r="D1794" t="s">
        <v>78</v>
      </c>
      <c r="E1794">
        <v>2</v>
      </c>
      <c r="F1794">
        <v>1039.1500000000001</v>
      </c>
      <c r="G1794">
        <f t="shared" si="54"/>
        <v>2078.3000000000002</v>
      </c>
      <c r="I1794">
        <f t="shared" si="55"/>
        <v>2078.3000000000002</v>
      </c>
      <c r="K1794" t="s">
        <v>44</v>
      </c>
      <c r="L1794" t="s">
        <v>16</v>
      </c>
      <c r="M1794">
        <v>2620.13</v>
      </c>
    </row>
    <row r="1795" spans="1:13" x14ac:dyDescent="0.25">
      <c r="A1795">
        <v>2793</v>
      </c>
      <c r="B1795" t="s">
        <v>1823</v>
      </c>
      <c r="C1795" t="s">
        <v>28</v>
      </c>
      <c r="D1795" t="s">
        <v>29</v>
      </c>
      <c r="E1795">
        <v>-2</v>
      </c>
      <c r="F1795">
        <v>4836.47</v>
      </c>
      <c r="G1795">
        <f t="shared" ref="G1795:G1858" si="56">F1795*E1795</f>
        <v>-9672.94</v>
      </c>
      <c r="I1795">
        <f t="shared" ref="I1795:I1858" si="57">G1795*(1-H1795)</f>
        <v>-9672.94</v>
      </c>
      <c r="J1795" s="1">
        <v>45735</v>
      </c>
      <c r="K1795" t="s">
        <v>18</v>
      </c>
      <c r="L1795" t="s">
        <v>16</v>
      </c>
      <c r="M1795">
        <v>-608.29999999999995</v>
      </c>
    </row>
    <row r="1796" spans="1:13" x14ac:dyDescent="0.25">
      <c r="A1796">
        <v>2794</v>
      </c>
      <c r="B1796" t="s">
        <v>1824</v>
      </c>
      <c r="C1796" t="s">
        <v>36</v>
      </c>
      <c r="D1796" t="s">
        <v>87</v>
      </c>
      <c r="E1796">
        <v>2</v>
      </c>
      <c r="G1796">
        <f t="shared" si="56"/>
        <v>0</v>
      </c>
      <c r="I1796">
        <f t="shared" si="57"/>
        <v>0</v>
      </c>
      <c r="J1796" s="1">
        <v>45685</v>
      </c>
      <c r="K1796" t="s">
        <v>38</v>
      </c>
      <c r="L1796" t="s">
        <v>16</v>
      </c>
      <c r="M1796">
        <v>2860.66</v>
      </c>
    </row>
    <row r="1797" spans="1:13" x14ac:dyDescent="0.25">
      <c r="A1797">
        <v>2795</v>
      </c>
      <c r="B1797" t="s">
        <v>1825</v>
      </c>
      <c r="C1797" t="s">
        <v>13</v>
      </c>
      <c r="D1797" t="s">
        <v>34</v>
      </c>
      <c r="E1797">
        <v>2</v>
      </c>
      <c r="G1797">
        <f t="shared" si="56"/>
        <v>0</v>
      </c>
      <c r="I1797">
        <f t="shared" si="57"/>
        <v>0</v>
      </c>
      <c r="K1797" t="s">
        <v>22</v>
      </c>
      <c r="L1797" t="s">
        <v>16</v>
      </c>
      <c r="M1797">
        <v>984.22</v>
      </c>
    </row>
    <row r="1798" spans="1:13" x14ac:dyDescent="0.25">
      <c r="A1798">
        <v>2796</v>
      </c>
      <c r="B1798" t="s">
        <v>1826</v>
      </c>
      <c r="C1798" t="s">
        <v>20</v>
      </c>
      <c r="D1798" t="s">
        <v>21</v>
      </c>
      <c r="E1798">
        <v>3</v>
      </c>
      <c r="G1798">
        <f t="shared" si="56"/>
        <v>0</v>
      </c>
      <c r="I1798">
        <f t="shared" si="57"/>
        <v>0</v>
      </c>
      <c r="K1798" t="s">
        <v>15</v>
      </c>
      <c r="L1798" t="s">
        <v>16</v>
      </c>
      <c r="M1798">
        <v>2.81</v>
      </c>
    </row>
    <row r="1799" spans="1:13" x14ac:dyDescent="0.25">
      <c r="A1799">
        <v>2797</v>
      </c>
      <c r="B1799" t="s">
        <v>1827</v>
      </c>
      <c r="C1799" t="s">
        <v>28</v>
      </c>
      <c r="D1799" t="s">
        <v>29</v>
      </c>
      <c r="E1799">
        <v>-1</v>
      </c>
      <c r="F1799">
        <v>1257.81</v>
      </c>
      <c r="G1799">
        <f t="shared" si="56"/>
        <v>-1257.81</v>
      </c>
      <c r="I1799">
        <f t="shared" si="57"/>
        <v>-1257.81</v>
      </c>
      <c r="J1799" s="1">
        <v>45796</v>
      </c>
      <c r="K1799" t="s">
        <v>18</v>
      </c>
      <c r="L1799" t="s">
        <v>16</v>
      </c>
      <c r="M1799">
        <v>2957.6</v>
      </c>
    </row>
    <row r="1800" spans="1:13" x14ac:dyDescent="0.25">
      <c r="A1800">
        <v>2798</v>
      </c>
      <c r="B1800" t="s">
        <v>1828</v>
      </c>
      <c r="C1800" t="s">
        <v>36</v>
      </c>
      <c r="D1800" t="s">
        <v>59</v>
      </c>
      <c r="E1800">
        <v>0</v>
      </c>
      <c r="G1800">
        <f t="shared" si="56"/>
        <v>0</v>
      </c>
      <c r="I1800">
        <f t="shared" si="57"/>
        <v>0</v>
      </c>
      <c r="J1800" s="1">
        <v>45731</v>
      </c>
      <c r="K1800" t="s">
        <v>44</v>
      </c>
      <c r="L1800" t="s">
        <v>16</v>
      </c>
      <c r="M1800">
        <v>386.97</v>
      </c>
    </row>
    <row r="1801" spans="1:13" x14ac:dyDescent="0.25">
      <c r="A1801">
        <v>2799</v>
      </c>
      <c r="B1801" t="s">
        <v>1829</v>
      </c>
      <c r="C1801" t="s">
        <v>31</v>
      </c>
      <c r="D1801" t="s">
        <v>68</v>
      </c>
      <c r="E1801">
        <v>2</v>
      </c>
      <c r="G1801">
        <f t="shared" si="56"/>
        <v>0</v>
      </c>
      <c r="I1801">
        <f t="shared" si="57"/>
        <v>0</v>
      </c>
      <c r="J1801" s="1">
        <v>45735</v>
      </c>
      <c r="K1801" t="s">
        <v>44</v>
      </c>
      <c r="L1801" t="s">
        <v>16</v>
      </c>
      <c r="M1801">
        <v>683.04</v>
      </c>
    </row>
    <row r="1802" spans="1:13" x14ac:dyDescent="0.25">
      <c r="A1802">
        <v>2800</v>
      </c>
      <c r="B1802" t="s">
        <v>1830</v>
      </c>
      <c r="C1802" t="s">
        <v>13</v>
      </c>
      <c r="D1802" t="s">
        <v>34</v>
      </c>
      <c r="E1802">
        <v>2</v>
      </c>
      <c r="F1802">
        <v>3410.38</v>
      </c>
      <c r="G1802">
        <f t="shared" si="56"/>
        <v>6820.76</v>
      </c>
      <c r="I1802">
        <f t="shared" si="57"/>
        <v>6820.76</v>
      </c>
      <c r="J1802" s="1">
        <v>45539</v>
      </c>
      <c r="K1802" t="s">
        <v>2517</v>
      </c>
      <c r="L1802" t="s">
        <v>16</v>
      </c>
      <c r="M1802">
        <v>1733.81</v>
      </c>
    </row>
    <row r="1803" spans="1:13" x14ac:dyDescent="0.25">
      <c r="A1803">
        <v>2801</v>
      </c>
      <c r="B1803" t="s">
        <v>1831</v>
      </c>
      <c r="C1803" t="s">
        <v>28</v>
      </c>
      <c r="D1803" t="s">
        <v>116</v>
      </c>
      <c r="E1803">
        <v>2</v>
      </c>
      <c r="F1803">
        <v>1870.82</v>
      </c>
      <c r="G1803">
        <f t="shared" si="56"/>
        <v>3741.64</v>
      </c>
      <c r="I1803">
        <f t="shared" si="57"/>
        <v>3741.64</v>
      </c>
      <c r="K1803" t="s">
        <v>18</v>
      </c>
      <c r="L1803" t="s">
        <v>16</v>
      </c>
      <c r="M1803">
        <v>-45.08</v>
      </c>
    </row>
    <row r="1804" spans="1:13" x14ac:dyDescent="0.25">
      <c r="A1804">
        <v>2802</v>
      </c>
      <c r="B1804" t="s">
        <v>1832</v>
      </c>
      <c r="C1804" t="s">
        <v>25</v>
      </c>
      <c r="D1804" t="s">
        <v>51</v>
      </c>
      <c r="E1804">
        <v>-1</v>
      </c>
      <c r="G1804">
        <f t="shared" si="56"/>
        <v>0</v>
      </c>
      <c r="I1804">
        <f t="shared" si="57"/>
        <v>0</v>
      </c>
      <c r="K1804" t="s">
        <v>38</v>
      </c>
      <c r="L1804" t="s">
        <v>16</v>
      </c>
      <c r="M1804">
        <v>365.63</v>
      </c>
    </row>
    <row r="1805" spans="1:13" x14ac:dyDescent="0.25">
      <c r="A1805">
        <v>2803</v>
      </c>
      <c r="B1805" t="s">
        <v>1833</v>
      </c>
      <c r="C1805" t="s">
        <v>31</v>
      </c>
      <c r="D1805" t="s">
        <v>32</v>
      </c>
      <c r="E1805">
        <v>5</v>
      </c>
      <c r="F1805">
        <v>4418.75</v>
      </c>
      <c r="G1805">
        <f t="shared" si="56"/>
        <v>22093.75</v>
      </c>
      <c r="I1805">
        <f t="shared" si="57"/>
        <v>22093.75</v>
      </c>
      <c r="J1805" s="1">
        <v>45151</v>
      </c>
      <c r="K1805" t="s">
        <v>38</v>
      </c>
      <c r="L1805" t="s">
        <v>16</v>
      </c>
      <c r="M1805">
        <v>693.65</v>
      </c>
    </row>
    <row r="1806" spans="1:13" x14ac:dyDescent="0.25">
      <c r="A1806">
        <v>2804</v>
      </c>
      <c r="B1806" t="s">
        <v>1834</v>
      </c>
      <c r="C1806" t="s">
        <v>28</v>
      </c>
      <c r="D1806" t="s">
        <v>40</v>
      </c>
      <c r="E1806">
        <v>6</v>
      </c>
      <c r="F1806">
        <v>4784</v>
      </c>
      <c r="G1806">
        <f t="shared" si="56"/>
        <v>28704</v>
      </c>
      <c r="I1806">
        <f t="shared" si="57"/>
        <v>28704</v>
      </c>
      <c r="J1806" s="1">
        <v>45732</v>
      </c>
      <c r="K1806" t="s">
        <v>22</v>
      </c>
      <c r="L1806" t="s">
        <v>23</v>
      </c>
      <c r="M1806">
        <v>2969.42</v>
      </c>
    </row>
    <row r="1807" spans="1:13" x14ac:dyDescent="0.25">
      <c r="A1807">
        <v>2805</v>
      </c>
      <c r="B1807" t="s">
        <v>1835</v>
      </c>
      <c r="C1807" t="s">
        <v>25</v>
      </c>
      <c r="D1807" t="s">
        <v>62</v>
      </c>
      <c r="E1807">
        <v>0</v>
      </c>
      <c r="F1807">
        <v>4930.08</v>
      </c>
      <c r="G1807">
        <f t="shared" si="56"/>
        <v>0</v>
      </c>
      <c r="H1807" s="3">
        <v>0.92</v>
      </c>
      <c r="I1807">
        <f t="shared" si="57"/>
        <v>0</v>
      </c>
      <c r="J1807" s="1">
        <v>45801</v>
      </c>
      <c r="K1807" t="s">
        <v>38</v>
      </c>
      <c r="L1807" t="s">
        <v>23</v>
      </c>
      <c r="M1807">
        <v>623.04999999999995</v>
      </c>
    </row>
    <row r="1808" spans="1:13" x14ac:dyDescent="0.25">
      <c r="A1808">
        <v>2806</v>
      </c>
      <c r="B1808" t="s">
        <v>1836</v>
      </c>
      <c r="C1808" t="s">
        <v>13</v>
      </c>
      <c r="D1808" t="s">
        <v>34</v>
      </c>
      <c r="E1808">
        <v>2</v>
      </c>
      <c r="G1808">
        <f t="shared" si="56"/>
        <v>0</v>
      </c>
      <c r="I1808">
        <f t="shared" si="57"/>
        <v>0</v>
      </c>
      <c r="J1808" s="1">
        <v>45569</v>
      </c>
      <c r="K1808" t="s">
        <v>38</v>
      </c>
      <c r="L1808" t="s">
        <v>16</v>
      </c>
      <c r="M1808">
        <v>2658.95</v>
      </c>
    </row>
    <row r="1809" spans="1:13" x14ac:dyDescent="0.25">
      <c r="A1809">
        <v>2807</v>
      </c>
      <c r="B1809" t="s">
        <v>1837</v>
      </c>
      <c r="C1809" t="s">
        <v>13</v>
      </c>
      <c r="D1809" t="s">
        <v>14</v>
      </c>
      <c r="E1809">
        <v>2</v>
      </c>
      <c r="F1809">
        <v>3064.28</v>
      </c>
      <c r="G1809">
        <f t="shared" si="56"/>
        <v>6128.56</v>
      </c>
      <c r="H1809" s="3">
        <v>1.04</v>
      </c>
      <c r="I1809">
        <f t="shared" si="57"/>
        <v>-245.14240000000024</v>
      </c>
      <c r="J1809" s="1">
        <v>45516</v>
      </c>
      <c r="K1809" t="s">
        <v>2517</v>
      </c>
      <c r="L1809" t="s">
        <v>23</v>
      </c>
      <c r="M1809">
        <v>2540.5300000000002</v>
      </c>
    </row>
    <row r="1810" spans="1:13" x14ac:dyDescent="0.25">
      <c r="A1810">
        <v>2808</v>
      </c>
      <c r="B1810" t="s">
        <v>1838</v>
      </c>
      <c r="C1810" t="s">
        <v>25</v>
      </c>
      <c r="D1810" t="s">
        <v>62</v>
      </c>
      <c r="E1810">
        <v>2</v>
      </c>
      <c r="F1810">
        <v>4234.7700000000004</v>
      </c>
      <c r="G1810">
        <f t="shared" si="56"/>
        <v>8469.5400000000009</v>
      </c>
      <c r="I1810">
        <f t="shared" si="57"/>
        <v>8469.5400000000009</v>
      </c>
      <c r="K1810" t="s">
        <v>15</v>
      </c>
      <c r="L1810" t="s">
        <v>16</v>
      </c>
      <c r="M1810">
        <v>-664.44</v>
      </c>
    </row>
    <row r="1811" spans="1:13" x14ac:dyDescent="0.25">
      <c r="A1811">
        <v>1026</v>
      </c>
      <c r="B1811" t="s">
        <v>1839</v>
      </c>
      <c r="C1811" t="s">
        <v>25</v>
      </c>
      <c r="D1811" t="s">
        <v>82</v>
      </c>
      <c r="E1811">
        <v>0</v>
      </c>
      <c r="G1811">
        <f t="shared" si="56"/>
        <v>0</v>
      </c>
      <c r="I1811">
        <f t="shared" si="57"/>
        <v>0</v>
      </c>
      <c r="K1811" t="s">
        <v>22</v>
      </c>
      <c r="L1811" t="s">
        <v>16</v>
      </c>
      <c r="M1811">
        <v>1975.98</v>
      </c>
    </row>
    <row r="1812" spans="1:13" x14ac:dyDescent="0.25">
      <c r="A1812">
        <v>2810</v>
      </c>
      <c r="B1812" t="s">
        <v>1840</v>
      </c>
      <c r="C1812" t="s">
        <v>13</v>
      </c>
      <c r="D1812" t="s">
        <v>34</v>
      </c>
      <c r="E1812">
        <v>2</v>
      </c>
      <c r="F1812">
        <v>2038.37</v>
      </c>
      <c r="G1812">
        <f t="shared" si="56"/>
        <v>4076.74</v>
      </c>
      <c r="H1812" s="3">
        <v>1.07</v>
      </c>
      <c r="I1812">
        <f t="shared" si="57"/>
        <v>-285.37180000000023</v>
      </c>
      <c r="K1812" t="s">
        <v>22</v>
      </c>
      <c r="L1812" t="s">
        <v>23</v>
      </c>
      <c r="M1812">
        <v>1762.96</v>
      </c>
    </row>
    <row r="1813" spans="1:13" x14ac:dyDescent="0.25">
      <c r="A1813">
        <v>2811</v>
      </c>
      <c r="B1813" t="s">
        <v>1841</v>
      </c>
      <c r="C1813" t="s">
        <v>36</v>
      </c>
      <c r="D1813" t="s">
        <v>87</v>
      </c>
      <c r="E1813">
        <v>2</v>
      </c>
      <c r="F1813">
        <v>4426.1499999999996</v>
      </c>
      <c r="G1813">
        <f t="shared" si="56"/>
        <v>8852.2999999999993</v>
      </c>
      <c r="I1813">
        <f t="shared" si="57"/>
        <v>8852.2999999999993</v>
      </c>
      <c r="J1813" s="1">
        <v>45657</v>
      </c>
      <c r="K1813" t="s">
        <v>15</v>
      </c>
      <c r="L1813" t="s">
        <v>23</v>
      </c>
      <c r="M1813">
        <v>1639.67</v>
      </c>
    </row>
    <row r="1814" spans="1:13" x14ac:dyDescent="0.25">
      <c r="A1814">
        <v>2812</v>
      </c>
      <c r="B1814" t="s">
        <v>1842</v>
      </c>
      <c r="C1814" t="s">
        <v>31</v>
      </c>
      <c r="D1814" t="s">
        <v>78</v>
      </c>
      <c r="E1814">
        <v>2</v>
      </c>
      <c r="G1814">
        <f t="shared" si="56"/>
        <v>0</v>
      </c>
      <c r="I1814">
        <f t="shared" si="57"/>
        <v>0</v>
      </c>
      <c r="J1814" s="1">
        <v>45727</v>
      </c>
      <c r="K1814" t="s">
        <v>44</v>
      </c>
      <c r="L1814" t="s">
        <v>23</v>
      </c>
      <c r="M1814">
        <v>-662.74</v>
      </c>
    </row>
    <row r="1815" spans="1:13" x14ac:dyDescent="0.25">
      <c r="A1815">
        <v>2813</v>
      </c>
      <c r="B1815" t="s">
        <v>1843</v>
      </c>
      <c r="C1815" t="s">
        <v>28</v>
      </c>
      <c r="D1815" t="s">
        <v>29</v>
      </c>
      <c r="E1815">
        <v>2</v>
      </c>
      <c r="G1815">
        <f t="shared" si="56"/>
        <v>0</v>
      </c>
      <c r="H1815" s="3">
        <v>0.41</v>
      </c>
      <c r="I1815">
        <f t="shared" si="57"/>
        <v>0</v>
      </c>
      <c r="J1815" s="1">
        <v>45565</v>
      </c>
      <c r="K1815" t="s">
        <v>18</v>
      </c>
      <c r="L1815" t="s">
        <v>16</v>
      </c>
      <c r="M1815">
        <v>-756.66</v>
      </c>
    </row>
    <row r="1816" spans="1:13" x14ac:dyDescent="0.25">
      <c r="A1816">
        <v>2814</v>
      </c>
      <c r="B1816" t="s">
        <v>1844</v>
      </c>
      <c r="C1816" t="s">
        <v>13</v>
      </c>
      <c r="D1816" t="s">
        <v>34</v>
      </c>
      <c r="E1816">
        <v>2</v>
      </c>
      <c r="F1816">
        <v>1888.27</v>
      </c>
      <c r="G1816">
        <f t="shared" si="56"/>
        <v>3776.54</v>
      </c>
      <c r="I1816">
        <f t="shared" si="57"/>
        <v>3776.54</v>
      </c>
      <c r="J1816" s="1">
        <v>45682</v>
      </c>
      <c r="K1816" t="s">
        <v>22</v>
      </c>
      <c r="L1816" t="s">
        <v>23</v>
      </c>
      <c r="M1816">
        <v>2441.5100000000002</v>
      </c>
    </row>
    <row r="1817" spans="1:13" x14ac:dyDescent="0.25">
      <c r="A1817">
        <v>1042</v>
      </c>
      <c r="B1817" t="s">
        <v>1845</v>
      </c>
      <c r="C1817" t="s">
        <v>13</v>
      </c>
      <c r="D1817" t="s">
        <v>34</v>
      </c>
      <c r="E1817">
        <v>6</v>
      </c>
      <c r="F1817">
        <v>2422.0100000000002</v>
      </c>
      <c r="G1817">
        <f t="shared" si="56"/>
        <v>14532.060000000001</v>
      </c>
      <c r="I1817">
        <f t="shared" si="57"/>
        <v>14532.060000000001</v>
      </c>
      <c r="K1817" t="s">
        <v>44</v>
      </c>
      <c r="L1817" t="s">
        <v>23</v>
      </c>
      <c r="M1817">
        <v>339.16</v>
      </c>
    </row>
    <row r="1818" spans="1:13" x14ac:dyDescent="0.25">
      <c r="A1818">
        <v>2816</v>
      </c>
      <c r="B1818" t="s">
        <v>1846</v>
      </c>
      <c r="C1818" t="s">
        <v>20</v>
      </c>
      <c r="D1818" t="s">
        <v>84</v>
      </c>
      <c r="E1818">
        <v>2</v>
      </c>
      <c r="F1818">
        <v>3817.72</v>
      </c>
      <c r="G1818">
        <f t="shared" si="56"/>
        <v>7635.44</v>
      </c>
      <c r="H1818" s="3">
        <v>0.34</v>
      </c>
      <c r="I1818">
        <f t="shared" si="57"/>
        <v>5039.3903999999993</v>
      </c>
      <c r="J1818" s="1">
        <v>45628</v>
      </c>
      <c r="K1818" t="s">
        <v>18</v>
      </c>
      <c r="L1818" t="s">
        <v>23</v>
      </c>
      <c r="M1818">
        <v>-69.09</v>
      </c>
    </row>
    <row r="1819" spans="1:13" x14ac:dyDescent="0.25">
      <c r="A1819">
        <v>2817</v>
      </c>
      <c r="B1819" t="s">
        <v>1847</v>
      </c>
      <c r="C1819" t="s">
        <v>36</v>
      </c>
      <c r="D1819" t="s">
        <v>37</v>
      </c>
      <c r="E1819">
        <v>2</v>
      </c>
      <c r="G1819">
        <f t="shared" si="56"/>
        <v>0</v>
      </c>
      <c r="H1819" s="3">
        <v>0.36</v>
      </c>
      <c r="I1819">
        <f t="shared" si="57"/>
        <v>0</v>
      </c>
      <c r="J1819" s="1">
        <v>45770</v>
      </c>
      <c r="K1819" t="s">
        <v>22</v>
      </c>
      <c r="L1819" t="s">
        <v>16</v>
      </c>
      <c r="M1819">
        <v>495.32</v>
      </c>
    </row>
    <row r="1820" spans="1:13" x14ac:dyDescent="0.25">
      <c r="A1820">
        <v>2818</v>
      </c>
      <c r="B1820" t="s">
        <v>1848</v>
      </c>
      <c r="C1820" t="s">
        <v>36</v>
      </c>
      <c r="D1820" t="s">
        <v>59</v>
      </c>
      <c r="E1820">
        <v>2</v>
      </c>
      <c r="F1820">
        <v>739.57</v>
      </c>
      <c r="G1820">
        <f t="shared" si="56"/>
        <v>1479.14</v>
      </c>
      <c r="I1820">
        <f t="shared" si="57"/>
        <v>1479.14</v>
      </c>
      <c r="J1820" s="1">
        <v>45760</v>
      </c>
      <c r="K1820" t="s">
        <v>22</v>
      </c>
      <c r="L1820" t="s">
        <v>16</v>
      </c>
      <c r="M1820">
        <v>1148.8699999999999</v>
      </c>
    </row>
    <row r="1821" spans="1:13" x14ac:dyDescent="0.25">
      <c r="A1821">
        <v>2819</v>
      </c>
      <c r="B1821" t="s">
        <v>1849</v>
      </c>
      <c r="C1821" t="s">
        <v>28</v>
      </c>
      <c r="D1821" t="s">
        <v>116</v>
      </c>
      <c r="E1821">
        <v>-1</v>
      </c>
      <c r="G1821">
        <f t="shared" si="56"/>
        <v>0</v>
      </c>
      <c r="I1821">
        <f t="shared" si="57"/>
        <v>0</v>
      </c>
      <c r="K1821" t="s">
        <v>18</v>
      </c>
      <c r="L1821" t="s">
        <v>16</v>
      </c>
      <c r="M1821">
        <v>526.19000000000005</v>
      </c>
    </row>
    <row r="1822" spans="1:13" x14ac:dyDescent="0.25">
      <c r="A1822">
        <v>2820</v>
      </c>
      <c r="B1822" t="s">
        <v>1850</v>
      </c>
      <c r="C1822" t="s">
        <v>28</v>
      </c>
      <c r="D1822" t="s">
        <v>137</v>
      </c>
      <c r="E1822">
        <v>1</v>
      </c>
      <c r="F1822">
        <v>2454.71</v>
      </c>
      <c r="G1822">
        <f t="shared" si="56"/>
        <v>2454.71</v>
      </c>
      <c r="H1822" s="3">
        <v>0.1</v>
      </c>
      <c r="I1822">
        <f t="shared" si="57"/>
        <v>2209.239</v>
      </c>
      <c r="J1822" s="1">
        <v>45294</v>
      </c>
      <c r="K1822" t="s">
        <v>22</v>
      </c>
      <c r="L1822" t="s">
        <v>23</v>
      </c>
      <c r="M1822">
        <v>2850.37</v>
      </c>
    </row>
    <row r="1823" spans="1:13" x14ac:dyDescent="0.25">
      <c r="A1823">
        <v>2821</v>
      </c>
      <c r="B1823" t="s">
        <v>1851</v>
      </c>
      <c r="C1823" t="s">
        <v>36</v>
      </c>
      <c r="D1823" t="s">
        <v>59</v>
      </c>
      <c r="E1823">
        <v>2</v>
      </c>
      <c r="G1823">
        <f t="shared" si="56"/>
        <v>0</v>
      </c>
      <c r="H1823" s="3">
        <v>1.28</v>
      </c>
      <c r="I1823">
        <f t="shared" si="57"/>
        <v>0</v>
      </c>
      <c r="J1823" s="1">
        <v>45644</v>
      </c>
      <c r="K1823" t="s">
        <v>18</v>
      </c>
      <c r="L1823" t="s">
        <v>16</v>
      </c>
      <c r="M1823">
        <v>412.63</v>
      </c>
    </row>
    <row r="1824" spans="1:13" x14ac:dyDescent="0.25">
      <c r="A1824">
        <v>2822</v>
      </c>
      <c r="B1824" t="s">
        <v>1852</v>
      </c>
      <c r="C1824" t="s">
        <v>31</v>
      </c>
      <c r="D1824" t="s">
        <v>68</v>
      </c>
      <c r="E1824">
        <v>-2</v>
      </c>
      <c r="F1824">
        <v>3864.37</v>
      </c>
      <c r="G1824">
        <f t="shared" si="56"/>
        <v>-7728.74</v>
      </c>
      <c r="I1824">
        <f t="shared" si="57"/>
        <v>-7728.74</v>
      </c>
      <c r="J1824" s="1">
        <v>45725</v>
      </c>
      <c r="K1824" t="s">
        <v>38</v>
      </c>
      <c r="L1824" t="s">
        <v>16</v>
      </c>
      <c r="M1824">
        <v>957.65</v>
      </c>
    </row>
    <row r="1825" spans="1:13" x14ac:dyDescent="0.25">
      <c r="A1825">
        <v>2823</v>
      </c>
      <c r="B1825" t="s">
        <v>1853</v>
      </c>
      <c r="C1825" t="s">
        <v>20</v>
      </c>
      <c r="D1825" t="s">
        <v>76</v>
      </c>
      <c r="E1825">
        <v>0</v>
      </c>
      <c r="G1825">
        <f t="shared" si="56"/>
        <v>0</v>
      </c>
      <c r="I1825">
        <f t="shared" si="57"/>
        <v>0</v>
      </c>
      <c r="J1825" s="1">
        <v>45542</v>
      </c>
      <c r="K1825" t="s">
        <v>18</v>
      </c>
      <c r="L1825" t="s">
        <v>16</v>
      </c>
      <c r="M1825">
        <v>-724.81</v>
      </c>
    </row>
    <row r="1826" spans="1:13" x14ac:dyDescent="0.25">
      <c r="A1826">
        <v>2824</v>
      </c>
      <c r="B1826" t="s">
        <v>1854</v>
      </c>
      <c r="C1826" t="s">
        <v>25</v>
      </c>
      <c r="D1826" t="s">
        <v>82</v>
      </c>
      <c r="E1826">
        <v>2</v>
      </c>
      <c r="G1826">
        <f t="shared" si="56"/>
        <v>0</v>
      </c>
      <c r="H1826" s="3">
        <v>1.08</v>
      </c>
      <c r="I1826">
        <f t="shared" si="57"/>
        <v>0</v>
      </c>
      <c r="J1826" s="1">
        <v>45618</v>
      </c>
      <c r="K1826" t="s">
        <v>15</v>
      </c>
      <c r="L1826" t="s">
        <v>16</v>
      </c>
      <c r="M1826">
        <v>1113.29</v>
      </c>
    </row>
    <row r="1827" spans="1:13" x14ac:dyDescent="0.25">
      <c r="A1827">
        <v>2825</v>
      </c>
      <c r="B1827" t="s">
        <v>1855</v>
      </c>
      <c r="C1827" t="s">
        <v>28</v>
      </c>
      <c r="D1827" t="s">
        <v>29</v>
      </c>
      <c r="E1827">
        <v>2</v>
      </c>
      <c r="G1827">
        <f t="shared" si="56"/>
        <v>0</v>
      </c>
      <c r="I1827">
        <f t="shared" si="57"/>
        <v>0</v>
      </c>
      <c r="K1827" t="s">
        <v>18</v>
      </c>
      <c r="L1827" t="s">
        <v>23</v>
      </c>
      <c r="M1827">
        <v>2935.9</v>
      </c>
    </row>
    <row r="1828" spans="1:13" x14ac:dyDescent="0.25">
      <c r="A1828">
        <v>2826</v>
      </c>
      <c r="B1828" t="s">
        <v>1856</v>
      </c>
      <c r="C1828" t="s">
        <v>31</v>
      </c>
      <c r="D1828" t="s">
        <v>68</v>
      </c>
      <c r="E1828">
        <v>-1</v>
      </c>
      <c r="G1828">
        <f t="shared" si="56"/>
        <v>0</v>
      </c>
      <c r="I1828">
        <f t="shared" si="57"/>
        <v>0</v>
      </c>
      <c r="K1828" t="s">
        <v>22</v>
      </c>
      <c r="L1828" t="s">
        <v>16</v>
      </c>
      <c r="M1828">
        <v>2275.7399999999998</v>
      </c>
    </row>
    <row r="1829" spans="1:13" x14ac:dyDescent="0.25">
      <c r="A1829">
        <v>2827</v>
      </c>
      <c r="B1829" t="s">
        <v>1857</v>
      </c>
      <c r="C1829" t="s">
        <v>13</v>
      </c>
      <c r="D1829" t="s">
        <v>14</v>
      </c>
      <c r="E1829">
        <v>2</v>
      </c>
      <c r="F1829">
        <v>3996.87</v>
      </c>
      <c r="G1829">
        <f t="shared" si="56"/>
        <v>7993.74</v>
      </c>
      <c r="I1829">
        <f t="shared" si="57"/>
        <v>7993.74</v>
      </c>
      <c r="J1829" s="1">
        <v>45538</v>
      </c>
      <c r="K1829" t="s">
        <v>22</v>
      </c>
      <c r="L1829" t="s">
        <v>16</v>
      </c>
      <c r="M1829">
        <v>496.23</v>
      </c>
    </row>
    <row r="1830" spans="1:13" x14ac:dyDescent="0.25">
      <c r="A1830">
        <v>2828</v>
      </c>
      <c r="B1830" t="s">
        <v>1858</v>
      </c>
      <c r="C1830" t="s">
        <v>25</v>
      </c>
      <c r="D1830" t="s">
        <v>26</v>
      </c>
      <c r="E1830">
        <v>2</v>
      </c>
      <c r="F1830">
        <v>2963.02</v>
      </c>
      <c r="G1830">
        <f t="shared" si="56"/>
        <v>5926.04</v>
      </c>
      <c r="I1830">
        <f t="shared" si="57"/>
        <v>5926.04</v>
      </c>
      <c r="J1830" s="1">
        <v>45825</v>
      </c>
      <c r="K1830" t="s">
        <v>38</v>
      </c>
      <c r="L1830" t="s">
        <v>23</v>
      </c>
      <c r="M1830">
        <v>180.31</v>
      </c>
    </row>
    <row r="1831" spans="1:13" x14ac:dyDescent="0.25">
      <c r="A1831">
        <v>2829</v>
      </c>
      <c r="B1831" t="s">
        <v>1859</v>
      </c>
      <c r="C1831" t="s">
        <v>20</v>
      </c>
      <c r="D1831" t="s">
        <v>84</v>
      </c>
      <c r="E1831">
        <v>2</v>
      </c>
      <c r="F1831">
        <v>4817.45</v>
      </c>
      <c r="G1831">
        <f t="shared" si="56"/>
        <v>9634.9</v>
      </c>
      <c r="H1831" s="3">
        <v>1.07</v>
      </c>
      <c r="I1831">
        <f t="shared" si="57"/>
        <v>-674.44300000000055</v>
      </c>
      <c r="K1831" t="s">
        <v>44</v>
      </c>
      <c r="L1831" t="s">
        <v>23</v>
      </c>
      <c r="M1831">
        <v>2048.06</v>
      </c>
    </row>
    <row r="1832" spans="1:13" x14ac:dyDescent="0.25">
      <c r="A1832">
        <v>2830</v>
      </c>
      <c r="B1832" t="s">
        <v>1860</v>
      </c>
      <c r="C1832" t="s">
        <v>31</v>
      </c>
      <c r="D1832" t="s">
        <v>32</v>
      </c>
      <c r="E1832">
        <v>2</v>
      </c>
      <c r="F1832">
        <v>3588.42</v>
      </c>
      <c r="G1832">
        <f t="shared" si="56"/>
        <v>7176.84</v>
      </c>
      <c r="H1832" s="3">
        <v>0.04</v>
      </c>
      <c r="I1832">
        <f t="shared" si="57"/>
        <v>6889.7663999999995</v>
      </c>
      <c r="J1832" s="1">
        <v>45820</v>
      </c>
      <c r="K1832" t="s">
        <v>15</v>
      </c>
      <c r="L1832" t="s">
        <v>16</v>
      </c>
      <c r="M1832">
        <v>1952.28</v>
      </c>
    </row>
    <row r="1833" spans="1:13" x14ac:dyDescent="0.25">
      <c r="A1833">
        <v>2831</v>
      </c>
      <c r="B1833" t="s">
        <v>846</v>
      </c>
      <c r="C1833" t="s">
        <v>36</v>
      </c>
      <c r="D1833" t="s">
        <v>37</v>
      </c>
      <c r="E1833">
        <v>2</v>
      </c>
      <c r="G1833">
        <f t="shared" si="56"/>
        <v>0</v>
      </c>
      <c r="I1833">
        <f t="shared" si="57"/>
        <v>0</v>
      </c>
      <c r="J1833" s="1">
        <v>45495</v>
      </c>
      <c r="K1833" t="s">
        <v>18</v>
      </c>
      <c r="L1833" t="s">
        <v>23</v>
      </c>
      <c r="M1833">
        <v>2091.3000000000002</v>
      </c>
    </row>
    <row r="1834" spans="1:13" x14ac:dyDescent="0.25">
      <c r="A1834">
        <v>2832</v>
      </c>
      <c r="B1834" t="s">
        <v>1861</v>
      </c>
      <c r="C1834" t="s">
        <v>25</v>
      </c>
      <c r="D1834" t="s">
        <v>82</v>
      </c>
      <c r="E1834">
        <v>2</v>
      </c>
      <c r="G1834">
        <f t="shared" si="56"/>
        <v>0</v>
      </c>
      <c r="H1834" s="3">
        <v>0.56000000000000005</v>
      </c>
      <c r="I1834">
        <f t="shared" si="57"/>
        <v>0</v>
      </c>
      <c r="J1834" s="1">
        <v>45572</v>
      </c>
      <c r="K1834" t="s">
        <v>22</v>
      </c>
      <c r="L1834" t="s">
        <v>16</v>
      </c>
      <c r="M1834">
        <v>-402.75</v>
      </c>
    </row>
    <row r="1835" spans="1:13" x14ac:dyDescent="0.25">
      <c r="A1835">
        <v>2833</v>
      </c>
      <c r="B1835" t="s">
        <v>1862</v>
      </c>
      <c r="C1835" t="s">
        <v>13</v>
      </c>
      <c r="D1835" t="s">
        <v>98</v>
      </c>
      <c r="E1835">
        <v>5</v>
      </c>
      <c r="F1835">
        <v>4273.33</v>
      </c>
      <c r="G1835">
        <f t="shared" si="56"/>
        <v>21366.65</v>
      </c>
      <c r="I1835">
        <f t="shared" si="57"/>
        <v>21366.65</v>
      </c>
      <c r="K1835" t="s">
        <v>38</v>
      </c>
      <c r="L1835" t="s">
        <v>16</v>
      </c>
      <c r="M1835">
        <v>900.12</v>
      </c>
    </row>
    <row r="1836" spans="1:13" x14ac:dyDescent="0.25">
      <c r="A1836">
        <v>2834</v>
      </c>
      <c r="B1836" t="s">
        <v>1863</v>
      </c>
      <c r="C1836" t="s">
        <v>20</v>
      </c>
      <c r="D1836" t="s">
        <v>118</v>
      </c>
      <c r="E1836">
        <v>-2</v>
      </c>
      <c r="F1836">
        <v>3522.98</v>
      </c>
      <c r="G1836">
        <f t="shared" si="56"/>
        <v>-7045.96</v>
      </c>
      <c r="I1836">
        <f t="shared" si="57"/>
        <v>-7045.96</v>
      </c>
      <c r="J1836" s="1">
        <v>45597</v>
      </c>
      <c r="K1836" t="s">
        <v>15</v>
      </c>
      <c r="L1836" t="s">
        <v>16</v>
      </c>
      <c r="M1836">
        <v>2242.67</v>
      </c>
    </row>
    <row r="1837" spans="1:13" x14ac:dyDescent="0.25">
      <c r="A1837">
        <v>2835</v>
      </c>
      <c r="B1837" t="s">
        <v>1864</v>
      </c>
      <c r="C1837" t="s">
        <v>36</v>
      </c>
      <c r="D1837" t="s">
        <v>55</v>
      </c>
      <c r="E1837">
        <v>5</v>
      </c>
      <c r="G1837">
        <f t="shared" si="56"/>
        <v>0</v>
      </c>
      <c r="H1837" s="3">
        <v>0.98</v>
      </c>
      <c r="I1837">
        <f t="shared" si="57"/>
        <v>0</v>
      </c>
      <c r="J1837" s="1">
        <v>45839</v>
      </c>
      <c r="K1837" t="s">
        <v>2517</v>
      </c>
      <c r="L1837" t="s">
        <v>23</v>
      </c>
      <c r="M1837">
        <v>-618.55999999999995</v>
      </c>
    </row>
    <row r="1838" spans="1:13" x14ac:dyDescent="0.25">
      <c r="A1838">
        <v>2836</v>
      </c>
      <c r="B1838" t="s">
        <v>1865</v>
      </c>
      <c r="C1838" t="s">
        <v>36</v>
      </c>
      <c r="D1838" t="s">
        <v>87</v>
      </c>
      <c r="E1838">
        <v>4</v>
      </c>
      <c r="F1838">
        <v>4609.95</v>
      </c>
      <c r="G1838">
        <f t="shared" si="56"/>
        <v>18439.8</v>
      </c>
      <c r="I1838">
        <f t="shared" si="57"/>
        <v>18439.8</v>
      </c>
      <c r="J1838" s="1">
        <v>45448</v>
      </c>
      <c r="K1838" t="s">
        <v>38</v>
      </c>
      <c r="L1838" t="s">
        <v>23</v>
      </c>
      <c r="M1838">
        <v>-154.75</v>
      </c>
    </row>
    <row r="1839" spans="1:13" x14ac:dyDescent="0.25">
      <c r="A1839">
        <v>2837</v>
      </c>
      <c r="B1839" t="s">
        <v>1866</v>
      </c>
      <c r="C1839" t="s">
        <v>13</v>
      </c>
      <c r="D1839" t="s">
        <v>14</v>
      </c>
      <c r="E1839">
        <v>2</v>
      </c>
      <c r="F1839">
        <v>4443.01</v>
      </c>
      <c r="G1839">
        <f t="shared" si="56"/>
        <v>8886.02</v>
      </c>
      <c r="I1839">
        <f t="shared" si="57"/>
        <v>8886.02</v>
      </c>
      <c r="J1839" s="1">
        <v>45743</v>
      </c>
      <c r="K1839" t="s">
        <v>38</v>
      </c>
      <c r="L1839" t="s">
        <v>23</v>
      </c>
      <c r="M1839">
        <v>-919.16</v>
      </c>
    </row>
    <row r="1840" spans="1:13" x14ac:dyDescent="0.25">
      <c r="A1840">
        <v>2838</v>
      </c>
      <c r="B1840" t="s">
        <v>1867</v>
      </c>
      <c r="C1840" t="s">
        <v>36</v>
      </c>
      <c r="D1840" t="s">
        <v>87</v>
      </c>
      <c r="E1840">
        <v>2</v>
      </c>
      <c r="G1840">
        <f t="shared" si="56"/>
        <v>0</v>
      </c>
      <c r="H1840" s="3">
        <v>0.97</v>
      </c>
      <c r="I1840">
        <f t="shared" si="57"/>
        <v>0</v>
      </c>
      <c r="K1840" t="s">
        <v>22</v>
      </c>
      <c r="L1840" t="s">
        <v>23</v>
      </c>
      <c r="M1840">
        <v>182.38</v>
      </c>
    </row>
    <row r="1841" spans="1:13" x14ac:dyDescent="0.25">
      <c r="A1841">
        <v>2839</v>
      </c>
      <c r="B1841" t="s">
        <v>1868</v>
      </c>
      <c r="C1841" t="s">
        <v>25</v>
      </c>
      <c r="D1841" t="s">
        <v>82</v>
      </c>
      <c r="E1841">
        <v>2</v>
      </c>
      <c r="F1841">
        <v>561.24</v>
      </c>
      <c r="G1841">
        <f t="shared" si="56"/>
        <v>1122.48</v>
      </c>
      <c r="I1841">
        <f t="shared" si="57"/>
        <v>1122.48</v>
      </c>
      <c r="J1841" s="1">
        <v>45589</v>
      </c>
      <c r="K1841" t="s">
        <v>2517</v>
      </c>
      <c r="L1841" t="s">
        <v>16</v>
      </c>
      <c r="M1841">
        <v>2551.12</v>
      </c>
    </row>
    <row r="1842" spans="1:13" x14ac:dyDescent="0.25">
      <c r="A1842">
        <v>2840</v>
      </c>
      <c r="B1842" t="s">
        <v>1869</v>
      </c>
      <c r="C1842" t="s">
        <v>20</v>
      </c>
      <c r="D1842" t="s">
        <v>76</v>
      </c>
      <c r="E1842">
        <v>2</v>
      </c>
      <c r="F1842">
        <v>2297.54</v>
      </c>
      <c r="G1842">
        <f t="shared" si="56"/>
        <v>4595.08</v>
      </c>
      <c r="I1842">
        <f t="shared" si="57"/>
        <v>4595.08</v>
      </c>
      <c r="J1842" s="1">
        <v>45739</v>
      </c>
      <c r="K1842" t="s">
        <v>2517</v>
      </c>
      <c r="L1842" t="s">
        <v>23</v>
      </c>
      <c r="M1842">
        <v>490.32</v>
      </c>
    </row>
    <row r="1843" spans="1:13" x14ac:dyDescent="0.25">
      <c r="A1843">
        <v>2841</v>
      </c>
      <c r="B1843" t="s">
        <v>1870</v>
      </c>
      <c r="C1843" t="s">
        <v>13</v>
      </c>
      <c r="D1843" t="s">
        <v>98</v>
      </c>
      <c r="E1843">
        <v>2</v>
      </c>
      <c r="F1843">
        <v>4154.05</v>
      </c>
      <c r="G1843">
        <f t="shared" si="56"/>
        <v>8308.1</v>
      </c>
      <c r="I1843">
        <f t="shared" si="57"/>
        <v>8308.1</v>
      </c>
      <c r="J1843" s="1">
        <v>45665</v>
      </c>
      <c r="K1843" t="s">
        <v>22</v>
      </c>
      <c r="L1843" t="s">
        <v>23</v>
      </c>
      <c r="M1843">
        <v>265</v>
      </c>
    </row>
    <row r="1844" spans="1:13" x14ac:dyDescent="0.25">
      <c r="A1844">
        <v>2842</v>
      </c>
      <c r="B1844" t="s">
        <v>1871</v>
      </c>
      <c r="C1844" t="s">
        <v>28</v>
      </c>
      <c r="D1844" t="s">
        <v>40</v>
      </c>
      <c r="E1844">
        <v>0</v>
      </c>
      <c r="F1844">
        <v>1812.58</v>
      </c>
      <c r="G1844">
        <f t="shared" si="56"/>
        <v>0</v>
      </c>
      <c r="I1844">
        <f t="shared" si="57"/>
        <v>0</v>
      </c>
      <c r="J1844" s="1">
        <v>45560</v>
      </c>
      <c r="K1844" t="s">
        <v>15</v>
      </c>
      <c r="L1844" t="s">
        <v>23</v>
      </c>
      <c r="M1844">
        <v>445.27</v>
      </c>
    </row>
    <row r="1845" spans="1:13" x14ac:dyDescent="0.25">
      <c r="A1845">
        <v>2843</v>
      </c>
      <c r="B1845" t="s">
        <v>1872</v>
      </c>
      <c r="C1845" t="s">
        <v>31</v>
      </c>
      <c r="D1845" t="s">
        <v>78</v>
      </c>
      <c r="E1845">
        <v>2</v>
      </c>
      <c r="F1845">
        <v>1110.1099999999999</v>
      </c>
      <c r="G1845">
        <f t="shared" si="56"/>
        <v>2220.2199999999998</v>
      </c>
      <c r="I1845">
        <f t="shared" si="57"/>
        <v>2220.2199999999998</v>
      </c>
      <c r="J1845" s="1">
        <v>45679</v>
      </c>
      <c r="K1845" t="s">
        <v>22</v>
      </c>
      <c r="L1845" t="s">
        <v>23</v>
      </c>
      <c r="M1845">
        <v>2926.44</v>
      </c>
    </row>
    <row r="1846" spans="1:13" x14ac:dyDescent="0.25">
      <c r="A1846">
        <v>2844</v>
      </c>
      <c r="B1846" t="s">
        <v>1873</v>
      </c>
      <c r="C1846" t="s">
        <v>13</v>
      </c>
      <c r="D1846" t="s">
        <v>47</v>
      </c>
      <c r="E1846">
        <v>2</v>
      </c>
      <c r="F1846">
        <v>2549.59</v>
      </c>
      <c r="G1846">
        <f t="shared" si="56"/>
        <v>5099.18</v>
      </c>
      <c r="I1846">
        <f t="shared" si="57"/>
        <v>5099.18</v>
      </c>
      <c r="J1846" s="1">
        <v>45431</v>
      </c>
      <c r="K1846" t="s">
        <v>15</v>
      </c>
      <c r="L1846" t="s">
        <v>16</v>
      </c>
      <c r="M1846">
        <v>2612.63</v>
      </c>
    </row>
    <row r="1847" spans="1:13" x14ac:dyDescent="0.25">
      <c r="A1847">
        <v>2845</v>
      </c>
      <c r="B1847" t="s">
        <v>1874</v>
      </c>
      <c r="C1847" t="s">
        <v>20</v>
      </c>
      <c r="D1847" t="s">
        <v>84</v>
      </c>
      <c r="E1847">
        <v>-2</v>
      </c>
      <c r="G1847">
        <f t="shared" si="56"/>
        <v>0</v>
      </c>
      <c r="I1847">
        <f t="shared" si="57"/>
        <v>0</v>
      </c>
      <c r="J1847" s="1">
        <v>45751</v>
      </c>
      <c r="K1847" t="s">
        <v>15</v>
      </c>
      <c r="L1847" t="s">
        <v>23</v>
      </c>
      <c r="M1847">
        <v>-693.63</v>
      </c>
    </row>
    <row r="1848" spans="1:13" x14ac:dyDescent="0.25">
      <c r="A1848">
        <v>2846</v>
      </c>
      <c r="B1848" t="s">
        <v>1875</v>
      </c>
      <c r="C1848" t="s">
        <v>25</v>
      </c>
      <c r="D1848" t="s">
        <v>62</v>
      </c>
      <c r="E1848">
        <v>-2</v>
      </c>
      <c r="F1848">
        <v>2525.04</v>
      </c>
      <c r="G1848">
        <f t="shared" si="56"/>
        <v>-5050.08</v>
      </c>
      <c r="H1848" s="3">
        <v>0.3</v>
      </c>
      <c r="I1848">
        <f t="shared" si="57"/>
        <v>-3535.0559999999996</v>
      </c>
      <c r="J1848" s="1">
        <v>45560</v>
      </c>
      <c r="K1848" t="s">
        <v>2517</v>
      </c>
      <c r="L1848" t="s">
        <v>16</v>
      </c>
      <c r="M1848">
        <v>1003.34</v>
      </c>
    </row>
    <row r="1849" spans="1:13" x14ac:dyDescent="0.25">
      <c r="A1849">
        <v>2847</v>
      </c>
      <c r="B1849" t="s">
        <v>1876</v>
      </c>
      <c r="C1849" t="s">
        <v>25</v>
      </c>
      <c r="D1849" t="s">
        <v>82</v>
      </c>
      <c r="E1849">
        <v>2</v>
      </c>
      <c r="F1849">
        <v>3424.29</v>
      </c>
      <c r="G1849">
        <f t="shared" si="56"/>
        <v>6848.58</v>
      </c>
      <c r="H1849" s="3">
        <v>1.08</v>
      </c>
      <c r="I1849">
        <f t="shared" si="57"/>
        <v>-547.88640000000044</v>
      </c>
      <c r="J1849" s="1">
        <v>45516</v>
      </c>
      <c r="K1849" t="s">
        <v>44</v>
      </c>
      <c r="L1849" t="s">
        <v>23</v>
      </c>
      <c r="M1849">
        <v>2560.3200000000002</v>
      </c>
    </row>
    <row r="1850" spans="1:13" x14ac:dyDescent="0.25">
      <c r="A1850">
        <v>2848</v>
      </c>
      <c r="B1850" t="s">
        <v>1877</v>
      </c>
      <c r="C1850" t="s">
        <v>20</v>
      </c>
      <c r="D1850" t="s">
        <v>118</v>
      </c>
      <c r="E1850">
        <v>2</v>
      </c>
      <c r="G1850">
        <f t="shared" si="56"/>
        <v>0</v>
      </c>
      <c r="I1850">
        <f t="shared" si="57"/>
        <v>0</v>
      </c>
      <c r="J1850" s="1">
        <v>45535</v>
      </c>
      <c r="K1850" t="s">
        <v>18</v>
      </c>
      <c r="L1850" t="s">
        <v>16</v>
      </c>
      <c r="M1850">
        <v>2638.28</v>
      </c>
    </row>
    <row r="1851" spans="1:13" x14ac:dyDescent="0.25">
      <c r="A1851">
        <v>2849</v>
      </c>
      <c r="B1851" t="s">
        <v>1878</v>
      </c>
      <c r="C1851" t="s">
        <v>28</v>
      </c>
      <c r="D1851" t="s">
        <v>40</v>
      </c>
      <c r="E1851">
        <v>2</v>
      </c>
      <c r="G1851">
        <f t="shared" si="56"/>
        <v>0</v>
      </c>
      <c r="H1851" s="3">
        <v>0.35</v>
      </c>
      <c r="I1851">
        <f t="shared" si="57"/>
        <v>0</v>
      </c>
      <c r="K1851" t="s">
        <v>22</v>
      </c>
      <c r="L1851" t="s">
        <v>23</v>
      </c>
      <c r="M1851">
        <v>1750.23</v>
      </c>
    </row>
    <row r="1852" spans="1:13" x14ac:dyDescent="0.25">
      <c r="A1852">
        <v>2850</v>
      </c>
      <c r="B1852" t="s">
        <v>1879</v>
      </c>
      <c r="C1852" t="s">
        <v>13</v>
      </c>
      <c r="D1852" t="s">
        <v>14</v>
      </c>
      <c r="E1852">
        <v>2</v>
      </c>
      <c r="F1852">
        <v>2687.96</v>
      </c>
      <c r="G1852">
        <f t="shared" si="56"/>
        <v>5375.92</v>
      </c>
      <c r="I1852">
        <f t="shared" si="57"/>
        <v>5375.92</v>
      </c>
      <c r="J1852" s="1">
        <v>45559</v>
      </c>
      <c r="K1852" t="s">
        <v>15</v>
      </c>
      <c r="L1852" t="s">
        <v>23</v>
      </c>
      <c r="M1852">
        <v>2288</v>
      </c>
    </row>
    <row r="1853" spans="1:13" x14ac:dyDescent="0.25">
      <c r="A1853">
        <v>2851</v>
      </c>
      <c r="B1853" t="s">
        <v>1880</v>
      </c>
      <c r="C1853" t="s">
        <v>36</v>
      </c>
      <c r="D1853" t="s">
        <v>37</v>
      </c>
      <c r="E1853">
        <v>2</v>
      </c>
      <c r="F1853">
        <v>1525.28</v>
      </c>
      <c r="G1853">
        <f t="shared" si="56"/>
        <v>3050.56</v>
      </c>
      <c r="I1853">
        <f t="shared" si="57"/>
        <v>3050.56</v>
      </c>
      <c r="J1853" s="1">
        <v>45543</v>
      </c>
      <c r="K1853" t="s">
        <v>2517</v>
      </c>
      <c r="L1853" t="s">
        <v>16</v>
      </c>
      <c r="M1853">
        <v>-560.49</v>
      </c>
    </row>
    <row r="1854" spans="1:13" x14ac:dyDescent="0.25">
      <c r="A1854">
        <v>2852</v>
      </c>
      <c r="B1854" t="s">
        <v>1881</v>
      </c>
      <c r="C1854" t="s">
        <v>25</v>
      </c>
      <c r="D1854" t="s">
        <v>82</v>
      </c>
      <c r="E1854">
        <v>2</v>
      </c>
      <c r="F1854">
        <v>1816.76</v>
      </c>
      <c r="G1854">
        <f t="shared" si="56"/>
        <v>3633.52</v>
      </c>
      <c r="I1854">
        <f t="shared" si="57"/>
        <v>3633.52</v>
      </c>
      <c r="K1854" t="s">
        <v>22</v>
      </c>
      <c r="L1854" t="s">
        <v>16</v>
      </c>
      <c r="M1854">
        <v>630.13</v>
      </c>
    </row>
    <row r="1855" spans="1:13" x14ac:dyDescent="0.25">
      <c r="A1855">
        <v>2853</v>
      </c>
      <c r="B1855" t="s">
        <v>1882</v>
      </c>
      <c r="C1855" t="s">
        <v>31</v>
      </c>
      <c r="D1855" t="s">
        <v>78</v>
      </c>
      <c r="E1855">
        <v>2</v>
      </c>
      <c r="F1855">
        <v>1212.44</v>
      </c>
      <c r="G1855">
        <f t="shared" si="56"/>
        <v>2424.88</v>
      </c>
      <c r="H1855" s="3">
        <v>0.89</v>
      </c>
      <c r="I1855">
        <f t="shared" si="57"/>
        <v>266.73679999999996</v>
      </c>
      <c r="J1855" s="1">
        <v>45860</v>
      </c>
      <c r="K1855" t="s">
        <v>22</v>
      </c>
      <c r="L1855" t="s">
        <v>16</v>
      </c>
      <c r="M1855">
        <v>175.39</v>
      </c>
    </row>
    <row r="1856" spans="1:13" x14ac:dyDescent="0.25">
      <c r="A1856">
        <v>2854</v>
      </c>
      <c r="B1856" t="s">
        <v>1883</v>
      </c>
      <c r="C1856" t="s">
        <v>13</v>
      </c>
      <c r="D1856" t="s">
        <v>14</v>
      </c>
      <c r="E1856">
        <v>2</v>
      </c>
      <c r="F1856">
        <v>3303.02</v>
      </c>
      <c r="G1856">
        <f t="shared" si="56"/>
        <v>6606.04</v>
      </c>
      <c r="H1856" s="3">
        <v>0.7</v>
      </c>
      <c r="I1856">
        <f t="shared" si="57"/>
        <v>1981.8120000000004</v>
      </c>
      <c r="K1856" t="s">
        <v>22</v>
      </c>
      <c r="L1856" t="s">
        <v>23</v>
      </c>
      <c r="M1856">
        <v>276.29000000000002</v>
      </c>
    </row>
    <row r="1857" spans="1:13" x14ac:dyDescent="0.25">
      <c r="A1857">
        <v>2855</v>
      </c>
      <c r="B1857" t="s">
        <v>1884</v>
      </c>
      <c r="C1857" t="s">
        <v>13</v>
      </c>
      <c r="D1857" t="s">
        <v>14</v>
      </c>
      <c r="E1857">
        <v>2</v>
      </c>
      <c r="F1857">
        <v>1831.4</v>
      </c>
      <c r="G1857">
        <f t="shared" si="56"/>
        <v>3662.8</v>
      </c>
      <c r="I1857">
        <f t="shared" si="57"/>
        <v>3662.8</v>
      </c>
      <c r="J1857" s="1">
        <v>45584</v>
      </c>
      <c r="K1857" t="s">
        <v>2517</v>
      </c>
      <c r="L1857" t="s">
        <v>16</v>
      </c>
      <c r="M1857">
        <v>719.33</v>
      </c>
    </row>
    <row r="1858" spans="1:13" x14ac:dyDescent="0.25">
      <c r="A1858">
        <v>2856</v>
      </c>
      <c r="B1858" t="s">
        <v>1885</v>
      </c>
      <c r="C1858" t="s">
        <v>36</v>
      </c>
      <c r="D1858" t="s">
        <v>59</v>
      </c>
      <c r="E1858">
        <v>2</v>
      </c>
      <c r="G1858">
        <f t="shared" si="56"/>
        <v>0</v>
      </c>
      <c r="I1858">
        <f t="shared" si="57"/>
        <v>0</v>
      </c>
      <c r="K1858" t="s">
        <v>2517</v>
      </c>
      <c r="L1858" t="s">
        <v>23</v>
      </c>
      <c r="M1858">
        <v>1448.8</v>
      </c>
    </row>
    <row r="1859" spans="1:13" x14ac:dyDescent="0.25">
      <c r="A1859">
        <v>2857</v>
      </c>
      <c r="B1859" t="s">
        <v>1886</v>
      </c>
      <c r="C1859" t="s">
        <v>13</v>
      </c>
      <c r="D1859" t="s">
        <v>47</v>
      </c>
      <c r="E1859">
        <v>5</v>
      </c>
      <c r="G1859">
        <f t="shared" ref="G1859:G1922" si="58">F1859*E1859</f>
        <v>0</v>
      </c>
      <c r="I1859">
        <f t="shared" ref="I1859:I1922" si="59">G1859*(1-H1859)</f>
        <v>0</v>
      </c>
      <c r="J1859" s="1">
        <v>45777</v>
      </c>
      <c r="K1859" t="s">
        <v>22</v>
      </c>
      <c r="L1859" t="s">
        <v>23</v>
      </c>
      <c r="M1859">
        <v>-625.91999999999996</v>
      </c>
    </row>
    <row r="1860" spans="1:13" x14ac:dyDescent="0.25">
      <c r="A1860">
        <v>2858</v>
      </c>
      <c r="B1860" t="s">
        <v>1887</v>
      </c>
      <c r="C1860" t="s">
        <v>13</v>
      </c>
      <c r="D1860" t="s">
        <v>34</v>
      </c>
      <c r="E1860">
        <v>-1</v>
      </c>
      <c r="F1860">
        <v>3270.29</v>
      </c>
      <c r="G1860">
        <f t="shared" si="58"/>
        <v>-3270.29</v>
      </c>
      <c r="I1860">
        <f t="shared" si="59"/>
        <v>-3270.29</v>
      </c>
      <c r="J1860" s="1">
        <v>45695</v>
      </c>
      <c r="K1860" t="s">
        <v>44</v>
      </c>
      <c r="L1860" t="s">
        <v>16</v>
      </c>
      <c r="M1860">
        <v>-539.25</v>
      </c>
    </row>
    <row r="1861" spans="1:13" x14ac:dyDescent="0.25">
      <c r="A1861">
        <v>2859</v>
      </c>
      <c r="B1861" t="s">
        <v>1888</v>
      </c>
      <c r="C1861" t="s">
        <v>28</v>
      </c>
      <c r="D1861" t="s">
        <v>40</v>
      </c>
      <c r="E1861">
        <v>2</v>
      </c>
      <c r="G1861">
        <f t="shared" si="58"/>
        <v>0</v>
      </c>
      <c r="H1861" s="3">
        <v>0.78</v>
      </c>
      <c r="I1861">
        <f t="shared" si="59"/>
        <v>0</v>
      </c>
      <c r="J1861" s="1">
        <v>45451</v>
      </c>
      <c r="K1861" t="s">
        <v>38</v>
      </c>
      <c r="L1861" t="s">
        <v>23</v>
      </c>
      <c r="M1861">
        <v>1686.29</v>
      </c>
    </row>
    <row r="1862" spans="1:13" x14ac:dyDescent="0.25">
      <c r="A1862">
        <v>2860</v>
      </c>
      <c r="B1862" t="s">
        <v>1889</v>
      </c>
      <c r="C1862" t="s">
        <v>13</v>
      </c>
      <c r="D1862" t="s">
        <v>47</v>
      </c>
      <c r="E1862">
        <v>2</v>
      </c>
      <c r="F1862">
        <v>4428.24</v>
      </c>
      <c r="G1862">
        <f t="shared" si="58"/>
        <v>8856.48</v>
      </c>
      <c r="H1862" s="3">
        <v>0.09</v>
      </c>
      <c r="I1862">
        <f t="shared" si="59"/>
        <v>8059.3967999999995</v>
      </c>
      <c r="K1862" t="s">
        <v>22</v>
      </c>
      <c r="L1862" t="s">
        <v>16</v>
      </c>
      <c r="M1862">
        <v>-641.59</v>
      </c>
    </row>
    <row r="1863" spans="1:13" x14ac:dyDescent="0.25">
      <c r="A1863">
        <v>2861</v>
      </c>
      <c r="B1863" t="s">
        <v>1890</v>
      </c>
      <c r="C1863" t="s">
        <v>36</v>
      </c>
      <c r="D1863" t="s">
        <v>55</v>
      </c>
      <c r="E1863">
        <v>4</v>
      </c>
      <c r="G1863">
        <f t="shared" si="58"/>
        <v>0</v>
      </c>
      <c r="H1863" s="3">
        <v>0.06</v>
      </c>
      <c r="I1863">
        <f t="shared" si="59"/>
        <v>0</v>
      </c>
      <c r="J1863" s="1">
        <v>45839</v>
      </c>
      <c r="K1863" t="s">
        <v>15</v>
      </c>
      <c r="L1863" t="s">
        <v>16</v>
      </c>
      <c r="M1863">
        <v>-936.94</v>
      </c>
    </row>
    <row r="1864" spans="1:13" x14ac:dyDescent="0.25">
      <c r="A1864">
        <v>2862</v>
      </c>
      <c r="B1864" t="s">
        <v>1891</v>
      </c>
      <c r="C1864" t="s">
        <v>13</v>
      </c>
      <c r="D1864" t="s">
        <v>47</v>
      </c>
      <c r="E1864">
        <v>2</v>
      </c>
      <c r="G1864">
        <f t="shared" si="58"/>
        <v>0</v>
      </c>
      <c r="I1864">
        <f t="shared" si="59"/>
        <v>0</v>
      </c>
      <c r="K1864" t="s">
        <v>44</v>
      </c>
      <c r="L1864" t="s">
        <v>16</v>
      </c>
      <c r="M1864">
        <v>824.88</v>
      </c>
    </row>
    <row r="1865" spans="1:13" x14ac:dyDescent="0.25">
      <c r="A1865">
        <v>2863</v>
      </c>
      <c r="B1865" t="s">
        <v>1892</v>
      </c>
      <c r="C1865" t="s">
        <v>25</v>
      </c>
      <c r="D1865" t="s">
        <v>62</v>
      </c>
      <c r="E1865">
        <v>6</v>
      </c>
      <c r="F1865">
        <v>1459.76</v>
      </c>
      <c r="G1865">
        <f t="shared" si="58"/>
        <v>8758.56</v>
      </c>
      <c r="H1865" s="3">
        <v>1.18</v>
      </c>
      <c r="I1865">
        <f t="shared" si="59"/>
        <v>-1576.5407999999993</v>
      </c>
      <c r="J1865" s="1">
        <v>45425</v>
      </c>
      <c r="K1865" t="s">
        <v>38</v>
      </c>
      <c r="L1865" t="s">
        <v>23</v>
      </c>
      <c r="M1865">
        <v>2541</v>
      </c>
    </row>
    <row r="1866" spans="1:13" x14ac:dyDescent="0.25">
      <c r="A1866">
        <v>2864</v>
      </c>
      <c r="B1866" t="s">
        <v>1893</v>
      </c>
      <c r="C1866" t="s">
        <v>20</v>
      </c>
      <c r="D1866" t="s">
        <v>118</v>
      </c>
      <c r="E1866">
        <v>5</v>
      </c>
      <c r="F1866">
        <v>2535.29</v>
      </c>
      <c r="G1866">
        <f t="shared" si="58"/>
        <v>12676.45</v>
      </c>
      <c r="I1866">
        <f t="shared" si="59"/>
        <v>12676.45</v>
      </c>
      <c r="J1866" s="1">
        <v>45500</v>
      </c>
      <c r="K1866" t="s">
        <v>38</v>
      </c>
      <c r="L1866" t="s">
        <v>16</v>
      </c>
      <c r="M1866">
        <v>-456.39</v>
      </c>
    </row>
    <row r="1867" spans="1:13" x14ac:dyDescent="0.25">
      <c r="A1867">
        <v>2865</v>
      </c>
      <c r="B1867" t="s">
        <v>1618</v>
      </c>
      <c r="C1867" t="s">
        <v>13</v>
      </c>
      <c r="D1867" t="s">
        <v>34</v>
      </c>
      <c r="E1867">
        <v>2</v>
      </c>
      <c r="F1867">
        <v>2043.3</v>
      </c>
      <c r="G1867">
        <f t="shared" si="58"/>
        <v>4086.6</v>
      </c>
      <c r="H1867" s="3">
        <v>0.33</v>
      </c>
      <c r="I1867">
        <f t="shared" si="59"/>
        <v>2738.0219999999995</v>
      </c>
      <c r="K1867" t="s">
        <v>18</v>
      </c>
      <c r="L1867" t="s">
        <v>23</v>
      </c>
      <c r="M1867">
        <v>-389.95</v>
      </c>
    </row>
    <row r="1868" spans="1:13" x14ac:dyDescent="0.25">
      <c r="A1868">
        <v>2866</v>
      </c>
      <c r="B1868" t="s">
        <v>1894</v>
      </c>
      <c r="C1868" t="s">
        <v>13</v>
      </c>
      <c r="D1868" t="s">
        <v>98</v>
      </c>
      <c r="E1868">
        <v>2</v>
      </c>
      <c r="G1868">
        <f t="shared" si="58"/>
        <v>0</v>
      </c>
      <c r="I1868">
        <f t="shared" si="59"/>
        <v>0</v>
      </c>
      <c r="J1868" s="1">
        <v>45730</v>
      </c>
      <c r="K1868" t="s">
        <v>38</v>
      </c>
      <c r="L1868" t="s">
        <v>16</v>
      </c>
      <c r="M1868">
        <v>883.66</v>
      </c>
    </row>
    <row r="1869" spans="1:13" x14ac:dyDescent="0.25">
      <c r="A1869">
        <v>2867</v>
      </c>
      <c r="B1869" t="s">
        <v>1895</v>
      </c>
      <c r="C1869" t="s">
        <v>13</v>
      </c>
      <c r="D1869" t="s">
        <v>98</v>
      </c>
      <c r="E1869">
        <v>2</v>
      </c>
      <c r="G1869">
        <f t="shared" si="58"/>
        <v>0</v>
      </c>
      <c r="I1869">
        <f t="shared" si="59"/>
        <v>0</v>
      </c>
      <c r="K1869" t="s">
        <v>15</v>
      </c>
      <c r="L1869" t="s">
        <v>16</v>
      </c>
      <c r="M1869">
        <v>478.82</v>
      </c>
    </row>
    <row r="1870" spans="1:13" x14ac:dyDescent="0.25">
      <c r="A1870">
        <v>2868</v>
      </c>
      <c r="B1870" t="s">
        <v>1896</v>
      </c>
      <c r="C1870" t="s">
        <v>28</v>
      </c>
      <c r="D1870" t="s">
        <v>40</v>
      </c>
      <c r="E1870">
        <v>4</v>
      </c>
      <c r="F1870">
        <v>1392.21</v>
      </c>
      <c r="G1870">
        <f t="shared" si="58"/>
        <v>5568.84</v>
      </c>
      <c r="I1870">
        <f t="shared" si="59"/>
        <v>5568.84</v>
      </c>
      <c r="J1870" s="1">
        <v>45611</v>
      </c>
      <c r="K1870" t="s">
        <v>38</v>
      </c>
      <c r="L1870" t="s">
        <v>23</v>
      </c>
      <c r="M1870">
        <v>758.3</v>
      </c>
    </row>
    <row r="1871" spans="1:13" x14ac:dyDescent="0.25">
      <c r="A1871">
        <v>2869</v>
      </c>
      <c r="B1871" t="s">
        <v>1897</v>
      </c>
      <c r="C1871" t="s">
        <v>36</v>
      </c>
      <c r="D1871" t="s">
        <v>37</v>
      </c>
      <c r="E1871">
        <v>2</v>
      </c>
      <c r="F1871">
        <v>4238.91</v>
      </c>
      <c r="G1871">
        <f t="shared" si="58"/>
        <v>8477.82</v>
      </c>
      <c r="I1871">
        <f t="shared" si="59"/>
        <v>8477.82</v>
      </c>
      <c r="K1871" t="s">
        <v>2517</v>
      </c>
      <c r="L1871" t="s">
        <v>23</v>
      </c>
      <c r="M1871">
        <v>-746.44</v>
      </c>
    </row>
    <row r="1872" spans="1:13" x14ac:dyDescent="0.25">
      <c r="A1872">
        <v>2870</v>
      </c>
      <c r="B1872" t="s">
        <v>1898</v>
      </c>
      <c r="C1872" t="s">
        <v>13</v>
      </c>
      <c r="D1872" t="s">
        <v>98</v>
      </c>
      <c r="E1872">
        <v>2</v>
      </c>
      <c r="F1872">
        <v>839.34</v>
      </c>
      <c r="G1872">
        <f t="shared" si="58"/>
        <v>1678.68</v>
      </c>
      <c r="I1872">
        <f t="shared" si="59"/>
        <v>1678.68</v>
      </c>
      <c r="J1872" s="1">
        <v>45580</v>
      </c>
      <c r="K1872" t="s">
        <v>44</v>
      </c>
      <c r="L1872" t="s">
        <v>16</v>
      </c>
      <c r="M1872">
        <v>367.87</v>
      </c>
    </row>
    <row r="1873" spans="1:13" x14ac:dyDescent="0.25">
      <c r="A1873">
        <v>2871</v>
      </c>
      <c r="B1873" t="s">
        <v>1899</v>
      </c>
      <c r="C1873" t="s">
        <v>36</v>
      </c>
      <c r="D1873" t="s">
        <v>59</v>
      </c>
      <c r="E1873">
        <v>2</v>
      </c>
      <c r="G1873">
        <f t="shared" si="58"/>
        <v>0</v>
      </c>
      <c r="I1873">
        <f t="shared" si="59"/>
        <v>0</v>
      </c>
      <c r="J1873" s="1">
        <v>45751</v>
      </c>
      <c r="K1873" t="s">
        <v>22</v>
      </c>
      <c r="L1873" t="s">
        <v>16</v>
      </c>
      <c r="M1873">
        <v>2126.04</v>
      </c>
    </row>
    <row r="1874" spans="1:13" x14ac:dyDescent="0.25">
      <c r="A1874">
        <v>2872</v>
      </c>
      <c r="B1874" t="s">
        <v>1900</v>
      </c>
      <c r="C1874" t="s">
        <v>13</v>
      </c>
      <c r="D1874" t="s">
        <v>47</v>
      </c>
      <c r="E1874">
        <v>-1</v>
      </c>
      <c r="G1874">
        <f t="shared" si="58"/>
        <v>0</v>
      </c>
      <c r="I1874">
        <f t="shared" si="59"/>
        <v>0</v>
      </c>
      <c r="J1874" s="1">
        <v>45593</v>
      </c>
      <c r="K1874" t="s">
        <v>38</v>
      </c>
      <c r="L1874" t="s">
        <v>16</v>
      </c>
      <c r="M1874">
        <v>148.19999999999999</v>
      </c>
    </row>
    <row r="1875" spans="1:13" x14ac:dyDescent="0.25">
      <c r="A1875">
        <v>2873</v>
      </c>
      <c r="B1875" t="s">
        <v>1901</v>
      </c>
      <c r="C1875" t="s">
        <v>25</v>
      </c>
      <c r="D1875" t="s">
        <v>26</v>
      </c>
      <c r="E1875">
        <v>5</v>
      </c>
      <c r="F1875">
        <v>1354.14</v>
      </c>
      <c r="G1875">
        <f t="shared" si="58"/>
        <v>6770.7000000000007</v>
      </c>
      <c r="I1875">
        <f t="shared" si="59"/>
        <v>6770.7000000000007</v>
      </c>
      <c r="J1875" s="1">
        <v>45740</v>
      </c>
      <c r="K1875" t="s">
        <v>18</v>
      </c>
      <c r="L1875" t="s">
        <v>23</v>
      </c>
      <c r="M1875">
        <v>2535.62</v>
      </c>
    </row>
    <row r="1876" spans="1:13" x14ac:dyDescent="0.25">
      <c r="A1876">
        <v>2874</v>
      </c>
      <c r="B1876" t="s">
        <v>655</v>
      </c>
      <c r="C1876" t="s">
        <v>13</v>
      </c>
      <c r="D1876" t="s">
        <v>34</v>
      </c>
      <c r="E1876">
        <v>2</v>
      </c>
      <c r="F1876">
        <v>3754.23</v>
      </c>
      <c r="G1876">
        <f t="shared" si="58"/>
        <v>7508.46</v>
      </c>
      <c r="H1876" s="3">
        <v>0.87</v>
      </c>
      <c r="I1876">
        <f t="shared" si="59"/>
        <v>976.09980000000007</v>
      </c>
      <c r="J1876" s="1">
        <v>45561</v>
      </c>
      <c r="K1876" t="s">
        <v>22</v>
      </c>
      <c r="L1876" t="s">
        <v>16</v>
      </c>
      <c r="M1876">
        <v>-153.77000000000001</v>
      </c>
    </row>
    <row r="1877" spans="1:13" x14ac:dyDescent="0.25">
      <c r="A1877">
        <v>2875</v>
      </c>
      <c r="B1877" t="s">
        <v>1902</v>
      </c>
      <c r="C1877" t="s">
        <v>20</v>
      </c>
      <c r="D1877" t="s">
        <v>21</v>
      </c>
      <c r="E1877">
        <v>2</v>
      </c>
      <c r="G1877">
        <f t="shared" si="58"/>
        <v>0</v>
      </c>
      <c r="I1877">
        <f t="shared" si="59"/>
        <v>0</v>
      </c>
      <c r="J1877" s="1">
        <v>45609</v>
      </c>
      <c r="K1877" t="s">
        <v>15</v>
      </c>
      <c r="L1877" t="s">
        <v>23</v>
      </c>
      <c r="M1877">
        <v>1291.9000000000001</v>
      </c>
    </row>
    <row r="1878" spans="1:13" x14ac:dyDescent="0.25">
      <c r="A1878">
        <v>2876</v>
      </c>
      <c r="B1878" t="s">
        <v>1903</v>
      </c>
      <c r="C1878" t="s">
        <v>13</v>
      </c>
      <c r="D1878" t="s">
        <v>47</v>
      </c>
      <c r="E1878">
        <v>6</v>
      </c>
      <c r="F1878">
        <v>3824.82</v>
      </c>
      <c r="G1878">
        <f t="shared" si="58"/>
        <v>22948.920000000002</v>
      </c>
      <c r="H1878" s="3">
        <v>0.82</v>
      </c>
      <c r="I1878">
        <f t="shared" si="59"/>
        <v>4130.8056000000015</v>
      </c>
      <c r="J1878" s="1">
        <v>45506</v>
      </c>
      <c r="K1878" t="s">
        <v>38</v>
      </c>
      <c r="L1878" t="s">
        <v>16</v>
      </c>
      <c r="M1878">
        <v>688.53</v>
      </c>
    </row>
    <row r="1879" spans="1:13" x14ac:dyDescent="0.25">
      <c r="A1879">
        <v>2877</v>
      </c>
      <c r="B1879" t="s">
        <v>1904</v>
      </c>
      <c r="C1879" t="s">
        <v>25</v>
      </c>
      <c r="D1879" t="s">
        <v>82</v>
      </c>
      <c r="E1879">
        <v>2</v>
      </c>
      <c r="G1879">
        <f t="shared" si="58"/>
        <v>0</v>
      </c>
      <c r="H1879" s="3">
        <v>0.28999999999999998</v>
      </c>
      <c r="I1879">
        <f t="shared" si="59"/>
        <v>0</v>
      </c>
      <c r="K1879" t="s">
        <v>2517</v>
      </c>
      <c r="L1879" t="s">
        <v>23</v>
      </c>
      <c r="M1879">
        <v>2293.59</v>
      </c>
    </row>
    <row r="1880" spans="1:13" x14ac:dyDescent="0.25">
      <c r="A1880">
        <v>2878</v>
      </c>
      <c r="B1880" t="s">
        <v>1905</v>
      </c>
      <c r="C1880" t="s">
        <v>20</v>
      </c>
      <c r="D1880" t="s">
        <v>76</v>
      </c>
      <c r="E1880">
        <v>2</v>
      </c>
      <c r="G1880">
        <f t="shared" si="58"/>
        <v>0</v>
      </c>
      <c r="I1880">
        <f t="shared" si="59"/>
        <v>0</v>
      </c>
      <c r="J1880" s="1">
        <v>45663</v>
      </c>
      <c r="K1880" t="s">
        <v>2517</v>
      </c>
      <c r="L1880" t="s">
        <v>16</v>
      </c>
      <c r="M1880">
        <v>2309.5500000000002</v>
      </c>
    </row>
    <row r="1881" spans="1:13" x14ac:dyDescent="0.25">
      <c r="A1881">
        <v>2879</v>
      </c>
      <c r="B1881" t="s">
        <v>1906</v>
      </c>
      <c r="C1881" t="s">
        <v>20</v>
      </c>
      <c r="D1881" t="s">
        <v>76</v>
      </c>
      <c r="E1881">
        <v>2</v>
      </c>
      <c r="G1881">
        <f t="shared" si="58"/>
        <v>0</v>
      </c>
      <c r="H1881" s="3">
        <v>0.02</v>
      </c>
      <c r="I1881">
        <f t="shared" si="59"/>
        <v>0</v>
      </c>
      <c r="K1881" t="s">
        <v>15</v>
      </c>
      <c r="L1881" t="s">
        <v>23</v>
      </c>
      <c r="M1881">
        <v>1146.23</v>
      </c>
    </row>
    <row r="1882" spans="1:13" x14ac:dyDescent="0.25">
      <c r="A1882">
        <v>2880</v>
      </c>
      <c r="B1882" t="s">
        <v>1907</v>
      </c>
      <c r="C1882" t="s">
        <v>28</v>
      </c>
      <c r="D1882" t="s">
        <v>29</v>
      </c>
      <c r="E1882">
        <v>2</v>
      </c>
      <c r="G1882">
        <f t="shared" si="58"/>
        <v>0</v>
      </c>
      <c r="I1882">
        <f t="shared" si="59"/>
        <v>0</v>
      </c>
      <c r="J1882" s="1">
        <v>45823</v>
      </c>
      <c r="K1882" t="s">
        <v>22</v>
      </c>
      <c r="L1882" t="s">
        <v>16</v>
      </c>
      <c r="M1882">
        <v>970.22</v>
      </c>
    </row>
    <row r="1883" spans="1:13" x14ac:dyDescent="0.25">
      <c r="A1883">
        <v>2881</v>
      </c>
      <c r="B1883" t="s">
        <v>1908</v>
      </c>
      <c r="C1883" t="s">
        <v>13</v>
      </c>
      <c r="D1883" t="s">
        <v>34</v>
      </c>
      <c r="E1883">
        <v>-2</v>
      </c>
      <c r="G1883">
        <f t="shared" si="58"/>
        <v>0</v>
      </c>
      <c r="I1883">
        <f t="shared" si="59"/>
        <v>0</v>
      </c>
      <c r="J1883" s="1">
        <v>45538</v>
      </c>
      <c r="K1883" t="s">
        <v>2517</v>
      </c>
      <c r="L1883" t="s">
        <v>16</v>
      </c>
      <c r="M1883">
        <v>1850.77</v>
      </c>
    </row>
    <row r="1884" spans="1:13" x14ac:dyDescent="0.25">
      <c r="A1884">
        <v>2882</v>
      </c>
      <c r="B1884" t="s">
        <v>1909</v>
      </c>
      <c r="C1884" t="s">
        <v>28</v>
      </c>
      <c r="D1884" t="s">
        <v>137</v>
      </c>
      <c r="E1884">
        <v>3</v>
      </c>
      <c r="F1884">
        <v>583.53</v>
      </c>
      <c r="G1884">
        <f t="shared" si="58"/>
        <v>1750.59</v>
      </c>
      <c r="I1884">
        <f t="shared" si="59"/>
        <v>1750.59</v>
      </c>
      <c r="J1884" s="1">
        <v>45701</v>
      </c>
      <c r="K1884" t="s">
        <v>22</v>
      </c>
      <c r="L1884" t="s">
        <v>16</v>
      </c>
      <c r="M1884">
        <v>2334.42</v>
      </c>
    </row>
    <row r="1885" spans="1:13" x14ac:dyDescent="0.25">
      <c r="A1885">
        <v>2883</v>
      </c>
      <c r="B1885" t="s">
        <v>1910</v>
      </c>
      <c r="C1885" t="s">
        <v>31</v>
      </c>
      <c r="D1885" t="s">
        <v>78</v>
      </c>
      <c r="E1885">
        <v>2</v>
      </c>
      <c r="F1885">
        <v>2320.7600000000002</v>
      </c>
      <c r="G1885">
        <f t="shared" si="58"/>
        <v>4641.5200000000004</v>
      </c>
      <c r="I1885">
        <f t="shared" si="59"/>
        <v>4641.5200000000004</v>
      </c>
      <c r="J1885" s="1">
        <v>45850</v>
      </c>
      <c r="K1885" t="s">
        <v>18</v>
      </c>
      <c r="L1885" t="s">
        <v>16</v>
      </c>
      <c r="M1885">
        <v>2529.16</v>
      </c>
    </row>
    <row r="1886" spans="1:13" x14ac:dyDescent="0.25">
      <c r="A1886">
        <v>2884</v>
      </c>
      <c r="B1886" t="s">
        <v>1911</v>
      </c>
      <c r="C1886" t="s">
        <v>13</v>
      </c>
      <c r="D1886" t="s">
        <v>98</v>
      </c>
      <c r="E1886">
        <v>2</v>
      </c>
      <c r="G1886">
        <f t="shared" si="58"/>
        <v>0</v>
      </c>
      <c r="H1886" s="3">
        <v>0.4</v>
      </c>
      <c r="I1886">
        <f t="shared" si="59"/>
        <v>0</v>
      </c>
      <c r="J1886" s="1">
        <v>45701</v>
      </c>
      <c r="K1886" t="s">
        <v>44</v>
      </c>
      <c r="L1886" t="s">
        <v>23</v>
      </c>
      <c r="M1886">
        <v>896.38</v>
      </c>
    </row>
    <row r="1887" spans="1:13" x14ac:dyDescent="0.25">
      <c r="A1887">
        <v>2885</v>
      </c>
      <c r="B1887" t="s">
        <v>1912</v>
      </c>
      <c r="C1887" t="s">
        <v>31</v>
      </c>
      <c r="D1887" t="s">
        <v>68</v>
      </c>
      <c r="E1887">
        <v>2</v>
      </c>
      <c r="F1887">
        <v>2666.48</v>
      </c>
      <c r="G1887">
        <f t="shared" si="58"/>
        <v>5332.96</v>
      </c>
      <c r="I1887">
        <f t="shared" si="59"/>
        <v>5332.96</v>
      </c>
      <c r="J1887" s="1">
        <v>45776</v>
      </c>
      <c r="K1887" t="s">
        <v>44</v>
      </c>
      <c r="L1887" t="s">
        <v>23</v>
      </c>
      <c r="M1887">
        <v>-17.89</v>
      </c>
    </row>
    <row r="1888" spans="1:13" x14ac:dyDescent="0.25">
      <c r="A1888">
        <v>2886</v>
      </c>
      <c r="B1888" t="s">
        <v>1913</v>
      </c>
      <c r="C1888" t="s">
        <v>31</v>
      </c>
      <c r="D1888" t="s">
        <v>78</v>
      </c>
      <c r="E1888">
        <v>2</v>
      </c>
      <c r="F1888">
        <v>3229.15</v>
      </c>
      <c r="G1888">
        <f t="shared" si="58"/>
        <v>6458.3</v>
      </c>
      <c r="H1888" s="3">
        <v>1.03</v>
      </c>
      <c r="I1888">
        <f t="shared" si="59"/>
        <v>-193.74900000000017</v>
      </c>
      <c r="J1888" s="1">
        <v>45747</v>
      </c>
      <c r="K1888" t="s">
        <v>18</v>
      </c>
      <c r="L1888" t="s">
        <v>23</v>
      </c>
      <c r="M1888">
        <v>175.26</v>
      </c>
    </row>
    <row r="1889" spans="1:13" x14ac:dyDescent="0.25">
      <c r="A1889">
        <v>2887</v>
      </c>
      <c r="B1889" t="s">
        <v>1914</v>
      </c>
      <c r="C1889" t="s">
        <v>13</v>
      </c>
      <c r="D1889" t="s">
        <v>34</v>
      </c>
      <c r="E1889">
        <v>2</v>
      </c>
      <c r="F1889">
        <v>3331.72</v>
      </c>
      <c r="G1889">
        <f t="shared" si="58"/>
        <v>6663.44</v>
      </c>
      <c r="H1889" s="3">
        <v>1.25</v>
      </c>
      <c r="I1889">
        <f t="shared" si="59"/>
        <v>-1665.86</v>
      </c>
      <c r="K1889" t="s">
        <v>22</v>
      </c>
      <c r="L1889" t="s">
        <v>23</v>
      </c>
      <c r="M1889">
        <v>-267.95999999999998</v>
      </c>
    </row>
    <row r="1890" spans="1:13" x14ac:dyDescent="0.25">
      <c r="A1890">
        <v>2888</v>
      </c>
      <c r="B1890" t="s">
        <v>1915</v>
      </c>
      <c r="C1890" t="s">
        <v>36</v>
      </c>
      <c r="D1890" t="s">
        <v>37</v>
      </c>
      <c r="E1890">
        <v>-1</v>
      </c>
      <c r="G1890">
        <f t="shared" si="58"/>
        <v>0</v>
      </c>
      <c r="I1890">
        <f t="shared" si="59"/>
        <v>0</v>
      </c>
      <c r="J1890" s="1">
        <v>45148</v>
      </c>
      <c r="K1890" t="s">
        <v>18</v>
      </c>
      <c r="L1890" t="s">
        <v>16</v>
      </c>
      <c r="M1890">
        <v>2007.16</v>
      </c>
    </row>
    <row r="1891" spans="1:13" x14ac:dyDescent="0.25">
      <c r="A1891">
        <v>2889</v>
      </c>
      <c r="B1891" t="s">
        <v>1916</v>
      </c>
      <c r="C1891" t="s">
        <v>25</v>
      </c>
      <c r="D1891" t="s">
        <v>26</v>
      </c>
      <c r="E1891">
        <v>5</v>
      </c>
      <c r="G1891">
        <f t="shared" si="58"/>
        <v>0</v>
      </c>
      <c r="I1891">
        <f t="shared" si="59"/>
        <v>0</v>
      </c>
      <c r="J1891" s="1">
        <v>45130</v>
      </c>
      <c r="K1891" t="s">
        <v>2517</v>
      </c>
      <c r="L1891" t="s">
        <v>16</v>
      </c>
      <c r="M1891">
        <v>1874.28</v>
      </c>
    </row>
    <row r="1892" spans="1:13" x14ac:dyDescent="0.25">
      <c r="A1892">
        <v>2890</v>
      </c>
      <c r="B1892" t="s">
        <v>1917</v>
      </c>
      <c r="C1892" t="s">
        <v>36</v>
      </c>
      <c r="D1892" t="s">
        <v>59</v>
      </c>
      <c r="E1892">
        <v>1</v>
      </c>
      <c r="F1892">
        <v>2357.36</v>
      </c>
      <c r="G1892">
        <f t="shared" si="58"/>
        <v>2357.36</v>
      </c>
      <c r="I1892">
        <f t="shared" si="59"/>
        <v>2357.36</v>
      </c>
      <c r="J1892" s="1">
        <v>45413</v>
      </c>
      <c r="K1892" t="s">
        <v>44</v>
      </c>
      <c r="L1892" t="s">
        <v>16</v>
      </c>
      <c r="M1892">
        <v>468.3</v>
      </c>
    </row>
    <row r="1893" spans="1:13" x14ac:dyDescent="0.25">
      <c r="A1893">
        <v>2891</v>
      </c>
      <c r="B1893" t="s">
        <v>1918</v>
      </c>
      <c r="C1893" t="s">
        <v>20</v>
      </c>
      <c r="D1893" t="s">
        <v>21</v>
      </c>
      <c r="E1893">
        <v>2</v>
      </c>
      <c r="G1893">
        <f t="shared" si="58"/>
        <v>0</v>
      </c>
      <c r="I1893">
        <f t="shared" si="59"/>
        <v>0</v>
      </c>
      <c r="K1893" t="s">
        <v>18</v>
      </c>
      <c r="L1893" t="s">
        <v>16</v>
      </c>
      <c r="M1893">
        <v>-363.86</v>
      </c>
    </row>
    <row r="1894" spans="1:13" x14ac:dyDescent="0.25">
      <c r="A1894">
        <v>2892</v>
      </c>
      <c r="B1894" t="s">
        <v>1919</v>
      </c>
      <c r="C1894" t="s">
        <v>28</v>
      </c>
      <c r="D1894" t="s">
        <v>29</v>
      </c>
      <c r="E1894">
        <v>2</v>
      </c>
      <c r="G1894">
        <f t="shared" si="58"/>
        <v>0</v>
      </c>
      <c r="I1894">
        <f t="shared" si="59"/>
        <v>0</v>
      </c>
      <c r="J1894" s="1">
        <v>45519</v>
      </c>
      <c r="K1894" t="s">
        <v>18</v>
      </c>
      <c r="L1894" t="s">
        <v>16</v>
      </c>
      <c r="M1894">
        <v>-502.19</v>
      </c>
    </row>
    <row r="1895" spans="1:13" x14ac:dyDescent="0.25">
      <c r="A1895">
        <v>2893</v>
      </c>
      <c r="B1895" t="s">
        <v>1920</v>
      </c>
      <c r="C1895" t="s">
        <v>25</v>
      </c>
      <c r="D1895" t="s">
        <v>26</v>
      </c>
      <c r="E1895">
        <v>2</v>
      </c>
      <c r="G1895">
        <f t="shared" si="58"/>
        <v>0</v>
      </c>
      <c r="I1895">
        <f t="shared" si="59"/>
        <v>0</v>
      </c>
      <c r="J1895" s="1">
        <v>45542</v>
      </c>
      <c r="K1895" t="s">
        <v>38</v>
      </c>
      <c r="L1895" t="s">
        <v>23</v>
      </c>
      <c r="M1895">
        <v>1825.47</v>
      </c>
    </row>
    <row r="1896" spans="1:13" x14ac:dyDescent="0.25">
      <c r="A1896">
        <v>2894</v>
      </c>
      <c r="B1896" t="s">
        <v>1921</v>
      </c>
      <c r="C1896" t="s">
        <v>25</v>
      </c>
      <c r="D1896" t="s">
        <v>26</v>
      </c>
      <c r="E1896">
        <v>3</v>
      </c>
      <c r="G1896">
        <f t="shared" si="58"/>
        <v>0</v>
      </c>
      <c r="I1896">
        <f t="shared" si="59"/>
        <v>0</v>
      </c>
      <c r="K1896" t="s">
        <v>38</v>
      </c>
      <c r="L1896" t="s">
        <v>23</v>
      </c>
      <c r="M1896">
        <v>1479.24</v>
      </c>
    </row>
    <row r="1897" spans="1:13" x14ac:dyDescent="0.25">
      <c r="A1897">
        <v>1006</v>
      </c>
      <c r="B1897" t="s">
        <v>1922</v>
      </c>
      <c r="C1897" t="s">
        <v>25</v>
      </c>
      <c r="D1897" t="s">
        <v>82</v>
      </c>
      <c r="E1897">
        <v>2</v>
      </c>
      <c r="F1897">
        <v>3593.06</v>
      </c>
      <c r="G1897">
        <f t="shared" si="58"/>
        <v>7186.12</v>
      </c>
      <c r="H1897" s="3">
        <v>0.34</v>
      </c>
      <c r="I1897">
        <f t="shared" si="59"/>
        <v>4742.8391999999994</v>
      </c>
      <c r="K1897" t="s">
        <v>2517</v>
      </c>
      <c r="L1897" t="s">
        <v>16</v>
      </c>
      <c r="M1897">
        <v>1031.6600000000001</v>
      </c>
    </row>
    <row r="1898" spans="1:13" x14ac:dyDescent="0.25">
      <c r="A1898">
        <v>2896</v>
      </c>
      <c r="B1898" t="s">
        <v>1923</v>
      </c>
      <c r="C1898" t="s">
        <v>36</v>
      </c>
      <c r="D1898" t="s">
        <v>59</v>
      </c>
      <c r="E1898">
        <v>2</v>
      </c>
      <c r="G1898">
        <f t="shared" si="58"/>
        <v>0</v>
      </c>
      <c r="I1898">
        <f t="shared" si="59"/>
        <v>0</v>
      </c>
      <c r="J1898" s="1">
        <v>45552</v>
      </c>
      <c r="K1898" t="s">
        <v>2517</v>
      </c>
      <c r="L1898" t="s">
        <v>16</v>
      </c>
      <c r="M1898">
        <v>2760.7</v>
      </c>
    </row>
    <row r="1899" spans="1:13" x14ac:dyDescent="0.25">
      <c r="A1899">
        <v>2897</v>
      </c>
      <c r="B1899" t="s">
        <v>1924</v>
      </c>
      <c r="C1899" t="s">
        <v>20</v>
      </c>
      <c r="D1899" t="s">
        <v>84</v>
      </c>
      <c r="E1899">
        <v>1</v>
      </c>
      <c r="F1899">
        <v>1194.44</v>
      </c>
      <c r="G1899">
        <f t="shared" si="58"/>
        <v>1194.44</v>
      </c>
      <c r="I1899">
        <f t="shared" si="59"/>
        <v>1194.44</v>
      </c>
      <c r="J1899" s="1">
        <v>45824</v>
      </c>
      <c r="K1899" t="s">
        <v>15</v>
      </c>
      <c r="L1899" t="s">
        <v>23</v>
      </c>
      <c r="M1899">
        <v>1048.51</v>
      </c>
    </row>
    <row r="1900" spans="1:13" x14ac:dyDescent="0.25">
      <c r="A1900">
        <v>2898</v>
      </c>
      <c r="B1900" t="s">
        <v>1925</v>
      </c>
      <c r="C1900" t="s">
        <v>36</v>
      </c>
      <c r="D1900" t="s">
        <v>59</v>
      </c>
      <c r="E1900">
        <v>6</v>
      </c>
      <c r="G1900">
        <f t="shared" si="58"/>
        <v>0</v>
      </c>
      <c r="H1900" s="3">
        <v>0.54</v>
      </c>
      <c r="I1900">
        <f t="shared" si="59"/>
        <v>0</v>
      </c>
      <c r="J1900" s="1">
        <v>45795</v>
      </c>
      <c r="K1900" t="s">
        <v>15</v>
      </c>
      <c r="L1900" t="s">
        <v>23</v>
      </c>
      <c r="M1900">
        <v>-274.57</v>
      </c>
    </row>
    <row r="1901" spans="1:13" x14ac:dyDescent="0.25">
      <c r="A1901">
        <v>2899</v>
      </c>
      <c r="B1901" t="s">
        <v>1926</v>
      </c>
      <c r="C1901" t="s">
        <v>28</v>
      </c>
      <c r="D1901" t="s">
        <v>40</v>
      </c>
      <c r="E1901">
        <v>2</v>
      </c>
      <c r="F1901">
        <v>3086.59</v>
      </c>
      <c r="G1901">
        <f t="shared" si="58"/>
        <v>6173.18</v>
      </c>
      <c r="I1901">
        <f t="shared" si="59"/>
        <v>6173.18</v>
      </c>
      <c r="J1901" s="1">
        <v>45683</v>
      </c>
      <c r="K1901" t="s">
        <v>15</v>
      </c>
      <c r="L1901" t="s">
        <v>16</v>
      </c>
      <c r="M1901">
        <v>-745.27</v>
      </c>
    </row>
    <row r="1902" spans="1:13" x14ac:dyDescent="0.25">
      <c r="A1902">
        <v>2900</v>
      </c>
      <c r="B1902" t="s">
        <v>1927</v>
      </c>
      <c r="C1902" t="s">
        <v>36</v>
      </c>
      <c r="D1902" t="s">
        <v>59</v>
      </c>
      <c r="E1902">
        <v>2</v>
      </c>
      <c r="G1902">
        <f t="shared" si="58"/>
        <v>0</v>
      </c>
      <c r="I1902">
        <f t="shared" si="59"/>
        <v>0</v>
      </c>
      <c r="K1902" t="s">
        <v>18</v>
      </c>
      <c r="L1902" t="s">
        <v>23</v>
      </c>
      <c r="M1902">
        <v>36.92</v>
      </c>
    </row>
    <row r="1903" spans="1:13" x14ac:dyDescent="0.25">
      <c r="A1903">
        <v>2901</v>
      </c>
      <c r="B1903" t="s">
        <v>1928</v>
      </c>
      <c r="C1903" t="s">
        <v>25</v>
      </c>
      <c r="D1903" t="s">
        <v>51</v>
      </c>
      <c r="E1903">
        <v>2</v>
      </c>
      <c r="F1903">
        <v>1817.71</v>
      </c>
      <c r="G1903">
        <f t="shared" si="58"/>
        <v>3635.42</v>
      </c>
      <c r="I1903">
        <f t="shared" si="59"/>
        <v>3635.42</v>
      </c>
      <c r="J1903" s="1">
        <v>45775</v>
      </c>
      <c r="K1903" t="s">
        <v>22</v>
      </c>
      <c r="L1903" t="s">
        <v>16</v>
      </c>
      <c r="M1903">
        <v>391.06</v>
      </c>
    </row>
    <row r="1904" spans="1:13" x14ac:dyDescent="0.25">
      <c r="A1904">
        <v>2902</v>
      </c>
      <c r="B1904" t="s">
        <v>1929</v>
      </c>
      <c r="C1904" t="s">
        <v>13</v>
      </c>
      <c r="D1904" t="s">
        <v>34</v>
      </c>
      <c r="E1904">
        <v>5</v>
      </c>
      <c r="F1904">
        <v>3153.37</v>
      </c>
      <c r="G1904">
        <f t="shared" si="58"/>
        <v>15766.849999999999</v>
      </c>
      <c r="I1904">
        <f t="shared" si="59"/>
        <v>15766.849999999999</v>
      </c>
      <c r="J1904" s="1">
        <v>45563</v>
      </c>
      <c r="K1904" t="s">
        <v>38</v>
      </c>
      <c r="L1904" t="s">
        <v>16</v>
      </c>
      <c r="M1904">
        <v>-594.19000000000005</v>
      </c>
    </row>
    <row r="1905" spans="1:13" x14ac:dyDescent="0.25">
      <c r="A1905">
        <v>2903</v>
      </c>
      <c r="B1905" t="s">
        <v>1930</v>
      </c>
      <c r="C1905" t="s">
        <v>31</v>
      </c>
      <c r="D1905" t="s">
        <v>68</v>
      </c>
      <c r="E1905">
        <v>2</v>
      </c>
      <c r="G1905">
        <f t="shared" si="58"/>
        <v>0</v>
      </c>
      <c r="I1905">
        <f t="shared" si="59"/>
        <v>0</v>
      </c>
      <c r="K1905" t="s">
        <v>2517</v>
      </c>
      <c r="L1905" t="s">
        <v>16</v>
      </c>
      <c r="M1905">
        <v>2232.1799999999998</v>
      </c>
    </row>
    <row r="1906" spans="1:13" x14ac:dyDescent="0.25">
      <c r="A1906">
        <v>2904</v>
      </c>
      <c r="B1906" t="s">
        <v>1931</v>
      </c>
      <c r="C1906" t="s">
        <v>31</v>
      </c>
      <c r="D1906" t="s">
        <v>32</v>
      </c>
      <c r="E1906">
        <v>5</v>
      </c>
      <c r="F1906">
        <v>1202.73</v>
      </c>
      <c r="G1906">
        <f t="shared" si="58"/>
        <v>6013.65</v>
      </c>
      <c r="I1906">
        <f t="shared" si="59"/>
        <v>6013.65</v>
      </c>
      <c r="J1906" s="1">
        <v>45599</v>
      </c>
      <c r="K1906" t="s">
        <v>2517</v>
      </c>
      <c r="L1906" t="s">
        <v>16</v>
      </c>
      <c r="M1906">
        <v>658.6</v>
      </c>
    </row>
    <row r="1907" spans="1:13" x14ac:dyDescent="0.25">
      <c r="A1907">
        <v>2905</v>
      </c>
      <c r="B1907" t="s">
        <v>1932</v>
      </c>
      <c r="C1907" t="s">
        <v>13</v>
      </c>
      <c r="D1907" t="s">
        <v>47</v>
      </c>
      <c r="E1907">
        <v>2</v>
      </c>
      <c r="F1907">
        <v>1478.93</v>
      </c>
      <c r="G1907">
        <f t="shared" si="58"/>
        <v>2957.86</v>
      </c>
      <c r="I1907">
        <f t="shared" si="59"/>
        <v>2957.86</v>
      </c>
      <c r="J1907" s="1">
        <v>45715</v>
      </c>
      <c r="K1907" t="s">
        <v>2517</v>
      </c>
      <c r="L1907" t="s">
        <v>16</v>
      </c>
      <c r="M1907">
        <v>25.28</v>
      </c>
    </row>
    <row r="1908" spans="1:13" x14ac:dyDescent="0.25">
      <c r="A1908">
        <v>2906</v>
      </c>
      <c r="B1908" t="s">
        <v>1933</v>
      </c>
      <c r="C1908" t="s">
        <v>36</v>
      </c>
      <c r="D1908" t="s">
        <v>87</v>
      </c>
      <c r="E1908">
        <v>2</v>
      </c>
      <c r="G1908">
        <f t="shared" si="58"/>
        <v>0</v>
      </c>
      <c r="H1908" s="3">
        <v>0.25</v>
      </c>
      <c r="I1908">
        <f t="shared" si="59"/>
        <v>0</v>
      </c>
      <c r="J1908" s="1">
        <v>45539</v>
      </c>
      <c r="K1908" t="s">
        <v>18</v>
      </c>
      <c r="L1908" t="s">
        <v>16</v>
      </c>
      <c r="M1908">
        <v>-116.3</v>
      </c>
    </row>
    <row r="1909" spans="1:13" x14ac:dyDescent="0.25">
      <c r="A1909">
        <v>2907</v>
      </c>
      <c r="B1909" t="s">
        <v>1934</v>
      </c>
      <c r="C1909" t="s">
        <v>31</v>
      </c>
      <c r="D1909" t="s">
        <v>78</v>
      </c>
      <c r="E1909">
        <v>2</v>
      </c>
      <c r="G1909">
        <f t="shared" si="58"/>
        <v>0</v>
      </c>
      <c r="I1909">
        <f t="shared" si="59"/>
        <v>0</v>
      </c>
      <c r="J1909" s="1">
        <v>45778</v>
      </c>
      <c r="K1909" t="s">
        <v>2517</v>
      </c>
      <c r="L1909" t="s">
        <v>23</v>
      </c>
      <c r="M1909">
        <v>-782.3</v>
      </c>
    </row>
    <row r="1910" spans="1:13" x14ac:dyDescent="0.25">
      <c r="A1910">
        <v>2908</v>
      </c>
      <c r="B1910" t="s">
        <v>1935</v>
      </c>
      <c r="C1910" t="s">
        <v>13</v>
      </c>
      <c r="D1910" t="s">
        <v>47</v>
      </c>
      <c r="E1910">
        <v>2</v>
      </c>
      <c r="G1910">
        <f t="shared" si="58"/>
        <v>0</v>
      </c>
      <c r="H1910" s="3">
        <v>0.51</v>
      </c>
      <c r="I1910">
        <f t="shared" si="59"/>
        <v>0</v>
      </c>
      <c r="J1910" s="1">
        <v>45136</v>
      </c>
      <c r="K1910" t="s">
        <v>44</v>
      </c>
      <c r="L1910" t="s">
        <v>16</v>
      </c>
      <c r="M1910">
        <v>-61.23</v>
      </c>
    </row>
    <row r="1911" spans="1:13" x14ac:dyDescent="0.25">
      <c r="A1911">
        <v>2909</v>
      </c>
      <c r="B1911" t="s">
        <v>1936</v>
      </c>
      <c r="C1911" t="s">
        <v>31</v>
      </c>
      <c r="D1911" t="s">
        <v>32</v>
      </c>
      <c r="E1911">
        <v>2</v>
      </c>
      <c r="F1911">
        <v>2928.84</v>
      </c>
      <c r="G1911">
        <f t="shared" si="58"/>
        <v>5857.68</v>
      </c>
      <c r="I1911">
        <f t="shared" si="59"/>
        <v>5857.68</v>
      </c>
      <c r="J1911" s="1">
        <v>45727</v>
      </c>
      <c r="K1911" t="s">
        <v>15</v>
      </c>
      <c r="L1911" t="s">
        <v>23</v>
      </c>
      <c r="M1911">
        <v>-477.2</v>
      </c>
    </row>
    <row r="1912" spans="1:13" x14ac:dyDescent="0.25">
      <c r="A1912">
        <v>2910</v>
      </c>
      <c r="B1912" t="s">
        <v>1937</v>
      </c>
      <c r="C1912" t="s">
        <v>36</v>
      </c>
      <c r="D1912" t="s">
        <v>87</v>
      </c>
      <c r="E1912">
        <v>2</v>
      </c>
      <c r="F1912">
        <v>1027.54</v>
      </c>
      <c r="G1912">
        <f t="shared" si="58"/>
        <v>2055.08</v>
      </c>
      <c r="H1912" s="3">
        <v>0.55000000000000004</v>
      </c>
      <c r="I1912">
        <f t="shared" si="59"/>
        <v>924.78599999999983</v>
      </c>
      <c r="J1912" s="1">
        <v>45678</v>
      </c>
      <c r="K1912" t="s">
        <v>18</v>
      </c>
      <c r="L1912" t="s">
        <v>16</v>
      </c>
      <c r="M1912">
        <v>-580.87</v>
      </c>
    </row>
    <row r="1913" spans="1:13" x14ac:dyDescent="0.25">
      <c r="A1913">
        <v>2911</v>
      </c>
      <c r="B1913" t="s">
        <v>1938</v>
      </c>
      <c r="C1913" t="s">
        <v>36</v>
      </c>
      <c r="D1913" t="s">
        <v>37</v>
      </c>
      <c r="E1913">
        <v>1</v>
      </c>
      <c r="G1913">
        <f t="shared" si="58"/>
        <v>0</v>
      </c>
      <c r="I1913">
        <f t="shared" si="59"/>
        <v>0</v>
      </c>
      <c r="K1913" t="s">
        <v>18</v>
      </c>
      <c r="L1913" t="s">
        <v>23</v>
      </c>
      <c r="M1913">
        <v>2672.56</v>
      </c>
    </row>
    <row r="1914" spans="1:13" x14ac:dyDescent="0.25">
      <c r="A1914">
        <v>2912</v>
      </c>
      <c r="B1914" t="s">
        <v>1939</v>
      </c>
      <c r="C1914" t="s">
        <v>25</v>
      </c>
      <c r="D1914" t="s">
        <v>82</v>
      </c>
      <c r="E1914">
        <v>2</v>
      </c>
      <c r="G1914">
        <f t="shared" si="58"/>
        <v>0</v>
      </c>
      <c r="I1914">
        <f t="shared" si="59"/>
        <v>0</v>
      </c>
      <c r="J1914" s="1">
        <v>45506</v>
      </c>
      <c r="K1914" t="s">
        <v>44</v>
      </c>
      <c r="L1914" t="s">
        <v>16</v>
      </c>
      <c r="M1914">
        <v>-97.77</v>
      </c>
    </row>
    <row r="1915" spans="1:13" x14ac:dyDescent="0.25">
      <c r="A1915">
        <v>2913</v>
      </c>
      <c r="B1915" t="s">
        <v>1940</v>
      </c>
      <c r="C1915" t="s">
        <v>25</v>
      </c>
      <c r="D1915" t="s">
        <v>51</v>
      </c>
      <c r="E1915">
        <v>2</v>
      </c>
      <c r="G1915">
        <f t="shared" si="58"/>
        <v>0</v>
      </c>
      <c r="I1915">
        <f t="shared" si="59"/>
        <v>0</v>
      </c>
      <c r="K1915" t="s">
        <v>18</v>
      </c>
      <c r="L1915" t="s">
        <v>16</v>
      </c>
      <c r="M1915">
        <v>1693.76</v>
      </c>
    </row>
    <row r="1916" spans="1:13" x14ac:dyDescent="0.25">
      <c r="A1916">
        <v>2914</v>
      </c>
      <c r="B1916" t="s">
        <v>1941</v>
      </c>
      <c r="C1916" t="s">
        <v>28</v>
      </c>
      <c r="D1916" t="s">
        <v>29</v>
      </c>
      <c r="E1916">
        <v>2</v>
      </c>
      <c r="G1916">
        <f t="shared" si="58"/>
        <v>0</v>
      </c>
      <c r="H1916" s="3">
        <v>1.03</v>
      </c>
      <c r="I1916">
        <f t="shared" si="59"/>
        <v>0</v>
      </c>
      <c r="J1916" s="1">
        <v>45281</v>
      </c>
      <c r="K1916" t="s">
        <v>15</v>
      </c>
      <c r="L1916" t="s">
        <v>16</v>
      </c>
      <c r="M1916">
        <v>2321.6</v>
      </c>
    </row>
    <row r="1917" spans="1:13" x14ac:dyDescent="0.25">
      <c r="A1917">
        <v>2915</v>
      </c>
      <c r="B1917" t="s">
        <v>1942</v>
      </c>
      <c r="C1917" t="s">
        <v>28</v>
      </c>
      <c r="D1917" t="s">
        <v>29</v>
      </c>
      <c r="E1917">
        <v>2</v>
      </c>
      <c r="F1917">
        <v>3022.15</v>
      </c>
      <c r="G1917">
        <f t="shared" si="58"/>
        <v>6044.3</v>
      </c>
      <c r="I1917">
        <f t="shared" si="59"/>
        <v>6044.3</v>
      </c>
      <c r="J1917" s="1">
        <v>45645</v>
      </c>
      <c r="K1917" t="s">
        <v>15</v>
      </c>
      <c r="L1917" t="s">
        <v>16</v>
      </c>
      <c r="M1917">
        <v>-528.82000000000005</v>
      </c>
    </row>
    <row r="1918" spans="1:13" x14ac:dyDescent="0.25">
      <c r="A1918">
        <v>2916</v>
      </c>
      <c r="B1918" t="s">
        <v>1943</v>
      </c>
      <c r="C1918" t="s">
        <v>20</v>
      </c>
      <c r="D1918" t="s">
        <v>84</v>
      </c>
      <c r="E1918">
        <v>2</v>
      </c>
      <c r="F1918">
        <v>2483.4899999999998</v>
      </c>
      <c r="G1918">
        <f t="shared" si="58"/>
        <v>4966.9799999999996</v>
      </c>
      <c r="I1918">
        <f t="shared" si="59"/>
        <v>4966.9799999999996</v>
      </c>
      <c r="J1918" s="1">
        <v>45758</v>
      </c>
      <c r="K1918" t="s">
        <v>18</v>
      </c>
      <c r="L1918" t="s">
        <v>23</v>
      </c>
      <c r="M1918">
        <v>370.61</v>
      </c>
    </row>
    <row r="1919" spans="1:13" x14ac:dyDescent="0.25">
      <c r="A1919">
        <v>1027</v>
      </c>
      <c r="B1919" t="s">
        <v>1944</v>
      </c>
      <c r="C1919" t="s">
        <v>28</v>
      </c>
      <c r="D1919" t="s">
        <v>116</v>
      </c>
      <c r="E1919">
        <v>2</v>
      </c>
      <c r="F1919">
        <v>2092.33</v>
      </c>
      <c r="G1919">
        <f t="shared" si="58"/>
        <v>4184.66</v>
      </c>
      <c r="I1919">
        <f t="shared" si="59"/>
        <v>4184.66</v>
      </c>
      <c r="J1919" s="1">
        <v>45761</v>
      </c>
      <c r="K1919" t="s">
        <v>18</v>
      </c>
      <c r="L1919" t="s">
        <v>16</v>
      </c>
      <c r="M1919">
        <v>-586.88</v>
      </c>
    </row>
    <row r="1920" spans="1:13" x14ac:dyDescent="0.25">
      <c r="A1920">
        <v>2918</v>
      </c>
      <c r="B1920" t="s">
        <v>1945</v>
      </c>
      <c r="C1920" t="s">
        <v>25</v>
      </c>
      <c r="D1920" t="s">
        <v>51</v>
      </c>
      <c r="E1920">
        <v>2</v>
      </c>
      <c r="G1920">
        <f t="shared" si="58"/>
        <v>0</v>
      </c>
      <c r="I1920">
        <f t="shared" si="59"/>
        <v>0</v>
      </c>
      <c r="K1920" t="s">
        <v>15</v>
      </c>
      <c r="L1920" t="s">
        <v>16</v>
      </c>
      <c r="M1920">
        <v>899.98</v>
      </c>
    </row>
    <row r="1921" spans="1:13" x14ac:dyDescent="0.25">
      <c r="A1921">
        <v>2919</v>
      </c>
      <c r="B1921" t="s">
        <v>1946</v>
      </c>
      <c r="C1921" t="s">
        <v>13</v>
      </c>
      <c r="D1921" t="s">
        <v>14</v>
      </c>
      <c r="E1921">
        <v>2</v>
      </c>
      <c r="F1921">
        <v>535.62</v>
      </c>
      <c r="G1921">
        <f t="shared" si="58"/>
        <v>1071.24</v>
      </c>
      <c r="I1921">
        <f t="shared" si="59"/>
        <v>1071.24</v>
      </c>
      <c r="J1921" s="1">
        <v>45500</v>
      </c>
      <c r="K1921" t="s">
        <v>38</v>
      </c>
      <c r="L1921" t="s">
        <v>16</v>
      </c>
      <c r="M1921">
        <v>-637.47</v>
      </c>
    </row>
    <row r="1922" spans="1:13" x14ac:dyDescent="0.25">
      <c r="A1922">
        <v>2920</v>
      </c>
      <c r="B1922" t="s">
        <v>555</v>
      </c>
      <c r="C1922" t="s">
        <v>28</v>
      </c>
      <c r="D1922" t="s">
        <v>29</v>
      </c>
      <c r="E1922">
        <v>1</v>
      </c>
      <c r="G1922">
        <f t="shared" si="58"/>
        <v>0</v>
      </c>
      <c r="H1922" s="3">
        <v>1.3</v>
      </c>
      <c r="I1922">
        <f t="shared" si="59"/>
        <v>0</v>
      </c>
      <c r="J1922" s="1">
        <v>45648</v>
      </c>
      <c r="K1922" t="s">
        <v>2517</v>
      </c>
      <c r="L1922" t="s">
        <v>16</v>
      </c>
      <c r="M1922">
        <v>489.94</v>
      </c>
    </row>
    <row r="1923" spans="1:13" x14ac:dyDescent="0.25">
      <c r="A1923">
        <v>2921</v>
      </c>
      <c r="B1923" t="s">
        <v>1947</v>
      </c>
      <c r="C1923" t="s">
        <v>25</v>
      </c>
      <c r="D1923" t="s">
        <v>51</v>
      </c>
      <c r="E1923">
        <v>6</v>
      </c>
      <c r="G1923">
        <f t="shared" ref="G1923:G1986" si="60">F1923*E1923</f>
        <v>0</v>
      </c>
      <c r="I1923">
        <f t="shared" ref="I1923:I1986" si="61">G1923*(1-H1923)</f>
        <v>0</v>
      </c>
      <c r="J1923" s="1">
        <v>45826</v>
      </c>
      <c r="K1923" t="s">
        <v>2517</v>
      </c>
      <c r="L1923" t="s">
        <v>16</v>
      </c>
      <c r="M1923">
        <v>-821.17</v>
      </c>
    </row>
    <row r="1924" spans="1:13" x14ac:dyDescent="0.25">
      <c r="A1924">
        <v>2922</v>
      </c>
      <c r="B1924" t="s">
        <v>1948</v>
      </c>
      <c r="C1924" t="s">
        <v>20</v>
      </c>
      <c r="D1924" t="s">
        <v>118</v>
      </c>
      <c r="E1924">
        <v>2</v>
      </c>
      <c r="F1924">
        <v>2488.9499999999998</v>
      </c>
      <c r="G1924">
        <f t="shared" si="60"/>
        <v>4977.8999999999996</v>
      </c>
      <c r="H1924" s="3">
        <v>1.23</v>
      </c>
      <c r="I1924">
        <f t="shared" si="61"/>
        <v>-1144.9169999999999</v>
      </c>
      <c r="K1924" t="s">
        <v>2517</v>
      </c>
      <c r="L1924" t="s">
        <v>16</v>
      </c>
      <c r="M1924">
        <v>2827.47</v>
      </c>
    </row>
    <row r="1925" spans="1:13" x14ac:dyDescent="0.25">
      <c r="A1925">
        <v>2923</v>
      </c>
      <c r="B1925" t="s">
        <v>1949</v>
      </c>
      <c r="C1925" t="s">
        <v>28</v>
      </c>
      <c r="D1925" t="s">
        <v>40</v>
      </c>
      <c r="E1925">
        <v>0</v>
      </c>
      <c r="G1925">
        <f t="shared" si="60"/>
        <v>0</v>
      </c>
      <c r="H1925" s="3">
        <v>0.17</v>
      </c>
      <c r="I1925">
        <f t="shared" si="61"/>
        <v>0</v>
      </c>
      <c r="J1925" s="1">
        <v>45311</v>
      </c>
      <c r="K1925" t="s">
        <v>2517</v>
      </c>
      <c r="L1925" t="s">
        <v>16</v>
      </c>
      <c r="M1925">
        <v>-674.63</v>
      </c>
    </row>
    <row r="1926" spans="1:13" x14ac:dyDescent="0.25">
      <c r="A1926">
        <v>2924</v>
      </c>
      <c r="B1926" t="s">
        <v>1950</v>
      </c>
      <c r="C1926" t="s">
        <v>20</v>
      </c>
      <c r="D1926" t="s">
        <v>76</v>
      </c>
      <c r="E1926">
        <v>2</v>
      </c>
      <c r="F1926">
        <v>4151.88</v>
      </c>
      <c r="G1926">
        <f t="shared" si="60"/>
        <v>8303.76</v>
      </c>
      <c r="H1926" s="3">
        <v>0.05</v>
      </c>
      <c r="I1926">
        <f t="shared" si="61"/>
        <v>7888.5720000000001</v>
      </c>
      <c r="J1926" s="1">
        <v>45746</v>
      </c>
      <c r="K1926" t="s">
        <v>44</v>
      </c>
      <c r="L1926" t="s">
        <v>16</v>
      </c>
      <c r="M1926">
        <v>577.77</v>
      </c>
    </row>
    <row r="1927" spans="1:13" x14ac:dyDescent="0.25">
      <c r="A1927">
        <v>1004</v>
      </c>
      <c r="B1927" t="s">
        <v>1951</v>
      </c>
      <c r="C1927" t="s">
        <v>13</v>
      </c>
      <c r="D1927" t="s">
        <v>14</v>
      </c>
      <c r="E1927">
        <v>2</v>
      </c>
      <c r="F1927">
        <v>977.64</v>
      </c>
      <c r="G1927">
        <f t="shared" si="60"/>
        <v>1955.28</v>
      </c>
      <c r="I1927">
        <f t="shared" si="61"/>
        <v>1955.28</v>
      </c>
      <c r="J1927" s="1">
        <v>45613</v>
      </c>
      <c r="K1927" t="s">
        <v>38</v>
      </c>
      <c r="L1927" t="s">
        <v>16</v>
      </c>
      <c r="M1927">
        <v>2702.46</v>
      </c>
    </row>
    <row r="1928" spans="1:13" x14ac:dyDescent="0.25">
      <c r="A1928">
        <v>2926</v>
      </c>
      <c r="B1928" t="s">
        <v>1952</v>
      </c>
      <c r="C1928" t="s">
        <v>36</v>
      </c>
      <c r="D1928" t="s">
        <v>59</v>
      </c>
      <c r="E1928">
        <v>4</v>
      </c>
      <c r="F1928">
        <v>3263.06</v>
      </c>
      <c r="G1928">
        <f t="shared" si="60"/>
        <v>13052.24</v>
      </c>
      <c r="H1928" s="3">
        <v>0.16</v>
      </c>
      <c r="I1928">
        <f t="shared" si="61"/>
        <v>10963.881599999999</v>
      </c>
      <c r="J1928" s="1">
        <v>45611</v>
      </c>
      <c r="K1928" t="s">
        <v>22</v>
      </c>
      <c r="L1928" t="s">
        <v>16</v>
      </c>
      <c r="M1928">
        <v>2428.73</v>
      </c>
    </row>
    <row r="1929" spans="1:13" x14ac:dyDescent="0.25">
      <c r="A1929">
        <v>2927</v>
      </c>
      <c r="B1929" t="s">
        <v>1953</v>
      </c>
      <c r="C1929" t="s">
        <v>36</v>
      </c>
      <c r="D1929" t="s">
        <v>59</v>
      </c>
      <c r="E1929">
        <v>2</v>
      </c>
      <c r="G1929">
        <f t="shared" si="60"/>
        <v>0</v>
      </c>
      <c r="I1929">
        <f t="shared" si="61"/>
        <v>0</v>
      </c>
      <c r="J1929" s="1">
        <v>45859</v>
      </c>
      <c r="K1929" t="s">
        <v>22</v>
      </c>
      <c r="L1929" t="s">
        <v>23</v>
      </c>
      <c r="M1929">
        <v>-674.94</v>
      </c>
    </row>
    <row r="1930" spans="1:13" x14ac:dyDescent="0.25">
      <c r="A1930">
        <v>2928</v>
      </c>
      <c r="B1930" t="s">
        <v>1954</v>
      </c>
      <c r="C1930" t="s">
        <v>25</v>
      </c>
      <c r="D1930" t="s">
        <v>51</v>
      </c>
      <c r="E1930">
        <v>0</v>
      </c>
      <c r="G1930">
        <f t="shared" si="60"/>
        <v>0</v>
      </c>
      <c r="H1930" s="3">
        <v>0.78</v>
      </c>
      <c r="I1930">
        <f t="shared" si="61"/>
        <v>0</v>
      </c>
      <c r="J1930" s="1">
        <v>45597</v>
      </c>
      <c r="K1930" t="s">
        <v>15</v>
      </c>
      <c r="L1930" t="s">
        <v>16</v>
      </c>
      <c r="M1930">
        <v>642.22</v>
      </c>
    </row>
    <row r="1931" spans="1:13" x14ac:dyDescent="0.25">
      <c r="A1931">
        <v>2929</v>
      </c>
      <c r="B1931" t="s">
        <v>1955</v>
      </c>
      <c r="C1931" t="s">
        <v>31</v>
      </c>
      <c r="D1931" t="s">
        <v>68</v>
      </c>
      <c r="E1931">
        <v>2</v>
      </c>
      <c r="F1931">
        <v>4733.41</v>
      </c>
      <c r="G1931">
        <f t="shared" si="60"/>
        <v>9466.82</v>
      </c>
      <c r="H1931" s="3">
        <v>1.1299999999999999</v>
      </c>
      <c r="I1931">
        <f t="shared" si="61"/>
        <v>-1230.6865999999989</v>
      </c>
      <c r="J1931" s="1">
        <v>45637</v>
      </c>
      <c r="K1931" t="s">
        <v>38</v>
      </c>
      <c r="L1931" t="s">
        <v>16</v>
      </c>
      <c r="M1931">
        <v>2459.5</v>
      </c>
    </row>
    <row r="1932" spans="1:13" x14ac:dyDescent="0.25">
      <c r="A1932">
        <v>2930</v>
      </c>
      <c r="B1932" t="s">
        <v>1956</v>
      </c>
      <c r="C1932" t="s">
        <v>36</v>
      </c>
      <c r="D1932" t="s">
        <v>59</v>
      </c>
      <c r="E1932">
        <v>0</v>
      </c>
      <c r="F1932">
        <v>2642.73</v>
      </c>
      <c r="G1932">
        <f t="shared" si="60"/>
        <v>0</v>
      </c>
      <c r="H1932" s="3">
        <v>0.09</v>
      </c>
      <c r="I1932">
        <f t="shared" si="61"/>
        <v>0</v>
      </c>
      <c r="J1932" s="1">
        <v>45709</v>
      </c>
      <c r="K1932" t="s">
        <v>18</v>
      </c>
      <c r="L1932" t="s">
        <v>16</v>
      </c>
      <c r="M1932">
        <v>996.68</v>
      </c>
    </row>
    <row r="1933" spans="1:13" x14ac:dyDescent="0.25">
      <c r="A1933">
        <v>2931</v>
      </c>
      <c r="B1933" t="s">
        <v>1957</v>
      </c>
      <c r="C1933" t="s">
        <v>13</v>
      </c>
      <c r="D1933" t="s">
        <v>98</v>
      </c>
      <c r="E1933">
        <v>2</v>
      </c>
      <c r="F1933">
        <v>2629.78</v>
      </c>
      <c r="G1933">
        <f t="shared" si="60"/>
        <v>5259.56</v>
      </c>
      <c r="H1933" s="3">
        <v>1.3</v>
      </c>
      <c r="I1933">
        <f t="shared" si="61"/>
        <v>-1577.8680000000004</v>
      </c>
      <c r="K1933" t="s">
        <v>15</v>
      </c>
      <c r="L1933" t="s">
        <v>16</v>
      </c>
      <c r="M1933">
        <v>2826.2</v>
      </c>
    </row>
    <row r="1934" spans="1:13" x14ac:dyDescent="0.25">
      <c r="A1934">
        <v>2932</v>
      </c>
      <c r="B1934" t="s">
        <v>1958</v>
      </c>
      <c r="C1934" t="s">
        <v>25</v>
      </c>
      <c r="D1934" t="s">
        <v>51</v>
      </c>
      <c r="E1934">
        <v>2</v>
      </c>
      <c r="G1934">
        <f t="shared" si="60"/>
        <v>0</v>
      </c>
      <c r="I1934">
        <f t="shared" si="61"/>
        <v>0</v>
      </c>
      <c r="J1934" s="1">
        <v>45571</v>
      </c>
      <c r="K1934" t="s">
        <v>2517</v>
      </c>
      <c r="L1934" t="s">
        <v>23</v>
      </c>
      <c r="M1934">
        <v>700.64</v>
      </c>
    </row>
    <row r="1935" spans="1:13" x14ac:dyDescent="0.25">
      <c r="A1935">
        <v>2933</v>
      </c>
      <c r="B1935" t="s">
        <v>1959</v>
      </c>
      <c r="C1935" t="s">
        <v>13</v>
      </c>
      <c r="D1935" t="s">
        <v>47</v>
      </c>
      <c r="E1935">
        <v>2</v>
      </c>
      <c r="F1935">
        <v>2891</v>
      </c>
      <c r="G1935">
        <f t="shared" si="60"/>
        <v>5782</v>
      </c>
      <c r="I1935">
        <f t="shared" si="61"/>
        <v>5782</v>
      </c>
      <c r="J1935" s="1">
        <v>45760</v>
      </c>
      <c r="K1935" t="s">
        <v>15</v>
      </c>
      <c r="L1935" t="s">
        <v>16</v>
      </c>
      <c r="M1935">
        <v>1279.32</v>
      </c>
    </row>
    <row r="1936" spans="1:13" x14ac:dyDescent="0.25">
      <c r="A1936">
        <v>2934</v>
      </c>
      <c r="B1936" t="s">
        <v>1960</v>
      </c>
      <c r="C1936" t="s">
        <v>36</v>
      </c>
      <c r="D1936" t="s">
        <v>59</v>
      </c>
      <c r="E1936">
        <v>5</v>
      </c>
      <c r="G1936">
        <f t="shared" si="60"/>
        <v>0</v>
      </c>
      <c r="I1936">
        <f t="shared" si="61"/>
        <v>0</v>
      </c>
      <c r="J1936" s="1">
        <v>45656</v>
      </c>
      <c r="K1936" t="s">
        <v>18</v>
      </c>
      <c r="L1936" t="s">
        <v>16</v>
      </c>
      <c r="M1936">
        <v>-811.78</v>
      </c>
    </row>
    <row r="1937" spans="1:13" x14ac:dyDescent="0.25">
      <c r="A1937">
        <v>2935</v>
      </c>
      <c r="B1937" t="s">
        <v>1961</v>
      </c>
      <c r="C1937" t="s">
        <v>25</v>
      </c>
      <c r="D1937" t="s">
        <v>26</v>
      </c>
      <c r="E1937">
        <v>2</v>
      </c>
      <c r="F1937">
        <v>3681.08</v>
      </c>
      <c r="G1937">
        <f t="shared" si="60"/>
        <v>7362.16</v>
      </c>
      <c r="I1937">
        <f t="shared" si="61"/>
        <v>7362.16</v>
      </c>
      <c r="K1937" t="s">
        <v>2517</v>
      </c>
      <c r="L1937" t="s">
        <v>23</v>
      </c>
      <c r="M1937">
        <v>2705.42</v>
      </c>
    </row>
    <row r="1938" spans="1:13" x14ac:dyDescent="0.25">
      <c r="A1938">
        <v>2936</v>
      </c>
      <c r="B1938" t="s">
        <v>1962</v>
      </c>
      <c r="C1938" t="s">
        <v>25</v>
      </c>
      <c r="D1938" t="s">
        <v>26</v>
      </c>
      <c r="E1938">
        <v>2</v>
      </c>
      <c r="F1938">
        <v>4487.5</v>
      </c>
      <c r="G1938">
        <f t="shared" si="60"/>
        <v>8975</v>
      </c>
      <c r="I1938">
        <f t="shared" si="61"/>
        <v>8975</v>
      </c>
      <c r="J1938" s="1">
        <v>45831</v>
      </c>
      <c r="K1938" t="s">
        <v>44</v>
      </c>
      <c r="L1938" t="s">
        <v>23</v>
      </c>
      <c r="M1938">
        <v>2518.5300000000002</v>
      </c>
    </row>
    <row r="1939" spans="1:13" x14ac:dyDescent="0.25">
      <c r="A1939">
        <v>2937</v>
      </c>
      <c r="B1939" t="s">
        <v>1963</v>
      </c>
      <c r="C1939" t="s">
        <v>28</v>
      </c>
      <c r="D1939" t="s">
        <v>40</v>
      </c>
      <c r="E1939">
        <v>-2</v>
      </c>
      <c r="G1939">
        <f t="shared" si="60"/>
        <v>0</v>
      </c>
      <c r="I1939">
        <f t="shared" si="61"/>
        <v>0</v>
      </c>
      <c r="J1939" s="1">
        <v>45625</v>
      </c>
      <c r="K1939" t="s">
        <v>22</v>
      </c>
      <c r="L1939" t="s">
        <v>16</v>
      </c>
      <c r="M1939">
        <v>-889.53</v>
      </c>
    </row>
    <row r="1940" spans="1:13" x14ac:dyDescent="0.25">
      <c r="A1940">
        <v>2938</v>
      </c>
      <c r="B1940" t="s">
        <v>629</v>
      </c>
      <c r="C1940" t="s">
        <v>25</v>
      </c>
      <c r="D1940" t="s">
        <v>82</v>
      </c>
      <c r="E1940">
        <v>2</v>
      </c>
      <c r="F1940">
        <v>2429.63</v>
      </c>
      <c r="G1940">
        <f t="shared" si="60"/>
        <v>4859.26</v>
      </c>
      <c r="I1940">
        <f t="shared" si="61"/>
        <v>4859.26</v>
      </c>
      <c r="K1940" t="s">
        <v>18</v>
      </c>
      <c r="L1940" t="s">
        <v>23</v>
      </c>
      <c r="M1940">
        <v>-7.17</v>
      </c>
    </row>
    <row r="1941" spans="1:13" x14ac:dyDescent="0.25">
      <c r="A1941">
        <v>2939</v>
      </c>
      <c r="B1941" t="s">
        <v>1964</v>
      </c>
      <c r="C1941" t="s">
        <v>25</v>
      </c>
      <c r="D1941" t="s">
        <v>51</v>
      </c>
      <c r="E1941">
        <v>2</v>
      </c>
      <c r="G1941">
        <f t="shared" si="60"/>
        <v>0</v>
      </c>
      <c r="I1941">
        <f t="shared" si="61"/>
        <v>0</v>
      </c>
      <c r="J1941" s="1">
        <v>45680</v>
      </c>
      <c r="K1941" t="s">
        <v>38</v>
      </c>
      <c r="L1941" t="s">
        <v>16</v>
      </c>
      <c r="M1941">
        <v>2143.94</v>
      </c>
    </row>
    <row r="1942" spans="1:13" x14ac:dyDescent="0.25">
      <c r="A1942">
        <v>2940</v>
      </c>
      <c r="B1942" t="s">
        <v>1965</v>
      </c>
      <c r="C1942" t="s">
        <v>25</v>
      </c>
      <c r="D1942" t="s">
        <v>62</v>
      </c>
      <c r="E1942">
        <v>2</v>
      </c>
      <c r="G1942">
        <f t="shared" si="60"/>
        <v>0</v>
      </c>
      <c r="I1942">
        <f t="shared" si="61"/>
        <v>0</v>
      </c>
      <c r="J1942" s="1">
        <v>45697</v>
      </c>
      <c r="K1942" t="s">
        <v>2517</v>
      </c>
      <c r="L1942" t="s">
        <v>16</v>
      </c>
      <c r="M1942">
        <v>1992.92</v>
      </c>
    </row>
    <row r="1943" spans="1:13" x14ac:dyDescent="0.25">
      <c r="A1943">
        <v>2941</v>
      </c>
      <c r="B1943" t="s">
        <v>1966</v>
      </c>
      <c r="C1943" t="s">
        <v>20</v>
      </c>
      <c r="D1943" t="s">
        <v>21</v>
      </c>
      <c r="E1943">
        <v>2</v>
      </c>
      <c r="F1943">
        <v>2144.36</v>
      </c>
      <c r="G1943">
        <f t="shared" si="60"/>
        <v>4288.72</v>
      </c>
      <c r="I1943">
        <f t="shared" si="61"/>
        <v>4288.72</v>
      </c>
      <c r="J1943" s="1">
        <v>45497</v>
      </c>
      <c r="K1943" t="s">
        <v>44</v>
      </c>
      <c r="L1943" t="s">
        <v>16</v>
      </c>
      <c r="M1943">
        <v>1435.03</v>
      </c>
    </row>
    <row r="1944" spans="1:13" x14ac:dyDescent="0.25">
      <c r="A1944">
        <v>2942</v>
      </c>
      <c r="B1944" t="s">
        <v>1967</v>
      </c>
      <c r="C1944" t="s">
        <v>28</v>
      </c>
      <c r="D1944" t="s">
        <v>40</v>
      </c>
      <c r="E1944">
        <v>2</v>
      </c>
      <c r="G1944">
        <f t="shared" si="60"/>
        <v>0</v>
      </c>
      <c r="H1944" s="3">
        <v>0.56000000000000005</v>
      </c>
      <c r="I1944">
        <f t="shared" si="61"/>
        <v>0</v>
      </c>
      <c r="K1944" t="s">
        <v>44</v>
      </c>
      <c r="L1944" t="s">
        <v>16</v>
      </c>
      <c r="M1944">
        <v>2500.35</v>
      </c>
    </row>
    <row r="1945" spans="1:13" x14ac:dyDescent="0.25">
      <c r="A1945">
        <v>2943</v>
      </c>
      <c r="B1945" t="s">
        <v>1968</v>
      </c>
      <c r="C1945" t="s">
        <v>13</v>
      </c>
      <c r="D1945" t="s">
        <v>34</v>
      </c>
      <c r="E1945">
        <v>2</v>
      </c>
      <c r="F1945">
        <v>4638.0200000000004</v>
      </c>
      <c r="G1945">
        <f t="shared" si="60"/>
        <v>9276.0400000000009</v>
      </c>
      <c r="I1945">
        <f t="shared" si="61"/>
        <v>9276.0400000000009</v>
      </c>
      <c r="J1945" s="1">
        <v>45723</v>
      </c>
      <c r="K1945" t="s">
        <v>44</v>
      </c>
      <c r="L1945" t="s">
        <v>16</v>
      </c>
      <c r="M1945">
        <v>745.3</v>
      </c>
    </row>
    <row r="1946" spans="1:13" x14ac:dyDescent="0.25">
      <c r="A1946">
        <v>2944</v>
      </c>
      <c r="B1946" t="s">
        <v>1969</v>
      </c>
      <c r="C1946" t="s">
        <v>36</v>
      </c>
      <c r="D1946" t="s">
        <v>37</v>
      </c>
      <c r="E1946">
        <v>1</v>
      </c>
      <c r="F1946">
        <v>1313.35</v>
      </c>
      <c r="G1946">
        <f t="shared" si="60"/>
        <v>1313.35</v>
      </c>
      <c r="H1946" s="3">
        <v>0.2</v>
      </c>
      <c r="I1946">
        <f t="shared" si="61"/>
        <v>1050.68</v>
      </c>
      <c r="J1946" s="1">
        <v>45722</v>
      </c>
      <c r="K1946" t="s">
        <v>2517</v>
      </c>
      <c r="L1946" t="s">
        <v>16</v>
      </c>
      <c r="M1946">
        <v>-384.05</v>
      </c>
    </row>
    <row r="1947" spans="1:13" x14ac:dyDescent="0.25">
      <c r="A1947">
        <v>2945</v>
      </c>
      <c r="B1947" t="s">
        <v>1937</v>
      </c>
      <c r="C1947" t="s">
        <v>25</v>
      </c>
      <c r="D1947" t="s">
        <v>82</v>
      </c>
      <c r="E1947">
        <v>1</v>
      </c>
      <c r="G1947">
        <f t="shared" si="60"/>
        <v>0</v>
      </c>
      <c r="I1947">
        <f t="shared" si="61"/>
        <v>0</v>
      </c>
      <c r="J1947" s="1">
        <v>45592</v>
      </c>
      <c r="K1947" t="s">
        <v>22</v>
      </c>
      <c r="L1947" t="s">
        <v>16</v>
      </c>
      <c r="M1947">
        <v>-130.97</v>
      </c>
    </row>
    <row r="1948" spans="1:13" x14ac:dyDescent="0.25">
      <c r="A1948">
        <v>2946</v>
      </c>
      <c r="B1948" t="s">
        <v>1970</v>
      </c>
      <c r="C1948" t="s">
        <v>36</v>
      </c>
      <c r="D1948" t="s">
        <v>59</v>
      </c>
      <c r="E1948">
        <v>-1</v>
      </c>
      <c r="G1948">
        <f t="shared" si="60"/>
        <v>0</v>
      </c>
      <c r="H1948" s="3">
        <v>1.2</v>
      </c>
      <c r="I1948">
        <f t="shared" si="61"/>
        <v>0</v>
      </c>
      <c r="J1948" s="1">
        <v>45253</v>
      </c>
      <c r="K1948" t="s">
        <v>22</v>
      </c>
      <c r="L1948" t="s">
        <v>23</v>
      </c>
      <c r="M1948">
        <v>2187.48</v>
      </c>
    </row>
    <row r="1949" spans="1:13" x14ac:dyDescent="0.25">
      <c r="A1949">
        <v>2947</v>
      </c>
      <c r="B1949" t="s">
        <v>1971</v>
      </c>
      <c r="C1949" t="s">
        <v>25</v>
      </c>
      <c r="D1949" t="s">
        <v>82</v>
      </c>
      <c r="E1949">
        <v>2</v>
      </c>
      <c r="G1949">
        <f t="shared" si="60"/>
        <v>0</v>
      </c>
      <c r="H1949" s="3">
        <v>0.97</v>
      </c>
      <c r="I1949">
        <f t="shared" si="61"/>
        <v>0</v>
      </c>
      <c r="J1949" s="1">
        <v>45699</v>
      </c>
      <c r="K1949" t="s">
        <v>22</v>
      </c>
      <c r="L1949" t="s">
        <v>16</v>
      </c>
      <c r="M1949">
        <v>1577.91</v>
      </c>
    </row>
    <row r="1950" spans="1:13" x14ac:dyDescent="0.25">
      <c r="A1950">
        <v>2948</v>
      </c>
      <c r="B1950" t="s">
        <v>1972</v>
      </c>
      <c r="C1950" t="s">
        <v>13</v>
      </c>
      <c r="D1950" t="s">
        <v>14</v>
      </c>
      <c r="E1950">
        <v>5</v>
      </c>
      <c r="F1950">
        <v>2494.15</v>
      </c>
      <c r="G1950">
        <f t="shared" si="60"/>
        <v>12470.75</v>
      </c>
      <c r="I1950">
        <f t="shared" si="61"/>
        <v>12470.75</v>
      </c>
      <c r="J1950" s="1">
        <v>45695</v>
      </c>
      <c r="K1950" t="s">
        <v>15</v>
      </c>
      <c r="L1950" t="s">
        <v>23</v>
      </c>
      <c r="M1950">
        <v>-901.7</v>
      </c>
    </row>
    <row r="1951" spans="1:13" x14ac:dyDescent="0.25">
      <c r="A1951">
        <v>2949</v>
      </c>
      <c r="B1951" t="s">
        <v>1973</v>
      </c>
      <c r="C1951" t="s">
        <v>13</v>
      </c>
      <c r="D1951" t="s">
        <v>34</v>
      </c>
      <c r="E1951">
        <v>2</v>
      </c>
      <c r="G1951">
        <f t="shared" si="60"/>
        <v>0</v>
      </c>
      <c r="H1951" s="3">
        <v>0.1</v>
      </c>
      <c r="I1951">
        <f t="shared" si="61"/>
        <v>0</v>
      </c>
      <c r="K1951" t="s">
        <v>44</v>
      </c>
      <c r="L1951" t="s">
        <v>16</v>
      </c>
      <c r="M1951">
        <v>1569.63</v>
      </c>
    </row>
    <row r="1952" spans="1:13" x14ac:dyDescent="0.25">
      <c r="A1952">
        <v>2950</v>
      </c>
      <c r="B1952" t="s">
        <v>1974</v>
      </c>
      <c r="C1952" t="s">
        <v>28</v>
      </c>
      <c r="D1952" t="s">
        <v>29</v>
      </c>
      <c r="E1952">
        <v>2</v>
      </c>
      <c r="G1952">
        <f t="shared" si="60"/>
        <v>0</v>
      </c>
      <c r="H1952" s="3">
        <v>0.27</v>
      </c>
      <c r="I1952">
        <f t="shared" si="61"/>
        <v>0</v>
      </c>
      <c r="J1952" s="1">
        <v>45652</v>
      </c>
      <c r="K1952" t="s">
        <v>38</v>
      </c>
      <c r="L1952" t="s">
        <v>16</v>
      </c>
      <c r="M1952">
        <v>1158.28</v>
      </c>
    </row>
    <row r="1953" spans="1:13" x14ac:dyDescent="0.25">
      <c r="A1953">
        <v>2951</v>
      </c>
      <c r="B1953" t="s">
        <v>1975</v>
      </c>
      <c r="C1953" t="s">
        <v>36</v>
      </c>
      <c r="D1953" t="s">
        <v>59</v>
      </c>
      <c r="E1953">
        <v>5</v>
      </c>
      <c r="G1953">
        <f t="shared" si="60"/>
        <v>0</v>
      </c>
      <c r="I1953">
        <f t="shared" si="61"/>
        <v>0</v>
      </c>
      <c r="K1953" t="s">
        <v>15</v>
      </c>
      <c r="L1953" t="s">
        <v>16</v>
      </c>
      <c r="M1953">
        <v>2454.0700000000002</v>
      </c>
    </row>
    <row r="1954" spans="1:13" x14ac:dyDescent="0.25">
      <c r="A1954">
        <v>2952</v>
      </c>
      <c r="B1954" t="s">
        <v>1976</v>
      </c>
      <c r="C1954" t="s">
        <v>25</v>
      </c>
      <c r="D1954" t="s">
        <v>82</v>
      </c>
      <c r="E1954">
        <v>-2</v>
      </c>
      <c r="F1954">
        <v>470.68</v>
      </c>
      <c r="G1954">
        <f t="shared" si="60"/>
        <v>-941.36</v>
      </c>
      <c r="H1954" s="3">
        <v>0.06</v>
      </c>
      <c r="I1954">
        <f t="shared" si="61"/>
        <v>-884.87839999999994</v>
      </c>
      <c r="J1954" s="1">
        <v>45615</v>
      </c>
      <c r="K1954" t="s">
        <v>18</v>
      </c>
      <c r="L1954" t="s">
        <v>23</v>
      </c>
      <c r="M1954">
        <v>2812.7</v>
      </c>
    </row>
    <row r="1955" spans="1:13" x14ac:dyDescent="0.25">
      <c r="A1955">
        <v>2953</v>
      </c>
      <c r="B1955" t="s">
        <v>1977</v>
      </c>
      <c r="C1955" t="s">
        <v>25</v>
      </c>
      <c r="D1955" t="s">
        <v>82</v>
      </c>
      <c r="E1955">
        <v>3</v>
      </c>
      <c r="F1955">
        <v>3500.98</v>
      </c>
      <c r="G1955">
        <f t="shared" si="60"/>
        <v>10502.94</v>
      </c>
      <c r="I1955">
        <f t="shared" si="61"/>
        <v>10502.94</v>
      </c>
      <c r="K1955" t="s">
        <v>22</v>
      </c>
      <c r="L1955" t="s">
        <v>16</v>
      </c>
      <c r="M1955">
        <v>-865.81</v>
      </c>
    </row>
    <row r="1956" spans="1:13" x14ac:dyDescent="0.25">
      <c r="A1956">
        <v>2954</v>
      </c>
      <c r="B1956" t="s">
        <v>1978</v>
      </c>
      <c r="C1956" t="s">
        <v>36</v>
      </c>
      <c r="D1956" t="s">
        <v>55</v>
      </c>
      <c r="E1956">
        <v>2</v>
      </c>
      <c r="G1956">
        <f t="shared" si="60"/>
        <v>0</v>
      </c>
      <c r="I1956">
        <f t="shared" si="61"/>
        <v>0</v>
      </c>
      <c r="J1956" s="1">
        <v>45518</v>
      </c>
      <c r="K1956" t="s">
        <v>2517</v>
      </c>
      <c r="L1956" t="s">
        <v>23</v>
      </c>
      <c r="M1956">
        <v>1632.71</v>
      </c>
    </row>
    <row r="1957" spans="1:13" x14ac:dyDescent="0.25">
      <c r="A1957">
        <v>2955</v>
      </c>
      <c r="B1957" t="s">
        <v>1979</v>
      </c>
      <c r="C1957" t="s">
        <v>36</v>
      </c>
      <c r="D1957" t="s">
        <v>59</v>
      </c>
      <c r="E1957">
        <v>6</v>
      </c>
      <c r="G1957">
        <f t="shared" si="60"/>
        <v>0</v>
      </c>
      <c r="H1957" s="3">
        <v>1.28</v>
      </c>
      <c r="I1957">
        <f t="shared" si="61"/>
        <v>0</v>
      </c>
      <c r="J1957" s="1">
        <v>45824</v>
      </c>
      <c r="K1957" t="s">
        <v>18</v>
      </c>
      <c r="L1957" t="s">
        <v>23</v>
      </c>
      <c r="M1957">
        <v>-646.89</v>
      </c>
    </row>
    <row r="1958" spans="1:13" x14ac:dyDescent="0.25">
      <c r="A1958">
        <v>2956</v>
      </c>
      <c r="B1958" t="s">
        <v>1980</v>
      </c>
      <c r="C1958" t="s">
        <v>20</v>
      </c>
      <c r="D1958" t="s">
        <v>21</v>
      </c>
      <c r="E1958">
        <v>2</v>
      </c>
      <c r="F1958">
        <v>2710.15</v>
      </c>
      <c r="G1958">
        <f t="shared" si="60"/>
        <v>5420.3</v>
      </c>
      <c r="I1958">
        <f t="shared" si="61"/>
        <v>5420.3</v>
      </c>
      <c r="J1958" s="1">
        <v>45647</v>
      </c>
      <c r="K1958" t="s">
        <v>15</v>
      </c>
      <c r="L1958" t="s">
        <v>16</v>
      </c>
      <c r="M1958">
        <v>2.2200000000000002</v>
      </c>
    </row>
    <row r="1959" spans="1:13" x14ac:dyDescent="0.25">
      <c r="A1959">
        <v>2957</v>
      </c>
      <c r="B1959" t="s">
        <v>1981</v>
      </c>
      <c r="C1959" t="s">
        <v>28</v>
      </c>
      <c r="D1959" t="s">
        <v>29</v>
      </c>
      <c r="E1959">
        <v>2</v>
      </c>
      <c r="G1959">
        <f t="shared" si="60"/>
        <v>0</v>
      </c>
      <c r="H1959" s="3">
        <v>0.68</v>
      </c>
      <c r="I1959">
        <f t="shared" si="61"/>
        <v>0</v>
      </c>
      <c r="J1959" s="1">
        <v>45724</v>
      </c>
      <c r="K1959" t="s">
        <v>18</v>
      </c>
      <c r="L1959" t="s">
        <v>16</v>
      </c>
      <c r="M1959">
        <v>301.72000000000003</v>
      </c>
    </row>
    <row r="1960" spans="1:13" x14ac:dyDescent="0.25">
      <c r="A1960">
        <v>2958</v>
      </c>
      <c r="B1960" t="s">
        <v>1982</v>
      </c>
      <c r="C1960" t="s">
        <v>31</v>
      </c>
      <c r="D1960" t="s">
        <v>68</v>
      </c>
      <c r="E1960">
        <v>-2</v>
      </c>
      <c r="G1960">
        <f t="shared" si="60"/>
        <v>0</v>
      </c>
      <c r="I1960">
        <f t="shared" si="61"/>
        <v>0</v>
      </c>
      <c r="J1960" s="1">
        <v>45393</v>
      </c>
      <c r="K1960" t="s">
        <v>44</v>
      </c>
      <c r="L1960" t="s">
        <v>16</v>
      </c>
      <c r="M1960">
        <v>-645.12</v>
      </c>
    </row>
    <row r="1961" spans="1:13" x14ac:dyDescent="0.25">
      <c r="A1961">
        <v>2959</v>
      </c>
      <c r="B1961" t="s">
        <v>1983</v>
      </c>
      <c r="C1961" t="s">
        <v>25</v>
      </c>
      <c r="D1961" t="s">
        <v>26</v>
      </c>
      <c r="E1961">
        <v>2</v>
      </c>
      <c r="F1961">
        <v>4113.9799999999996</v>
      </c>
      <c r="G1961">
        <f t="shared" si="60"/>
        <v>8227.9599999999991</v>
      </c>
      <c r="I1961">
        <f t="shared" si="61"/>
        <v>8227.9599999999991</v>
      </c>
      <c r="J1961" s="1">
        <v>45720</v>
      </c>
      <c r="K1961" t="s">
        <v>22</v>
      </c>
      <c r="L1961" t="s">
        <v>16</v>
      </c>
      <c r="M1961">
        <v>477.7</v>
      </c>
    </row>
    <row r="1962" spans="1:13" x14ac:dyDescent="0.25">
      <c r="A1962">
        <v>2960</v>
      </c>
      <c r="B1962" t="s">
        <v>1984</v>
      </c>
      <c r="C1962" t="s">
        <v>28</v>
      </c>
      <c r="D1962" t="s">
        <v>29</v>
      </c>
      <c r="E1962">
        <v>2</v>
      </c>
      <c r="F1962">
        <v>1536.53</v>
      </c>
      <c r="G1962">
        <f t="shared" si="60"/>
        <v>3073.06</v>
      </c>
      <c r="H1962" s="3">
        <v>0.96</v>
      </c>
      <c r="I1962">
        <f t="shared" si="61"/>
        <v>122.92240000000011</v>
      </c>
      <c r="J1962" s="1">
        <v>45804</v>
      </c>
      <c r="K1962" t="s">
        <v>38</v>
      </c>
      <c r="L1962" t="s">
        <v>23</v>
      </c>
      <c r="M1962">
        <v>1052.28</v>
      </c>
    </row>
    <row r="1963" spans="1:13" x14ac:dyDescent="0.25">
      <c r="A1963">
        <v>1021</v>
      </c>
      <c r="B1963" t="s">
        <v>1985</v>
      </c>
      <c r="C1963" t="s">
        <v>31</v>
      </c>
      <c r="D1963" t="s">
        <v>68</v>
      </c>
      <c r="E1963">
        <v>2</v>
      </c>
      <c r="G1963">
        <f t="shared" si="60"/>
        <v>0</v>
      </c>
      <c r="H1963" s="3">
        <v>0.04</v>
      </c>
      <c r="I1963">
        <f t="shared" si="61"/>
        <v>0</v>
      </c>
      <c r="J1963" s="1">
        <v>45719</v>
      </c>
      <c r="K1963" t="s">
        <v>44</v>
      </c>
      <c r="L1963" t="s">
        <v>16</v>
      </c>
      <c r="M1963">
        <v>796.33</v>
      </c>
    </row>
    <row r="1964" spans="1:13" x14ac:dyDescent="0.25">
      <c r="A1964">
        <v>2962</v>
      </c>
      <c r="B1964" t="s">
        <v>1986</v>
      </c>
      <c r="C1964" t="s">
        <v>28</v>
      </c>
      <c r="D1964" t="s">
        <v>29</v>
      </c>
      <c r="E1964">
        <v>2</v>
      </c>
      <c r="G1964">
        <f t="shared" si="60"/>
        <v>0</v>
      </c>
      <c r="H1964" s="3">
        <v>0.87</v>
      </c>
      <c r="I1964">
        <f t="shared" si="61"/>
        <v>0</v>
      </c>
      <c r="J1964" s="1">
        <v>45596</v>
      </c>
      <c r="K1964" t="s">
        <v>15</v>
      </c>
      <c r="L1964" t="s">
        <v>16</v>
      </c>
      <c r="M1964">
        <v>-617.13</v>
      </c>
    </row>
    <row r="1965" spans="1:13" x14ac:dyDescent="0.25">
      <c r="A1965">
        <v>2963</v>
      </c>
      <c r="B1965" t="s">
        <v>1987</v>
      </c>
      <c r="C1965" t="s">
        <v>13</v>
      </c>
      <c r="D1965" t="s">
        <v>14</v>
      </c>
      <c r="E1965">
        <v>2</v>
      </c>
      <c r="F1965">
        <v>570.21</v>
      </c>
      <c r="G1965">
        <f t="shared" si="60"/>
        <v>1140.42</v>
      </c>
      <c r="I1965">
        <f t="shared" si="61"/>
        <v>1140.42</v>
      </c>
      <c r="J1965" s="1">
        <v>45750</v>
      </c>
      <c r="K1965" t="s">
        <v>15</v>
      </c>
      <c r="L1965" t="s">
        <v>23</v>
      </c>
      <c r="M1965">
        <v>380.3</v>
      </c>
    </row>
    <row r="1966" spans="1:13" x14ac:dyDescent="0.25">
      <c r="A1966">
        <v>2964</v>
      </c>
      <c r="B1966" t="s">
        <v>1988</v>
      </c>
      <c r="C1966" t="s">
        <v>25</v>
      </c>
      <c r="D1966" t="s">
        <v>82</v>
      </c>
      <c r="E1966">
        <v>-1</v>
      </c>
      <c r="G1966">
        <f t="shared" si="60"/>
        <v>0</v>
      </c>
      <c r="H1966" s="3">
        <v>0.96</v>
      </c>
      <c r="I1966">
        <f t="shared" si="61"/>
        <v>0</v>
      </c>
      <c r="J1966" s="1">
        <v>45697</v>
      </c>
      <c r="K1966" t="s">
        <v>2517</v>
      </c>
      <c r="L1966" t="s">
        <v>16</v>
      </c>
      <c r="M1966">
        <v>-937.17</v>
      </c>
    </row>
    <row r="1967" spans="1:13" x14ac:dyDescent="0.25">
      <c r="A1967">
        <v>1038</v>
      </c>
      <c r="B1967" t="s">
        <v>1989</v>
      </c>
      <c r="C1967" t="s">
        <v>25</v>
      </c>
      <c r="D1967" t="s">
        <v>82</v>
      </c>
      <c r="E1967">
        <v>2</v>
      </c>
      <c r="G1967">
        <f t="shared" si="60"/>
        <v>0</v>
      </c>
      <c r="I1967">
        <f t="shared" si="61"/>
        <v>0</v>
      </c>
      <c r="J1967" s="1">
        <v>45260</v>
      </c>
      <c r="K1967" t="s">
        <v>44</v>
      </c>
      <c r="L1967" t="s">
        <v>16</v>
      </c>
      <c r="M1967">
        <v>2689.89</v>
      </c>
    </row>
    <row r="1968" spans="1:13" x14ac:dyDescent="0.25">
      <c r="A1968">
        <v>2966</v>
      </c>
      <c r="B1968" t="s">
        <v>1990</v>
      </c>
      <c r="C1968" t="s">
        <v>31</v>
      </c>
      <c r="D1968" t="s">
        <v>32</v>
      </c>
      <c r="E1968">
        <v>2</v>
      </c>
      <c r="F1968">
        <v>1650.01</v>
      </c>
      <c r="G1968">
        <f t="shared" si="60"/>
        <v>3300.02</v>
      </c>
      <c r="I1968">
        <f t="shared" si="61"/>
        <v>3300.02</v>
      </c>
      <c r="J1968" s="1">
        <v>45635</v>
      </c>
      <c r="K1968" t="s">
        <v>2517</v>
      </c>
      <c r="L1968" t="s">
        <v>23</v>
      </c>
      <c r="M1968">
        <v>2561.34</v>
      </c>
    </row>
    <row r="1969" spans="1:13" x14ac:dyDescent="0.25">
      <c r="A1969">
        <v>2967</v>
      </c>
      <c r="B1969" t="s">
        <v>1991</v>
      </c>
      <c r="C1969" t="s">
        <v>36</v>
      </c>
      <c r="D1969" t="s">
        <v>37</v>
      </c>
      <c r="E1969">
        <v>2</v>
      </c>
      <c r="G1969">
        <f t="shared" si="60"/>
        <v>0</v>
      </c>
      <c r="I1969">
        <f t="shared" si="61"/>
        <v>0</v>
      </c>
      <c r="J1969" s="1">
        <v>45771</v>
      </c>
      <c r="K1969" t="s">
        <v>2517</v>
      </c>
      <c r="L1969" t="s">
        <v>23</v>
      </c>
      <c r="M1969">
        <v>-346.59</v>
      </c>
    </row>
    <row r="1970" spans="1:13" x14ac:dyDescent="0.25">
      <c r="A1970">
        <v>2968</v>
      </c>
      <c r="B1970" t="s">
        <v>1992</v>
      </c>
      <c r="C1970" t="s">
        <v>20</v>
      </c>
      <c r="D1970" t="s">
        <v>21</v>
      </c>
      <c r="E1970">
        <v>2</v>
      </c>
      <c r="G1970">
        <f t="shared" si="60"/>
        <v>0</v>
      </c>
      <c r="I1970">
        <f t="shared" si="61"/>
        <v>0</v>
      </c>
      <c r="J1970" s="1">
        <v>45787</v>
      </c>
      <c r="K1970" t="s">
        <v>22</v>
      </c>
      <c r="L1970" t="s">
        <v>23</v>
      </c>
      <c r="M1970">
        <v>768.33</v>
      </c>
    </row>
    <row r="1971" spans="1:13" x14ac:dyDescent="0.25">
      <c r="A1971">
        <v>2969</v>
      </c>
      <c r="B1971" t="s">
        <v>1993</v>
      </c>
      <c r="C1971" t="s">
        <v>20</v>
      </c>
      <c r="D1971" t="s">
        <v>118</v>
      </c>
      <c r="E1971">
        <v>2</v>
      </c>
      <c r="F1971">
        <v>4858.47</v>
      </c>
      <c r="G1971">
        <f t="shared" si="60"/>
        <v>9716.94</v>
      </c>
      <c r="H1971" s="3">
        <v>0.68</v>
      </c>
      <c r="I1971">
        <f t="shared" si="61"/>
        <v>3109.4207999999999</v>
      </c>
      <c r="J1971" s="1">
        <v>45826</v>
      </c>
      <c r="K1971" t="s">
        <v>38</v>
      </c>
      <c r="L1971" t="s">
        <v>23</v>
      </c>
      <c r="M1971">
        <v>1115.8900000000001</v>
      </c>
    </row>
    <row r="1972" spans="1:13" x14ac:dyDescent="0.25">
      <c r="A1972">
        <v>2970</v>
      </c>
      <c r="B1972" t="s">
        <v>1994</v>
      </c>
      <c r="C1972" t="s">
        <v>31</v>
      </c>
      <c r="D1972" t="s">
        <v>42</v>
      </c>
      <c r="E1972">
        <v>1</v>
      </c>
      <c r="G1972">
        <f t="shared" si="60"/>
        <v>0</v>
      </c>
      <c r="I1972">
        <f t="shared" si="61"/>
        <v>0</v>
      </c>
      <c r="J1972" s="1">
        <v>45611</v>
      </c>
      <c r="K1972" t="s">
        <v>44</v>
      </c>
      <c r="L1972" t="s">
        <v>16</v>
      </c>
      <c r="M1972">
        <v>1214.1500000000001</v>
      </c>
    </row>
    <row r="1973" spans="1:13" x14ac:dyDescent="0.25">
      <c r="A1973">
        <v>2971</v>
      </c>
      <c r="B1973" t="s">
        <v>1995</v>
      </c>
      <c r="C1973" t="s">
        <v>36</v>
      </c>
      <c r="D1973" t="s">
        <v>87</v>
      </c>
      <c r="E1973">
        <v>6</v>
      </c>
      <c r="F1973">
        <v>1507.6</v>
      </c>
      <c r="G1973">
        <f t="shared" si="60"/>
        <v>9045.5999999999985</v>
      </c>
      <c r="I1973">
        <f t="shared" si="61"/>
        <v>9045.5999999999985</v>
      </c>
      <c r="J1973" s="1">
        <v>45699</v>
      </c>
      <c r="K1973" t="s">
        <v>15</v>
      </c>
      <c r="L1973" t="s">
        <v>16</v>
      </c>
      <c r="M1973">
        <v>2280.06</v>
      </c>
    </row>
    <row r="1974" spans="1:13" x14ac:dyDescent="0.25">
      <c r="A1974">
        <v>2972</v>
      </c>
      <c r="B1974" t="s">
        <v>1996</v>
      </c>
      <c r="C1974" t="s">
        <v>36</v>
      </c>
      <c r="D1974" t="s">
        <v>87</v>
      </c>
      <c r="E1974">
        <v>5</v>
      </c>
      <c r="G1974">
        <f t="shared" si="60"/>
        <v>0</v>
      </c>
      <c r="I1974">
        <f t="shared" si="61"/>
        <v>0</v>
      </c>
      <c r="K1974" t="s">
        <v>44</v>
      </c>
      <c r="L1974" t="s">
        <v>16</v>
      </c>
      <c r="M1974">
        <v>2532.7600000000002</v>
      </c>
    </row>
    <row r="1975" spans="1:13" x14ac:dyDescent="0.25">
      <c r="A1975">
        <v>2973</v>
      </c>
      <c r="B1975" t="s">
        <v>1997</v>
      </c>
      <c r="C1975" t="s">
        <v>28</v>
      </c>
      <c r="D1975" t="s">
        <v>29</v>
      </c>
      <c r="E1975">
        <v>2</v>
      </c>
      <c r="G1975">
        <f t="shared" si="60"/>
        <v>0</v>
      </c>
      <c r="I1975">
        <f t="shared" si="61"/>
        <v>0</v>
      </c>
      <c r="J1975" s="1">
        <v>45641</v>
      </c>
      <c r="K1975" t="s">
        <v>2517</v>
      </c>
      <c r="L1975" t="s">
        <v>16</v>
      </c>
      <c r="M1975">
        <v>1576.16</v>
      </c>
    </row>
    <row r="1976" spans="1:13" x14ac:dyDescent="0.25">
      <c r="A1976">
        <v>2974</v>
      </c>
      <c r="B1976" t="s">
        <v>1998</v>
      </c>
      <c r="C1976" t="s">
        <v>28</v>
      </c>
      <c r="D1976" t="s">
        <v>116</v>
      </c>
      <c r="E1976">
        <v>6</v>
      </c>
      <c r="F1976">
        <v>1765.76</v>
      </c>
      <c r="G1976">
        <f t="shared" si="60"/>
        <v>10594.56</v>
      </c>
      <c r="H1976" s="3">
        <v>0.36</v>
      </c>
      <c r="I1976">
        <f t="shared" si="61"/>
        <v>6780.5183999999999</v>
      </c>
      <c r="J1976" s="1">
        <v>45798</v>
      </c>
      <c r="K1976" t="s">
        <v>18</v>
      </c>
      <c r="L1976" t="s">
        <v>23</v>
      </c>
      <c r="M1976">
        <v>2947</v>
      </c>
    </row>
    <row r="1977" spans="1:13" x14ac:dyDescent="0.25">
      <c r="A1977">
        <v>2975</v>
      </c>
      <c r="B1977" t="s">
        <v>1999</v>
      </c>
      <c r="C1977" t="s">
        <v>28</v>
      </c>
      <c r="D1977" t="s">
        <v>137</v>
      </c>
      <c r="E1977">
        <v>2</v>
      </c>
      <c r="F1977">
        <v>3835.25</v>
      </c>
      <c r="G1977">
        <f t="shared" si="60"/>
        <v>7670.5</v>
      </c>
      <c r="I1977">
        <f t="shared" si="61"/>
        <v>7670.5</v>
      </c>
      <c r="J1977" s="1">
        <v>45700</v>
      </c>
      <c r="K1977" t="s">
        <v>18</v>
      </c>
      <c r="L1977" t="s">
        <v>23</v>
      </c>
      <c r="M1977">
        <v>2378.4</v>
      </c>
    </row>
    <row r="1978" spans="1:13" x14ac:dyDescent="0.25">
      <c r="A1978">
        <v>2976</v>
      </c>
      <c r="B1978" t="s">
        <v>2000</v>
      </c>
      <c r="C1978" t="s">
        <v>31</v>
      </c>
      <c r="D1978" t="s">
        <v>68</v>
      </c>
      <c r="E1978">
        <v>2</v>
      </c>
      <c r="F1978">
        <v>1572.95</v>
      </c>
      <c r="G1978">
        <f t="shared" si="60"/>
        <v>3145.9</v>
      </c>
      <c r="I1978">
        <f t="shared" si="61"/>
        <v>3145.9</v>
      </c>
      <c r="J1978" s="1">
        <v>45663</v>
      </c>
      <c r="K1978" t="s">
        <v>2517</v>
      </c>
      <c r="L1978" t="s">
        <v>23</v>
      </c>
      <c r="M1978">
        <v>2532.02</v>
      </c>
    </row>
    <row r="1979" spans="1:13" x14ac:dyDescent="0.25">
      <c r="A1979">
        <v>2977</v>
      </c>
      <c r="B1979" t="s">
        <v>2001</v>
      </c>
      <c r="C1979" t="s">
        <v>36</v>
      </c>
      <c r="D1979" t="s">
        <v>37</v>
      </c>
      <c r="E1979">
        <v>-2</v>
      </c>
      <c r="F1979">
        <v>3205.93</v>
      </c>
      <c r="G1979">
        <f t="shared" si="60"/>
        <v>-6411.86</v>
      </c>
      <c r="I1979">
        <f t="shared" si="61"/>
        <v>-6411.86</v>
      </c>
      <c r="K1979" t="s">
        <v>22</v>
      </c>
      <c r="L1979" t="s">
        <v>16</v>
      </c>
      <c r="M1979">
        <v>1421.4</v>
      </c>
    </row>
    <row r="1980" spans="1:13" x14ac:dyDescent="0.25">
      <c r="A1980">
        <v>2978</v>
      </c>
      <c r="B1980" t="s">
        <v>2002</v>
      </c>
      <c r="C1980" t="s">
        <v>36</v>
      </c>
      <c r="D1980" t="s">
        <v>87</v>
      </c>
      <c r="E1980">
        <v>3</v>
      </c>
      <c r="G1980">
        <f t="shared" si="60"/>
        <v>0</v>
      </c>
      <c r="H1980" s="3">
        <v>0.52</v>
      </c>
      <c r="I1980">
        <f t="shared" si="61"/>
        <v>0</v>
      </c>
      <c r="J1980" s="1">
        <v>45855</v>
      </c>
      <c r="K1980" t="s">
        <v>2517</v>
      </c>
      <c r="L1980" t="s">
        <v>16</v>
      </c>
      <c r="M1980">
        <v>771.47</v>
      </c>
    </row>
    <row r="1981" spans="1:13" x14ac:dyDescent="0.25">
      <c r="A1981">
        <v>2979</v>
      </c>
      <c r="B1981" t="s">
        <v>2003</v>
      </c>
      <c r="C1981" t="s">
        <v>31</v>
      </c>
      <c r="D1981" t="s">
        <v>68</v>
      </c>
      <c r="E1981">
        <v>2</v>
      </c>
      <c r="G1981">
        <f t="shared" si="60"/>
        <v>0</v>
      </c>
      <c r="H1981" s="3">
        <v>0.23</v>
      </c>
      <c r="I1981">
        <f t="shared" si="61"/>
        <v>0</v>
      </c>
      <c r="K1981" t="s">
        <v>22</v>
      </c>
      <c r="L1981" t="s">
        <v>16</v>
      </c>
      <c r="M1981">
        <v>862.17</v>
      </c>
    </row>
    <row r="1982" spans="1:13" x14ac:dyDescent="0.25">
      <c r="A1982">
        <v>2980</v>
      </c>
      <c r="B1982" t="s">
        <v>2004</v>
      </c>
      <c r="C1982" t="s">
        <v>31</v>
      </c>
      <c r="D1982" t="s">
        <v>68</v>
      </c>
      <c r="E1982">
        <v>2</v>
      </c>
      <c r="G1982">
        <f t="shared" si="60"/>
        <v>0</v>
      </c>
      <c r="H1982" s="3">
        <v>0.36</v>
      </c>
      <c r="I1982">
        <f t="shared" si="61"/>
        <v>0</v>
      </c>
      <c r="J1982" s="1">
        <v>45628</v>
      </c>
      <c r="K1982" t="s">
        <v>15</v>
      </c>
      <c r="L1982" t="s">
        <v>16</v>
      </c>
      <c r="M1982">
        <v>147.66999999999999</v>
      </c>
    </row>
    <row r="1983" spans="1:13" x14ac:dyDescent="0.25">
      <c r="A1983">
        <v>1040</v>
      </c>
      <c r="B1983" t="s">
        <v>2005</v>
      </c>
      <c r="C1983" t="s">
        <v>31</v>
      </c>
      <c r="D1983" t="s">
        <v>32</v>
      </c>
      <c r="E1983">
        <v>2</v>
      </c>
      <c r="G1983">
        <f t="shared" si="60"/>
        <v>0</v>
      </c>
      <c r="I1983">
        <f t="shared" si="61"/>
        <v>0</v>
      </c>
      <c r="J1983" s="1">
        <v>45782</v>
      </c>
      <c r="K1983" t="s">
        <v>15</v>
      </c>
      <c r="L1983" t="s">
        <v>23</v>
      </c>
      <c r="M1983">
        <v>2959.73</v>
      </c>
    </row>
    <row r="1984" spans="1:13" x14ac:dyDescent="0.25">
      <c r="A1984">
        <v>2982</v>
      </c>
      <c r="B1984" t="s">
        <v>2006</v>
      </c>
      <c r="C1984" t="s">
        <v>31</v>
      </c>
      <c r="D1984" t="s">
        <v>42</v>
      </c>
      <c r="E1984">
        <v>-1</v>
      </c>
      <c r="F1984">
        <v>2497.52</v>
      </c>
      <c r="G1984">
        <f t="shared" si="60"/>
        <v>-2497.52</v>
      </c>
      <c r="I1984">
        <f t="shared" si="61"/>
        <v>-2497.52</v>
      </c>
      <c r="J1984" s="1">
        <v>45253</v>
      </c>
      <c r="K1984" t="s">
        <v>18</v>
      </c>
      <c r="L1984" t="s">
        <v>16</v>
      </c>
      <c r="M1984">
        <v>-523.42999999999995</v>
      </c>
    </row>
    <row r="1985" spans="1:13" x14ac:dyDescent="0.25">
      <c r="A1985">
        <v>2983</v>
      </c>
      <c r="B1985" t="s">
        <v>2007</v>
      </c>
      <c r="C1985" t="s">
        <v>25</v>
      </c>
      <c r="D1985" t="s">
        <v>51</v>
      </c>
      <c r="E1985">
        <v>2</v>
      </c>
      <c r="G1985">
        <f t="shared" si="60"/>
        <v>0</v>
      </c>
      <c r="I1985">
        <f t="shared" si="61"/>
        <v>0</v>
      </c>
      <c r="K1985" t="s">
        <v>44</v>
      </c>
      <c r="L1985" t="s">
        <v>16</v>
      </c>
      <c r="M1985">
        <v>1347.94</v>
      </c>
    </row>
    <row r="1986" spans="1:13" x14ac:dyDescent="0.25">
      <c r="A1986">
        <v>2984</v>
      </c>
      <c r="B1986" t="s">
        <v>2008</v>
      </c>
      <c r="C1986" t="s">
        <v>25</v>
      </c>
      <c r="D1986" t="s">
        <v>26</v>
      </c>
      <c r="E1986">
        <v>4</v>
      </c>
      <c r="F1986">
        <v>2062.9</v>
      </c>
      <c r="G1986">
        <f t="shared" si="60"/>
        <v>8251.6</v>
      </c>
      <c r="I1986">
        <f t="shared" si="61"/>
        <v>8251.6</v>
      </c>
      <c r="J1986" s="1">
        <v>45506</v>
      </c>
      <c r="K1986" t="s">
        <v>22</v>
      </c>
      <c r="L1986" t="s">
        <v>16</v>
      </c>
      <c r="M1986">
        <v>2471.06</v>
      </c>
    </row>
    <row r="1987" spans="1:13" x14ac:dyDescent="0.25">
      <c r="A1987">
        <v>2985</v>
      </c>
      <c r="B1987" t="s">
        <v>2009</v>
      </c>
      <c r="C1987" t="s">
        <v>13</v>
      </c>
      <c r="D1987" t="s">
        <v>47</v>
      </c>
      <c r="E1987">
        <v>2</v>
      </c>
      <c r="G1987">
        <f t="shared" ref="G1987:G2050" si="62">F1987*E1987</f>
        <v>0</v>
      </c>
      <c r="H1987" s="3">
        <v>1.1499999999999999</v>
      </c>
      <c r="I1987">
        <f t="shared" ref="I1987:I2050" si="63">G1987*(1-H1987)</f>
        <v>0</v>
      </c>
      <c r="J1987" s="1">
        <v>45672</v>
      </c>
      <c r="K1987" t="s">
        <v>2517</v>
      </c>
      <c r="L1987" t="s">
        <v>16</v>
      </c>
      <c r="M1987">
        <v>774.28</v>
      </c>
    </row>
    <row r="1988" spans="1:13" x14ac:dyDescent="0.25">
      <c r="A1988">
        <v>2986</v>
      </c>
      <c r="B1988" t="s">
        <v>2010</v>
      </c>
      <c r="C1988" t="s">
        <v>36</v>
      </c>
      <c r="D1988" t="s">
        <v>59</v>
      </c>
      <c r="E1988">
        <v>-2</v>
      </c>
      <c r="G1988">
        <f t="shared" si="62"/>
        <v>0</v>
      </c>
      <c r="I1988">
        <f t="shared" si="63"/>
        <v>0</v>
      </c>
      <c r="J1988" s="1">
        <v>45588</v>
      </c>
      <c r="K1988" t="s">
        <v>22</v>
      </c>
      <c r="L1988" t="s">
        <v>23</v>
      </c>
      <c r="M1988">
        <v>-283.42</v>
      </c>
    </row>
    <row r="1989" spans="1:13" x14ac:dyDescent="0.25">
      <c r="A1989">
        <v>2987</v>
      </c>
      <c r="B1989" t="s">
        <v>2011</v>
      </c>
      <c r="C1989" t="s">
        <v>28</v>
      </c>
      <c r="D1989" t="s">
        <v>29</v>
      </c>
      <c r="E1989">
        <v>6</v>
      </c>
      <c r="F1989">
        <v>2584.4299999999998</v>
      </c>
      <c r="G1989">
        <f t="shared" si="62"/>
        <v>15506.579999999998</v>
      </c>
      <c r="I1989">
        <f t="shared" si="63"/>
        <v>15506.579999999998</v>
      </c>
      <c r="K1989" t="s">
        <v>15</v>
      </c>
      <c r="L1989" t="s">
        <v>16</v>
      </c>
      <c r="M1989">
        <v>992.21</v>
      </c>
    </row>
    <row r="1990" spans="1:13" x14ac:dyDescent="0.25">
      <c r="A1990">
        <v>2988</v>
      </c>
      <c r="B1990" t="s">
        <v>2012</v>
      </c>
      <c r="C1990" t="s">
        <v>31</v>
      </c>
      <c r="D1990" t="s">
        <v>78</v>
      </c>
      <c r="E1990">
        <v>2</v>
      </c>
      <c r="G1990">
        <f t="shared" si="62"/>
        <v>0</v>
      </c>
      <c r="I1990">
        <f t="shared" si="63"/>
        <v>0</v>
      </c>
      <c r="K1990" t="s">
        <v>44</v>
      </c>
      <c r="L1990" t="s">
        <v>16</v>
      </c>
      <c r="M1990">
        <v>2784.91</v>
      </c>
    </row>
    <row r="1991" spans="1:13" x14ac:dyDescent="0.25">
      <c r="A1991">
        <v>2989</v>
      </c>
      <c r="B1991" t="s">
        <v>2013</v>
      </c>
      <c r="C1991" t="s">
        <v>25</v>
      </c>
      <c r="D1991" t="s">
        <v>82</v>
      </c>
      <c r="E1991">
        <v>-1</v>
      </c>
      <c r="F1991">
        <v>4084.97</v>
      </c>
      <c r="G1991">
        <f t="shared" si="62"/>
        <v>-4084.97</v>
      </c>
      <c r="H1991" s="3">
        <v>0.83</v>
      </c>
      <c r="I1991">
        <f t="shared" si="63"/>
        <v>-694.44490000000008</v>
      </c>
      <c r="J1991" s="1">
        <v>45320</v>
      </c>
      <c r="K1991" t="s">
        <v>22</v>
      </c>
      <c r="L1991" t="s">
        <v>23</v>
      </c>
      <c r="M1991">
        <v>2395.4299999999998</v>
      </c>
    </row>
    <row r="1992" spans="1:13" x14ac:dyDescent="0.25">
      <c r="A1992">
        <v>2990</v>
      </c>
      <c r="B1992" t="s">
        <v>2014</v>
      </c>
      <c r="C1992" t="s">
        <v>13</v>
      </c>
      <c r="D1992" t="s">
        <v>14</v>
      </c>
      <c r="E1992">
        <v>0</v>
      </c>
      <c r="F1992">
        <v>3205.73</v>
      </c>
      <c r="G1992">
        <f t="shared" si="62"/>
        <v>0</v>
      </c>
      <c r="I1992">
        <f t="shared" si="63"/>
        <v>0</v>
      </c>
      <c r="J1992" s="1">
        <v>45556</v>
      </c>
      <c r="K1992" t="s">
        <v>22</v>
      </c>
      <c r="L1992" t="s">
        <v>16</v>
      </c>
      <c r="M1992">
        <v>1600.5</v>
      </c>
    </row>
    <row r="1993" spans="1:13" x14ac:dyDescent="0.25">
      <c r="A1993">
        <v>2991</v>
      </c>
      <c r="B1993" t="s">
        <v>2015</v>
      </c>
      <c r="C1993" t="s">
        <v>36</v>
      </c>
      <c r="D1993" t="s">
        <v>87</v>
      </c>
      <c r="E1993">
        <v>2</v>
      </c>
      <c r="F1993">
        <v>2053.65</v>
      </c>
      <c r="G1993">
        <f t="shared" si="62"/>
        <v>4107.3</v>
      </c>
      <c r="I1993">
        <f t="shared" si="63"/>
        <v>4107.3</v>
      </c>
      <c r="J1993" s="1">
        <v>45582</v>
      </c>
      <c r="K1993" t="s">
        <v>2517</v>
      </c>
      <c r="L1993" t="s">
        <v>16</v>
      </c>
      <c r="M1993">
        <v>-86.89</v>
      </c>
    </row>
    <row r="1994" spans="1:13" x14ac:dyDescent="0.25">
      <c r="A1994">
        <v>2992</v>
      </c>
      <c r="B1994" t="s">
        <v>2016</v>
      </c>
      <c r="C1994" t="s">
        <v>13</v>
      </c>
      <c r="D1994" t="s">
        <v>47</v>
      </c>
      <c r="E1994">
        <v>2</v>
      </c>
      <c r="F1994">
        <v>4747.16</v>
      </c>
      <c r="G1994">
        <f t="shared" si="62"/>
        <v>9494.32</v>
      </c>
      <c r="H1994" s="3">
        <v>0.9</v>
      </c>
      <c r="I1994">
        <f t="shared" si="63"/>
        <v>949.43199999999979</v>
      </c>
      <c r="J1994" s="1">
        <v>45317</v>
      </c>
      <c r="K1994" t="s">
        <v>38</v>
      </c>
      <c r="L1994" t="s">
        <v>23</v>
      </c>
      <c r="M1994">
        <v>2189.0500000000002</v>
      </c>
    </row>
    <row r="1995" spans="1:13" x14ac:dyDescent="0.25">
      <c r="A1995">
        <v>2993</v>
      </c>
      <c r="B1995" t="s">
        <v>2017</v>
      </c>
      <c r="C1995" t="s">
        <v>28</v>
      </c>
      <c r="D1995" t="s">
        <v>137</v>
      </c>
      <c r="E1995">
        <v>2</v>
      </c>
      <c r="G1995">
        <f t="shared" si="62"/>
        <v>0</v>
      </c>
      <c r="I1995">
        <f t="shared" si="63"/>
        <v>0</v>
      </c>
      <c r="J1995" s="1">
        <v>45711</v>
      </c>
      <c r="K1995" t="s">
        <v>22</v>
      </c>
      <c r="L1995" t="s">
        <v>16</v>
      </c>
      <c r="M1995">
        <v>-568.91</v>
      </c>
    </row>
    <row r="1996" spans="1:13" x14ac:dyDescent="0.25">
      <c r="A1996">
        <v>2994</v>
      </c>
      <c r="B1996" t="s">
        <v>2018</v>
      </c>
      <c r="C1996" t="s">
        <v>31</v>
      </c>
      <c r="D1996" t="s">
        <v>42</v>
      </c>
      <c r="E1996">
        <v>5</v>
      </c>
      <c r="F1996">
        <v>919.26</v>
      </c>
      <c r="G1996">
        <f t="shared" si="62"/>
        <v>4596.3</v>
      </c>
      <c r="I1996">
        <f t="shared" si="63"/>
        <v>4596.3</v>
      </c>
      <c r="K1996" t="s">
        <v>2517</v>
      </c>
      <c r="L1996" t="s">
        <v>16</v>
      </c>
      <c r="M1996">
        <v>2805.22</v>
      </c>
    </row>
    <row r="1997" spans="1:13" x14ac:dyDescent="0.25">
      <c r="A1997">
        <v>2995</v>
      </c>
      <c r="B1997" t="s">
        <v>2019</v>
      </c>
      <c r="C1997" t="s">
        <v>25</v>
      </c>
      <c r="D1997" t="s">
        <v>51</v>
      </c>
      <c r="E1997">
        <v>2</v>
      </c>
      <c r="F1997">
        <v>2617.66</v>
      </c>
      <c r="G1997">
        <f t="shared" si="62"/>
        <v>5235.32</v>
      </c>
      <c r="H1997" s="3">
        <v>0.55000000000000004</v>
      </c>
      <c r="I1997">
        <f t="shared" si="63"/>
        <v>2355.8939999999998</v>
      </c>
      <c r="J1997" s="1">
        <v>45694</v>
      </c>
      <c r="K1997" t="s">
        <v>22</v>
      </c>
      <c r="L1997" t="s">
        <v>16</v>
      </c>
      <c r="M1997">
        <v>1406.13</v>
      </c>
    </row>
    <row r="1998" spans="1:13" x14ac:dyDescent="0.25">
      <c r="A1998">
        <v>2996</v>
      </c>
      <c r="B1998" t="s">
        <v>2020</v>
      </c>
      <c r="C1998" t="s">
        <v>36</v>
      </c>
      <c r="D1998" t="s">
        <v>59</v>
      </c>
      <c r="E1998">
        <v>2</v>
      </c>
      <c r="F1998">
        <v>3750.45</v>
      </c>
      <c r="G1998">
        <f t="shared" si="62"/>
        <v>7500.9</v>
      </c>
      <c r="H1998" s="3">
        <v>1.04</v>
      </c>
      <c r="I1998">
        <f t="shared" si="63"/>
        <v>-300.03600000000023</v>
      </c>
      <c r="J1998" s="1">
        <v>45724</v>
      </c>
      <c r="K1998" t="s">
        <v>18</v>
      </c>
      <c r="L1998" t="s">
        <v>16</v>
      </c>
      <c r="M1998">
        <v>1108.3800000000001</v>
      </c>
    </row>
    <row r="1999" spans="1:13" x14ac:dyDescent="0.25">
      <c r="A1999">
        <v>1027</v>
      </c>
      <c r="B1999" t="s">
        <v>733</v>
      </c>
      <c r="C1999" t="s">
        <v>20</v>
      </c>
      <c r="D1999" t="s">
        <v>76</v>
      </c>
      <c r="E1999">
        <v>2</v>
      </c>
      <c r="G1999">
        <f t="shared" si="62"/>
        <v>0</v>
      </c>
      <c r="I1999">
        <f t="shared" si="63"/>
        <v>0</v>
      </c>
      <c r="K1999" t="s">
        <v>2517</v>
      </c>
      <c r="L1999" t="s">
        <v>16</v>
      </c>
      <c r="M1999">
        <v>1921.25</v>
      </c>
    </row>
    <row r="2000" spans="1:13" x14ac:dyDescent="0.25">
      <c r="A2000">
        <v>2998</v>
      </c>
      <c r="B2000" t="s">
        <v>2021</v>
      </c>
      <c r="C2000" t="s">
        <v>20</v>
      </c>
      <c r="D2000" t="s">
        <v>21</v>
      </c>
      <c r="E2000">
        <v>0</v>
      </c>
      <c r="F2000">
        <v>3453.58</v>
      </c>
      <c r="G2000">
        <f t="shared" si="62"/>
        <v>0</v>
      </c>
      <c r="I2000">
        <f t="shared" si="63"/>
        <v>0</v>
      </c>
      <c r="J2000" s="1">
        <v>45594</v>
      </c>
      <c r="K2000" t="s">
        <v>22</v>
      </c>
      <c r="L2000" t="s">
        <v>23</v>
      </c>
      <c r="M2000">
        <v>2018.4</v>
      </c>
    </row>
    <row r="2001" spans="1:13" x14ac:dyDescent="0.25">
      <c r="A2001">
        <v>2999</v>
      </c>
      <c r="B2001" t="s">
        <v>2022</v>
      </c>
      <c r="C2001" t="s">
        <v>25</v>
      </c>
      <c r="D2001" t="s">
        <v>26</v>
      </c>
      <c r="E2001">
        <v>2</v>
      </c>
      <c r="G2001">
        <f t="shared" si="62"/>
        <v>0</v>
      </c>
      <c r="I2001">
        <f t="shared" si="63"/>
        <v>0</v>
      </c>
      <c r="K2001" t="s">
        <v>2517</v>
      </c>
      <c r="L2001" t="s">
        <v>23</v>
      </c>
      <c r="M2001">
        <v>-828.2</v>
      </c>
    </row>
    <row r="2002" spans="1:13" x14ac:dyDescent="0.25">
      <c r="A2002">
        <v>1034</v>
      </c>
      <c r="B2002" t="s">
        <v>2023</v>
      </c>
      <c r="C2002" t="s">
        <v>36</v>
      </c>
      <c r="D2002" t="s">
        <v>37</v>
      </c>
      <c r="E2002">
        <v>2</v>
      </c>
      <c r="G2002">
        <f t="shared" si="62"/>
        <v>0</v>
      </c>
      <c r="I2002">
        <f t="shared" si="63"/>
        <v>0</v>
      </c>
      <c r="J2002" s="1">
        <v>45557</v>
      </c>
      <c r="K2002" t="s">
        <v>2517</v>
      </c>
      <c r="L2002" t="s">
        <v>16</v>
      </c>
      <c r="M2002">
        <v>-41.81</v>
      </c>
    </row>
    <row r="2003" spans="1:13" x14ac:dyDescent="0.25">
      <c r="A2003">
        <v>3001</v>
      </c>
      <c r="B2003" t="s">
        <v>2024</v>
      </c>
      <c r="C2003" t="s">
        <v>20</v>
      </c>
      <c r="D2003" t="s">
        <v>84</v>
      </c>
      <c r="E2003">
        <v>-1</v>
      </c>
      <c r="F2003">
        <v>1171.57</v>
      </c>
      <c r="G2003">
        <f t="shared" si="62"/>
        <v>-1171.57</v>
      </c>
      <c r="I2003">
        <f t="shared" si="63"/>
        <v>-1171.57</v>
      </c>
      <c r="J2003" s="1">
        <v>45601</v>
      </c>
      <c r="K2003" t="s">
        <v>44</v>
      </c>
      <c r="L2003" t="s">
        <v>16</v>
      </c>
      <c r="M2003">
        <v>2541.21</v>
      </c>
    </row>
    <row r="2004" spans="1:13" x14ac:dyDescent="0.25">
      <c r="A2004">
        <v>1046</v>
      </c>
      <c r="B2004" t="s">
        <v>2025</v>
      </c>
      <c r="C2004" t="s">
        <v>31</v>
      </c>
      <c r="D2004" t="s">
        <v>42</v>
      </c>
      <c r="E2004">
        <v>2</v>
      </c>
      <c r="G2004">
        <f t="shared" si="62"/>
        <v>0</v>
      </c>
      <c r="I2004">
        <f t="shared" si="63"/>
        <v>0</v>
      </c>
      <c r="J2004" s="1">
        <v>45528</v>
      </c>
      <c r="K2004" t="s">
        <v>15</v>
      </c>
      <c r="L2004" t="s">
        <v>23</v>
      </c>
      <c r="M2004">
        <v>900.65</v>
      </c>
    </row>
    <row r="2005" spans="1:13" x14ac:dyDescent="0.25">
      <c r="A2005">
        <v>3003</v>
      </c>
      <c r="B2005" t="s">
        <v>2026</v>
      </c>
      <c r="C2005" t="s">
        <v>13</v>
      </c>
      <c r="D2005" t="s">
        <v>47</v>
      </c>
      <c r="E2005">
        <v>-1</v>
      </c>
      <c r="G2005">
        <f t="shared" si="62"/>
        <v>0</v>
      </c>
      <c r="I2005">
        <f t="shared" si="63"/>
        <v>0</v>
      </c>
      <c r="J2005" s="1">
        <v>45581</v>
      </c>
      <c r="K2005" t="s">
        <v>15</v>
      </c>
      <c r="L2005" t="s">
        <v>23</v>
      </c>
      <c r="M2005">
        <v>605.98</v>
      </c>
    </row>
    <row r="2006" spans="1:13" x14ac:dyDescent="0.25">
      <c r="A2006">
        <v>3004</v>
      </c>
      <c r="B2006" t="s">
        <v>2027</v>
      </c>
      <c r="C2006" t="s">
        <v>31</v>
      </c>
      <c r="D2006" t="s">
        <v>32</v>
      </c>
      <c r="E2006">
        <v>3</v>
      </c>
      <c r="F2006">
        <v>1759.66</v>
      </c>
      <c r="G2006">
        <f t="shared" si="62"/>
        <v>5278.9800000000005</v>
      </c>
      <c r="I2006">
        <f t="shared" si="63"/>
        <v>5278.9800000000005</v>
      </c>
      <c r="J2006" s="1">
        <v>45751</v>
      </c>
      <c r="K2006" t="s">
        <v>22</v>
      </c>
      <c r="L2006" t="s">
        <v>16</v>
      </c>
      <c r="M2006">
        <v>1133.07</v>
      </c>
    </row>
    <row r="2007" spans="1:13" x14ac:dyDescent="0.25">
      <c r="A2007">
        <v>3005</v>
      </c>
      <c r="B2007" t="s">
        <v>2028</v>
      </c>
      <c r="C2007" t="s">
        <v>20</v>
      </c>
      <c r="D2007" t="s">
        <v>76</v>
      </c>
      <c r="E2007">
        <v>2</v>
      </c>
      <c r="G2007">
        <f t="shared" si="62"/>
        <v>0</v>
      </c>
      <c r="I2007">
        <f t="shared" si="63"/>
        <v>0</v>
      </c>
      <c r="J2007" s="1">
        <v>45420</v>
      </c>
      <c r="K2007" t="s">
        <v>2517</v>
      </c>
      <c r="L2007" t="s">
        <v>16</v>
      </c>
      <c r="M2007">
        <v>2378.14</v>
      </c>
    </row>
    <row r="2008" spans="1:13" x14ac:dyDescent="0.25">
      <c r="A2008">
        <v>3006</v>
      </c>
      <c r="B2008" t="s">
        <v>2029</v>
      </c>
      <c r="C2008" t="s">
        <v>25</v>
      </c>
      <c r="D2008" t="s">
        <v>26</v>
      </c>
      <c r="E2008">
        <v>2</v>
      </c>
      <c r="G2008">
        <f t="shared" si="62"/>
        <v>0</v>
      </c>
      <c r="H2008" s="3">
        <v>1.26</v>
      </c>
      <c r="I2008">
        <f t="shared" si="63"/>
        <v>0</v>
      </c>
      <c r="K2008" t="s">
        <v>44</v>
      </c>
      <c r="L2008" t="s">
        <v>23</v>
      </c>
      <c r="M2008">
        <v>1441.9</v>
      </c>
    </row>
    <row r="2009" spans="1:13" x14ac:dyDescent="0.25">
      <c r="A2009">
        <v>3007</v>
      </c>
      <c r="B2009" t="s">
        <v>2030</v>
      </c>
      <c r="C2009" t="s">
        <v>25</v>
      </c>
      <c r="D2009" t="s">
        <v>26</v>
      </c>
      <c r="E2009">
        <v>-2</v>
      </c>
      <c r="F2009">
        <v>3922.01</v>
      </c>
      <c r="G2009">
        <f t="shared" si="62"/>
        <v>-7844.02</v>
      </c>
      <c r="I2009">
        <f t="shared" si="63"/>
        <v>-7844.02</v>
      </c>
      <c r="J2009" s="1">
        <v>45726</v>
      </c>
      <c r="K2009" t="s">
        <v>38</v>
      </c>
      <c r="L2009" t="s">
        <v>23</v>
      </c>
      <c r="M2009">
        <v>2186.58</v>
      </c>
    </row>
    <row r="2010" spans="1:13" x14ac:dyDescent="0.25">
      <c r="A2010">
        <v>3008</v>
      </c>
      <c r="B2010" t="s">
        <v>2031</v>
      </c>
      <c r="C2010" t="s">
        <v>28</v>
      </c>
      <c r="D2010" t="s">
        <v>40</v>
      </c>
      <c r="E2010">
        <v>2</v>
      </c>
      <c r="F2010">
        <v>2880.85</v>
      </c>
      <c r="G2010">
        <f t="shared" si="62"/>
        <v>5761.7</v>
      </c>
      <c r="I2010">
        <f t="shared" si="63"/>
        <v>5761.7</v>
      </c>
      <c r="J2010" s="1">
        <v>45798</v>
      </c>
      <c r="K2010" t="s">
        <v>15</v>
      </c>
      <c r="L2010" t="s">
        <v>16</v>
      </c>
      <c r="M2010">
        <v>2519.23</v>
      </c>
    </row>
    <row r="2011" spans="1:13" x14ac:dyDescent="0.25">
      <c r="A2011">
        <v>3009</v>
      </c>
      <c r="B2011" t="s">
        <v>2032</v>
      </c>
      <c r="C2011" t="s">
        <v>13</v>
      </c>
      <c r="D2011" t="s">
        <v>14</v>
      </c>
      <c r="E2011">
        <v>2</v>
      </c>
      <c r="G2011">
        <f t="shared" si="62"/>
        <v>0</v>
      </c>
      <c r="I2011">
        <f t="shared" si="63"/>
        <v>0</v>
      </c>
      <c r="J2011" s="1">
        <v>45730</v>
      </c>
      <c r="K2011" t="s">
        <v>38</v>
      </c>
      <c r="L2011" t="s">
        <v>16</v>
      </c>
      <c r="M2011">
        <v>25.22</v>
      </c>
    </row>
    <row r="2012" spans="1:13" x14ac:dyDescent="0.25">
      <c r="A2012">
        <v>3010</v>
      </c>
      <c r="B2012" t="s">
        <v>2033</v>
      </c>
      <c r="C2012" t="s">
        <v>20</v>
      </c>
      <c r="D2012" t="s">
        <v>21</v>
      </c>
      <c r="E2012">
        <v>-2</v>
      </c>
      <c r="G2012">
        <f t="shared" si="62"/>
        <v>0</v>
      </c>
      <c r="H2012" s="3">
        <v>0.68</v>
      </c>
      <c r="I2012">
        <f t="shared" si="63"/>
        <v>0</v>
      </c>
      <c r="J2012" s="1">
        <v>45565</v>
      </c>
      <c r="K2012" t="s">
        <v>2517</v>
      </c>
      <c r="L2012" t="s">
        <v>16</v>
      </c>
      <c r="M2012">
        <v>671.7</v>
      </c>
    </row>
    <row r="2013" spans="1:13" x14ac:dyDescent="0.25">
      <c r="A2013">
        <v>3011</v>
      </c>
      <c r="B2013" t="s">
        <v>2034</v>
      </c>
      <c r="C2013" t="s">
        <v>28</v>
      </c>
      <c r="D2013" t="s">
        <v>29</v>
      </c>
      <c r="E2013">
        <v>2</v>
      </c>
      <c r="F2013">
        <v>4016.78</v>
      </c>
      <c r="G2013">
        <f t="shared" si="62"/>
        <v>8033.56</v>
      </c>
      <c r="H2013" s="3">
        <v>1.03</v>
      </c>
      <c r="I2013">
        <f t="shared" si="63"/>
        <v>-241.00680000000023</v>
      </c>
      <c r="J2013" s="1">
        <v>45780</v>
      </c>
      <c r="K2013" t="s">
        <v>15</v>
      </c>
      <c r="L2013" t="s">
        <v>23</v>
      </c>
      <c r="M2013">
        <v>729.73</v>
      </c>
    </row>
    <row r="2014" spans="1:13" x14ac:dyDescent="0.25">
      <c r="A2014">
        <v>3012</v>
      </c>
      <c r="B2014" t="s">
        <v>2035</v>
      </c>
      <c r="C2014" t="s">
        <v>28</v>
      </c>
      <c r="D2014" t="s">
        <v>137</v>
      </c>
      <c r="E2014">
        <v>2</v>
      </c>
      <c r="F2014">
        <v>673.96</v>
      </c>
      <c r="G2014">
        <f t="shared" si="62"/>
        <v>1347.92</v>
      </c>
      <c r="I2014">
        <f t="shared" si="63"/>
        <v>1347.92</v>
      </c>
      <c r="K2014" t="s">
        <v>38</v>
      </c>
      <c r="L2014" t="s">
        <v>23</v>
      </c>
      <c r="M2014">
        <v>799.35</v>
      </c>
    </row>
    <row r="2015" spans="1:13" x14ac:dyDescent="0.25">
      <c r="A2015">
        <v>3013</v>
      </c>
      <c r="B2015" t="s">
        <v>2036</v>
      </c>
      <c r="C2015" t="s">
        <v>31</v>
      </c>
      <c r="D2015" t="s">
        <v>78</v>
      </c>
      <c r="E2015">
        <v>2</v>
      </c>
      <c r="G2015">
        <f t="shared" si="62"/>
        <v>0</v>
      </c>
      <c r="H2015" s="3">
        <v>0.66</v>
      </c>
      <c r="I2015">
        <f t="shared" si="63"/>
        <v>0</v>
      </c>
      <c r="J2015" s="1">
        <v>45689</v>
      </c>
      <c r="K2015" t="s">
        <v>38</v>
      </c>
      <c r="L2015" t="s">
        <v>16</v>
      </c>
      <c r="M2015">
        <v>-572.35</v>
      </c>
    </row>
    <row r="2016" spans="1:13" x14ac:dyDescent="0.25">
      <c r="A2016">
        <v>3014</v>
      </c>
      <c r="B2016" t="s">
        <v>2037</v>
      </c>
      <c r="C2016" t="s">
        <v>31</v>
      </c>
      <c r="D2016" t="s">
        <v>78</v>
      </c>
      <c r="E2016">
        <v>2</v>
      </c>
      <c r="G2016">
        <f t="shared" si="62"/>
        <v>0</v>
      </c>
      <c r="I2016">
        <f t="shared" si="63"/>
        <v>0</v>
      </c>
      <c r="J2016" s="1">
        <v>45840</v>
      </c>
      <c r="K2016" t="s">
        <v>15</v>
      </c>
      <c r="L2016" t="s">
        <v>23</v>
      </c>
      <c r="M2016">
        <v>1056.99</v>
      </c>
    </row>
    <row r="2017" spans="1:13" x14ac:dyDescent="0.25">
      <c r="A2017">
        <v>3015</v>
      </c>
      <c r="B2017" t="s">
        <v>2038</v>
      </c>
      <c r="C2017" t="s">
        <v>13</v>
      </c>
      <c r="D2017" t="s">
        <v>98</v>
      </c>
      <c r="E2017">
        <v>2</v>
      </c>
      <c r="F2017">
        <v>3211</v>
      </c>
      <c r="G2017">
        <f t="shared" si="62"/>
        <v>6422</v>
      </c>
      <c r="H2017" s="3">
        <v>0.56000000000000005</v>
      </c>
      <c r="I2017">
        <f t="shared" si="63"/>
        <v>2825.68</v>
      </c>
      <c r="J2017" s="1">
        <v>45601</v>
      </c>
      <c r="K2017" t="s">
        <v>15</v>
      </c>
      <c r="L2017" t="s">
        <v>16</v>
      </c>
      <c r="M2017">
        <v>-659.55</v>
      </c>
    </row>
    <row r="2018" spans="1:13" x14ac:dyDescent="0.25">
      <c r="A2018">
        <v>3016</v>
      </c>
      <c r="B2018" t="s">
        <v>2039</v>
      </c>
      <c r="C2018" t="s">
        <v>28</v>
      </c>
      <c r="D2018" t="s">
        <v>29</v>
      </c>
      <c r="E2018">
        <v>5</v>
      </c>
      <c r="G2018">
        <f t="shared" si="62"/>
        <v>0</v>
      </c>
      <c r="I2018">
        <f t="shared" si="63"/>
        <v>0</v>
      </c>
      <c r="J2018" s="1">
        <v>45642</v>
      </c>
      <c r="K2018" t="s">
        <v>2517</v>
      </c>
      <c r="L2018" t="s">
        <v>16</v>
      </c>
      <c r="M2018">
        <v>426.15</v>
      </c>
    </row>
    <row r="2019" spans="1:13" x14ac:dyDescent="0.25">
      <c r="A2019">
        <v>3017</v>
      </c>
      <c r="B2019" t="s">
        <v>2040</v>
      </c>
      <c r="C2019" t="s">
        <v>25</v>
      </c>
      <c r="D2019" t="s">
        <v>82</v>
      </c>
      <c r="E2019">
        <v>2</v>
      </c>
      <c r="G2019">
        <f t="shared" si="62"/>
        <v>0</v>
      </c>
      <c r="I2019">
        <f t="shared" si="63"/>
        <v>0</v>
      </c>
      <c r="J2019" s="1">
        <v>45641</v>
      </c>
      <c r="K2019" t="s">
        <v>18</v>
      </c>
      <c r="L2019" t="s">
        <v>16</v>
      </c>
      <c r="M2019">
        <v>1237.1300000000001</v>
      </c>
    </row>
    <row r="2020" spans="1:13" x14ac:dyDescent="0.25">
      <c r="A2020">
        <v>3018</v>
      </c>
      <c r="B2020" t="s">
        <v>2041</v>
      </c>
      <c r="C2020" t="s">
        <v>13</v>
      </c>
      <c r="D2020" t="s">
        <v>14</v>
      </c>
      <c r="E2020">
        <v>0</v>
      </c>
      <c r="F2020">
        <v>4744.8599999999997</v>
      </c>
      <c r="G2020">
        <f t="shared" si="62"/>
        <v>0</v>
      </c>
      <c r="I2020">
        <f t="shared" si="63"/>
        <v>0</v>
      </c>
      <c r="J2020" s="1">
        <v>45623</v>
      </c>
      <c r="K2020" t="s">
        <v>2517</v>
      </c>
      <c r="L2020" t="s">
        <v>16</v>
      </c>
      <c r="M2020">
        <v>2963.16</v>
      </c>
    </row>
    <row r="2021" spans="1:13" x14ac:dyDescent="0.25">
      <c r="A2021">
        <v>3019</v>
      </c>
      <c r="B2021" t="s">
        <v>2042</v>
      </c>
      <c r="C2021" t="s">
        <v>13</v>
      </c>
      <c r="D2021" t="s">
        <v>14</v>
      </c>
      <c r="E2021">
        <v>0</v>
      </c>
      <c r="F2021">
        <v>2705.09</v>
      </c>
      <c r="G2021">
        <f t="shared" si="62"/>
        <v>0</v>
      </c>
      <c r="I2021">
        <f t="shared" si="63"/>
        <v>0</v>
      </c>
      <c r="J2021" s="1">
        <v>45570</v>
      </c>
      <c r="K2021" t="s">
        <v>2517</v>
      </c>
      <c r="L2021" t="s">
        <v>16</v>
      </c>
      <c r="M2021">
        <v>-546.72</v>
      </c>
    </row>
    <row r="2022" spans="1:13" x14ac:dyDescent="0.25">
      <c r="A2022">
        <v>3020</v>
      </c>
      <c r="B2022" t="s">
        <v>2043</v>
      </c>
      <c r="C2022" t="s">
        <v>25</v>
      </c>
      <c r="D2022" t="s">
        <v>82</v>
      </c>
      <c r="E2022">
        <v>2</v>
      </c>
      <c r="G2022">
        <f t="shared" si="62"/>
        <v>0</v>
      </c>
      <c r="I2022">
        <f t="shared" si="63"/>
        <v>0</v>
      </c>
      <c r="J2022" s="1">
        <v>45525</v>
      </c>
      <c r="K2022" t="s">
        <v>38</v>
      </c>
      <c r="L2022" t="s">
        <v>23</v>
      </c>
      <c r="M2022">
        <v>134.93</v>
      </c>
    </row>
    <row r="2023" spans="1:13" x14ac:dyDescent="0.25">
      <c r="A2023">
        <v>3021</v>
      </c>
      <c r="B2023" t="s">
        <v>2044</v>
      </c>
      <c r="C2023" t="s">
        <v>20</v>
      </c>
      <c r="D2023" t="s">
        <v>76</v>
      </c>
      <c r="E2023">
        <v>3</v>
      </c>
      <c r="G2023">
        <f t="shared" si="62"/>
        <v>0</v>
      </c>
      <c r="I2023">
        <f t="shared" si="63"/>
        <v>0</v>
      </c>
      <c r="J2023" s="1">
        <v>45692</v>
      </c>
      <c r="K2023" t="s">
        <v>22</v>
      </c>
      <c r="L2023" t="s">
        <v>23</v>
      </c>
      <c r="M2023">
        <v>-571.78</v>
      </c>
    </row>
    <row r="2024" spans="1:13" x14ac:dyDescent="0.25">
      <c r="A2024">
        <v>3022</v>
      </c>
      <c r="B2024" t="s">
        <v>2045</v>
      </c>
      <c r="C2024" t="s">
        <v>28</v>
      </c>
      <c r="D2024" t="s">
        <v>29</v>
      </c>
      <c r="E2024">
        <v>3</v>
      </c>
      <c r="F2024">
        <v>1695.61</v>
      </c>
      <c r="G2024">
        <f t="shared" si="62"/>
        <v>5086.83</v>
      </c>
      <c r="I2024">
        <f t="shared" si="63"/>
        <v>5086.83</v>
      </c>
      <c r="J2024" s="1">
        <v>45512</v>
      </c>
      <c r="K2024" t="s">
        <v>15</v>
      </c>
      <c r="L2024" t="s">
        <v>16</v>
      </c>
      <c r="M2024">
        <v>297.83</v>
      </c>
    </row>
    <row r="2025" spans="1:13" x14ac:dyDescent="0.25">
      <c r="A2025">
        <v>3023</v>
      </c>
      <c r="B2025" t="s">
        <v>2046</v>
      </c>
      <c r="C2025" t="s">
        <v>31</v>
      </c>
      <c r="D2025" t="s">
        <v>42</v>
      </c>
      <c r="E2025">
        <v>2</v>
      </c>
      <c r="G2025">
        <f t="shared" si="62"/>
        <v>0</v>
      </c>
      <c r="I2025">
        <f t="shared" si="63"/>
        <v>0</v>
      </c>
      <c r="J2025" s="1">
        <v>45166</v>
      </c>
      <c r="K2025" t="s">
        <v>15</v>
      </c>
      <c r="L2025" t="s">
        <v>16</v>
      </c>
      <c r="M2025">
        <v>2001.88</v>
      </c>
    </row>
    <row r="2026" spans="1:13" x14ac:dyDescent="0.25">
      <c r="A2026">
        <v>3024</v>
      </c>
      <c r="B2026" t="s">
        <v>2047</v>
      </c>
      <c r="C2026" t="s">
        <v>31</v>
      </c>
      <c r="D2026" t="s">
        <v>68</v>
      </c>
      <c r="E2026">
        <v>2</v>
      </c>
      <c r="G2026">
        <f t="shared" si="62"/>
        <v>0</v>
      </c>
      <c r="H2026" s="3">
        <v>0.18</v>
      </c>
      <c r="I2026">
        <f t="shared" si="63"/>
        <v>0</v>
      </c>
      <c r="K2026" t="s">
        <v>22</v>
      </c>
      <c r="L2026" t="s">
        <v>16</v>
      </c>
      <c r="M2026">
        <v>1505.68</v>
      </c>
    </row>
    <row r="2027" spans="1:13" x14ac:dyDescent="0.25">
      <c r="A2027">
        <v>3025</v>
      </c>
      <c r="B2027" t="s">
        <v>2048</v>
      </c>
      <c r="C2027" t="s">
        <v>28</v>
      </c>
      <c r="D2027" t="s">
        <v>29</v>
      </c>
      <c r="E2027">
        <v>2</v>
      </c>
      <c r="G2027">
        <f t="shared" si="62"/>
        <v>0</v>
      </c>
      <c r="I2027">
        <f t="shared" si="63"/>
        <v>0</v>
      </c>
      <c r="J2027" s="1">
        <v>45284</v>
      </c>
      <c r="K2027" t="s">
        <v>38</v>
      </c>
      <c r="L2027" t="s">
        <v>16</v>
      </c>
      <c r="M2027">
        <v>2275.0700000000002</v>
      </c>
    </row>
    <row r="2028" spans="1:13" x14ac:dyDescent="0.25">
      <c r="A2028">
        <v>3026</v>
      </c>
      <c r="B2028" t="s">
        <v>2049</v>
      </c>
      <c r="C2028" t="s">
        <v>13</v>
      </c>
      <c r="D2028" t="s">
        <v>47</v>
      </c>
      <c r="E2028">
        <v>2</v>
      </c>
      <c r="F2028">
        <v>3345.45</v>
      </c>
      <c r="G2028">
        <f t="shared" si="62"/>
        <v>6690.9</v>
      </c>
      <c r="I2028">
        <f t="shared" si="63"/>
        <v>6690.9</v>
      </c>
      <c r="J2028" s="1">
        <v>45512</v>
      </c>
      <c r="K2028" t="s">
        <v>2517</v>
      </c>
      <c r="L2028" t="s">
        <v>16</v>
      </c>
      <c r="M2028">
        <v>2896.95</v>
      </c>
    </row>
    <row r="2029" spans="1:13" x14ac:dyDescent="0.25">
      <c r="A2029">
        <v>3027</v>
      </c>
      <c r="B2029" t="s">
        <v>2050</v>
      </c>
      <c r="C2029" t="s">
        <v>28</v>
      </c>
      <c r="D2029" t="s">
        <v>116</v>
      </c>
      <c r="E2029">
        <v>2</v>
      </c>
      <c r="G2029">
        <f t="shared" si="62"/>
        <v>0</v>
      </c>
      <c r="I2029">
        <f t="shared" si="63"/>
        <v>0</v>
      </c>
      <c r="J2029" s="1">
        <v>45595</v>
      </c>
      <c r="K2029" t="s">
        <v>22</v>
      </c>
      <c r="L2029" t="s">
        <v>23</v>
      </c>
      <c r="M2029">
        <v>1256.47</v>
      </c>
    </row>
    <row r="2030" spans="1:13" x14ac:dyDescent="0.25">
      <c r="A2030">
        <v>3028</v>
      </c>
      <c r="B2030" t="s">
        <v>2051</v>
      </c>
      <c r="C2030" t="s">
        <v>25</v>
      </c>
      <c r="D2030" t="s">
        <v>62</v>
      </c>
      <c r="E2030">
        <v>2</v>
      </c>
      <c r="G2030">
        <f t="shared" si="62"/>
        <v>0</v>
      </c>
      <c r="H2030" s="3">
        <v>0.74</v>
      </c>
      <c r="I2030">
        <f t="shared" si="63"/>
        <v>0</v>
      </c>
      <c r="J2030" s="1">
        <v>45664</v>
      </c>
      <c r="K2030" t="s">
        <v>38</v>
      </c>
      <c r="L2030" t="s">
        <v>16</v>
      </c>
      <c r="M2030">
        <v>-436.73</v>
      </c>
    </row>
    <row r="2031" spans="1:13" x14ac:dyDescent="0.25">
      <c r="A2031">
        <v>1031</v>
      </c>
      <c r="B2031" t="s">
        <v>2052</v>
      </c>
      <c r="C2031" t="s">
        <v>13</v>
      </c>
      <c r="D2031" t="s">
        <v>14</v>
      </c>
      <c r="E2031">
        <v>2</v>
      </c>
      <c r="F2031">
        <v>2267.3000000000002</v>
      </c>
      <c r="G2031">
        <f t="shared" si="62"/>
        <v>4534.6000000000004</v>
      </c>
      <c r="H2031" s="3">
        <v>0.91</v>
      </c>
      <c r="I2031">
        <f t="shared" si="63"/>
        <v>408.11399999999992</v>
      </c>
      <c r="J2031" s="1">
        <v>45732</v>
      </c>
      <c r="K2031" t="s">
        <v>38</v>
      </c>
      <c r="L2031" t="s">
        <v>16</v>
      </c>
      <c r="M2031">
        <v>1673.55</v>
      </c>
    </row>
    <row r="2032" spans="1:13" x14ac:dyDescent="0.25">
      <c r="A2032">
        <v>3030</v>
      </c>
      <c r="B2032" t="s">
        <v>274</v>
      </c>
      <c r="C2032" t="s">
        <v>28</v>
      </c>
      <c r="D2032" t="s">
        <v>116</v>
      </c>
      <c r="E2032">
        <v>2</v>
      </c>
      <c r="F2032">
        <v>4101.8900000000003</v>
      </c>
      <c r="G2032">
        <f t="shared" si="62"/>
        <v>8203.7800000000007</v>
      </c>
      <c r="I2032">
        <f t="shared" si="63"/>
        <v>8203.7800000000007</v>
      </c>
      <c r="J2032" s="1">
        <v>45646</v>
      </c>
      <c r="K2032" t="s">
        <v>15</v>
      </c>
      <c r="L2032" t="s">
        <v>16</v>
      </c>
      <c r="M2032">
        <v>1196.03</v>
      </c>
    </row>
    <row r="2033" spans="1:13" x14ac:dyDescent="0.25">
      <c r="A2033">
        <v>3031</v>
      </c>
      <c r="B2033" t="s">
        <v>2053</v>
      </c>
      <c r="C2033" t="s">
        <v>20</v>
      </c>
      <c r="D2033" t="s">
        <v>118</v>
      </c>
      <c r="E2033">
        <v>-1</v>
      </c>
      <c r="G2033">
        <f t="shared" si="62"/>
        <v>0</v>
      </c>
      <c r="I2033">
        <f t="shared" si="63"/>
        <v>0</v>
      </c>
      <c r="J2033" s="1">
        <v>45501</v>
      </c>
      <c r="K2033" t="s">
        <v>2517</v>
      </c>
      <c r="L2033" t="s">
        <v>16</v>
      </c>
      <c r="M2033">
        <v>-970.17</v>
      </c>
    </row>
    <row r="2034" spans="1:13" x14ac:dyDescent="0.25">
      <c r="A2034">
        <v>3032</v>
      </c>
      <c r="B2034" t="s">
        <v>2054</v>
      </c>
      <c r="C2034" t="s">
        <v>25</v>
      </c>
      <c r="D2034" t="s">
        <v>62</v>
      </c>
      <c r="E2034">
        <v>5</v>
      </c>
      <c r="F2034">
        <v>3654.9</v>
      </c>
      <c r="G2034">
        <f t="shared" si="62"/>
        <v>18274.5</v>
      </c>
      <c r="I2034">
        <f t="shared" si="63"/>
        <v>18274.5</v>
      </c>
      <c r="K2034" t="s">
        <v>18</v>
      </c>
      <c r="L2034" t="s">
        <v>16</v>
      </c>
      <c r="M2034">
        <v>1069.81</v>
      </c>
    </row>
    <row r="2035" spans="1:13" x14ac:dyDescent="0.25">
      <c r="A2035">
        <v>3033</v>
      </c>
      <c r="B2035" t="s">
        <v>2055</v>
      </c>
      <c r="C2035" t="s">
        <v>31</v>
      </c>
      <c r="D2035" t="s">
        <v>68</v>
      </c>
      <c r="E2035">
        <v>2</v>
      </c>
      <c r="F2035">
        <v>1787.52</v>
      </c>
      <c r="G2035">
        <f t="shared" si="62"/>
        <v>3575.04</v>
      </c>
      <c r="I2035">
        <f t="shared" si="63"/>
        <v>3575.04</v>
      </c>
      <c r="J2035" s="1">
        <v>45702</v>
      </c>
      <c r="K2035" t="s">
        <v>2517</v>
      </c>
      <c r="L2035" t="s">
        <v>23</v>
      </c>
      <c r="M2035">
        <v>2626.27</v>
      </c>
    </row>
    <row r="2036" spans="1:13" x14ac:dyDescent="0.25">
      <c r="A2036">
        <v>3034</v>
      </c>
      <c r="B2036" t="s">
        <v>2056</v>
      </c>
      <c r="C2036" t="s">
        <v>31</v>
      </c>
      <c r="D2036" t="s">
        <v>42</v>
      </c>
      <c r="E2036">
        <v>2</v>
      </c>
      <c r="G2036">
        <f t="shared" si="62"/>
        <v>0</v>
      </c>
      <c r="I2036">
        <f t="shared" si="63"/>
        <v>0</v>
      </c>
      <c r="K2036" t="s">
        <v>18</v>
      </c>
      <c r="L2036" t="s">
        <v>23</v>
      </c>
      <c r="M2036">
        <v>2599.13</v>
      </c>
    </row>
    <row r="2037" spans="1:13" x14ac:dyDescent="0.25">
      <c r="A2037">
        <v>3035</v>
      </c>
      <c r="B2037" t="s">
        <v>2057</v>
      </c>
      <c r="C2037" t="s">
        <v>36</v>
      </c>
      <c r="D2037" t="s">
        <v>37</v>
      </c>
      <c r="E2037">
        <v>4</v>
      </c>
      <c r="G2037">
        <f t="shared" si="62"/>
        <v>0</v>
      </c>
      <c r="H2037" s="3">
        <v>1</v>
      </c>
      <c r="I2037">
        <f t="shared" si="63"/>
        <v>0</v>
      </c>
      <c r="K2037" t="s">
        <v>38</v>
      </c>
      <c r="L2037" t="s">
        <v>23</v>
      </c>
      <c r="M2037">
        <v>2640.01</v>
      </c>
    </row>
    <row r="2038" spans="1:13" x14ac:dyDescent="0.25">
      <c r="A2038">
        <v>3036</v>
      </c>
      <c r="B2038" t="s">
        <v>2058</v>
      </c>
      <c r="C2038" t="s">
        <v>36</v>
      </c>
      <c r="D2038" t="s">
        <v>87</v>
      </c>
      <c r="E2038">
        <v>2</v>
      </c>
      <c r="F2038">
        <v>3997.83</v>
      </c>
      <c r="G2038">
        <f t="shared" si="62"/>
        <v>7995.66</v>
      </c>
      <c r="I2038">
        <f t="shared" si="63"/>
        <v>7995.66</v>
      </c>
      <c r="J2038" s="1">
        <v>45784</v>
      </c>
      <c r="K2038" t="s">
        <v>15</v>
      </c>
      <c r="L2038" t="s">
        <v>23</v>
      </c>
      <c r="M2038">
        <v>1399.12</v>
      </c>
    </row>
    <row r="2039" spans="1:13" x14ac:dyDescent="0.25">
      <c r="A2039">
        <v>3037</v>
      </c>
      <c r="B2039" t="s">
        <v>2059</v>
      </c>
      <c r="C2039" t="s">
        <v>20</v>
      </c>
      <c r="D2039" t="s">
        <v>21</v>
      </c>
      <c r="E2039">
        <v>2</v>
      </c>
      <c r="G2039">
        <f t="shared" si="62"/>
        <v>0</v>
      </c>
      <c r="H2039" s="3">
        <v>0.85</v>
      </c>
      <c r="I2039">
        <f t="shared" si="63"/>
        <v>0</v>
      </c>
      <c r="J2039" s="1">
        <v>45518</v>
      </c>
      <c r="K2039" t="s">
        <v>15</v>
      </c>
      <c r="L2039" t="s">
        <v>16</v>
      </c>
      <c r="M2039">
        <v>-298.81</v>
      </c>
    </row>
    <row r="2040" spans="1:13" x14ac:dyDescent="0.25">
      <c r="A2040">
        <v>3038</v>
      </c>
      <c r="B2040" t="s">
        <v>2060</v>
      </c>
      <c r="C2040" t="s">
        <v>20</v>
      </c>
      <c r="D2040" t="s">
        <v>76</v>
      </c>
      <c r="E2040">
        <v>2</v>
      </c>
      <c r="F2040">
        <v>1318.04</v>
      </c>
      <c r="G2040">
        <f t="shared" si="62"/>
        <v>2636.08</v>
      </c>
      <c r="I2040">
        <f t="shared" si="63"/>
        <v>2636.08</v>
      </c>
      <c r="J2040" s="1">
        <v>45696</v>
      </c>
      <c r="K2040" t="s">
        <v>18</v>
      </c>
      <c r="L2040" t="s">
        <v>16</v>
      </c>
      <c r="M2040">
        <v>-19.53</v>
      </c>
    </row>
    <row r="2041" spans="1:13" x14ac:dyDescent="0.25">
      <c r="A2041">
        <v>3039</v>
      </c>
      <c r="B2041" t="s">
        <v>2061</v>
      </c>
      <c r="C2041" t="s">
        <v>13</v>
      </c>
      <c r="D2041" t="s">
        <v>14</v>
      </c>
      <c r="E2041">
        <v>2</v>
      </c>
      <c r="G2041">
        <f t="shared" si="62"/>
        <v>0</v>
      </c>
      <c r="I2041">
        <f t="shared" si="63"/>
        <v>0</v>
      </c>
      <c r="K2041" t="s">
        <v>44</v>
      </c>
      <c r="L2041" t="s">
        <v>16</v>
      </c>
      <c r="M2041">
        <v>748.79</v>
      </c>
    </row>
    <row r="2042" spans="1:13" x14ac:dyDescent="0.25">
      <c r="A2042">
        <v>3040</v>
      </c>
      <c r="B2042" t="s">
        <v>2062</v>
      </c>
      <c r="C2042" t="s">
        <v>25</v>
      </c>
      <c r="D2042" t="s">
        <v>62</v>
      </c>
      <c r="E2042">
        <v>-2</v>
      </c>
      <c r="G2042">
        <f t="shared" si="62"/>
        <v>0</v>
      </c>
      <c r="I2042">
        <f t="shared" si="63"/>
        <v>0</v>
      </c>
      <c r="J2042" s="1">
        <v>45735</v>
      </c>
      <c r="K2042" t="s">
        <v>2517</v>
      </c>
      <c r="L2042" t="s">
        <v>23</v>
      </c>
      <c r="M2042">
        <v>2991.73</v>
      </c>
    </row>
    <row r="2043" spans="1:13" x14ac:dyDescent="0.25">
      <c r="A2043">
        <v>3041</v>
      </c>
      <c r="B2043" t="s">
        <v>2063</v>
      </c>
      <c r="C2043" t="s">
        <v>20</v>
      </c>
      <c r="D2043" t="s">
        <v>76</v>
      </c>
      <c r="E2043">
        <v>2</v>
      </c>
      <c r="G2043">
        <f t="shared" si="62"/>
        <v>0</v>
      </c>
      <c r="I2043">
        <f t="shared" si="63"/>
        <v>0</v>
      </c>
      <c r="J2043" s="1">
        <v>45631</v>
      </c>
      <c r="K2043" t="s">
        <v>2517</v>
      </c>
      <c r="L2043" t="s">
        <v>16</v>
      </c>
      <c r="M2043">
        <v>2179.9299999999998</v>
      </c>
    </row>
    <row r="2044" spans="1:13" x14ac:dyDescent="0.25">
      <c r="A2044">
        <v>3042</v>
      </c>
      <c r="B2044" t="s">
        <v>2064</v>
      </c>
      <c r="C2044" t="s">
        <v>20</v>
      </c>
      <c r="D2044" t="s">
        <v>118</v>
      </c>
      <c r="E2044">
        <v>3</v>
      </c>
      <c r="F2044">
        <v>848.45</v>
      </c>
      <c r="G2044">
        <f t="shared" si="62"/>
        <v>2545.3500000000004</v>
      </c>
      <c r="I2044">
        <f t="shared" si="63"/>
        <v>2545.3500000000004</v>
      </c>
      <c r="K2044" t="s">
        <v>38</v>
      </c>
      <c r="L2044" t="s">
        <v>16</v>
      </c>
      <c r="M2044">
        <v>1334.54</v>
      </c>
    </row>
    <row r="2045" spans="1:13" x14ac:dyDescent="0.25">
      <c r="A2045">
        <v>3043</v>
      </c>
      <c r="B2045" t="s">
        <v>2065</v>
      </c>
      <c r="C2045" t="s">
        <v>28</v>
      </c>
      <c r="D2045" t="s">
        <v>137</v>
      </c>
      <c r="E2045">
        <v>2</v>
      </c>
      <c r="F2045">
        <v>1137.77</v>
      </c>
      <c r="G2045">
        <f t="shared" si="62"/>
        <v>2275.54</v>
      </c>
      <c r="I2045">
        <f t="shared" si="63"/>
        <v>2275.54</v>
      </c>
      <c r="J2045" s="1">
        <v>45264</v>
      </c>
      <c r="K2045" t="s">
        <v>15</v>
      </c>
      <c r="L2045" t="s">
        <v>16</v>
      </c>
      <c r="M2045">
        <v>-471.37</v>
      </c>
    </row>
    <row r="2046" spans="1:13" x14ac:dyDescent="0.25">
      <c r="A2046">
        <v>3044</v>
      </c>
      <c r="B2046" t="s">
        <v>2066</v>
      </c>
      <c r="C2046" t="s">
        <v>31</v>
      </c>
      <c r="D2046" t="s">
        <v>42</v>
      </c>
      <c r="E2046">
        <v>2</v>
      </c>
      <c r="F2046">
        <v>431.31</v>
      </c>
      <c r="G2046">
        <f t="shared" si="62"/>
        <v>862.62</v>
      </c>
      <c r="H2046" s="3">
        <v>1.25</v>
      </c>
      <c r="I2046">
        <f t="shared" si="63"/>
        <v>-215.655</v>
      </c>
      <c r="J2046" s="1">
        <v>45811</v>
      </c>
      <c r="K2046" t="s">
        <v>22</v>
      </c>
      <c r="L2046" t="s">
        <v>16</v>
      </c>
      <c r="M2046">
        <v>2866.66</v>
      </c>
    </row>
    <row r="2047" spans="1:13" x14ac:dyDescent="0.25">
      <c r="A2047">
        <v>3045</v>
      </c>
      <c r="B2047" t="s">
        <v>2067</v>
      </c>
      <c r="C2047" t="s">
        <v>36</v>
      </c>
      <c r="D2047" t="s">
        <v>37</v>
      </c>
      <c r="E2047">
        <v>2</v>
      </c>
      <c r="F2047">
        <v>3180.69</v>
      </c>
      <c r="G2047">
        <f t="shared" si="62"/>
        <v>6361.38</v>
      </c>
      <c r="I2047">
        <f t="shared" si="63"/>
        <v>6361.38</v>
      </c>
      <c r="J2047" s="1">
        <v>45151</v>
      </c>
      <c r="K2047" t="s">
        <v>2517</v>
      </c>
      <c r="L2047" t="s">
        <v>23</v>
      </c>
      <c r="M2047">
        <v>2237.56</v>
      </c>
    </row>
    <row r="2048" spans="1:13" x14ac:dyDescent="0.25">
      <c r="A2048">
        <v>3046</v>
      </c>
      <c r="B2048" t="s">
        <v>2068</v>
      </c>
      <c r="C2048" t="s">
        <v>13</v>
      </c>
      <c r="D2048" t="s">
        <v>47</v>
      </c>
      <c r="E2048">
        <v>2</v>
      </c>
      <c r="G2048">
        <f t="shared" si="62"/>
        <v>0</v>
      </c>
      <c r="I2048">
        <f t="shared" si="63"/>
        <v>0</v>
      </c>
      <c r="K2048" t="s">
        <v>2517</v>
      </c>
      <c r="L2048" t="s">
        <v>23</v>
      </c>
      <c r="M2048">
        <v>372.98</v>
      </c>
    </row>
    <row r="2049" spans="1:13" x14ac:dyDescent="0.25">
      <c r="A2049">
        <v>1037</v>
      </c>
      <c r="B2049" t="s">
        <v>2069</v>
      </c>
      <c r="C2049" t="s">
        <v>31</v>
      </c>
      <c r="D2049" t="s">
        <v>42</v>
      </c>
      <c r="E2049">
        <v>2</v>
      </c>
      <c r="G2049">
        <f t="shared" si="62"/>
        <v>0</v>
      </c>
      <c r="I2049">
        <f t="shared" si="63"/>
        <v>0</v>
      </c>
      <c r="K2049" t="s">
        <v>22</v>
      </c>
      <c r="L2049" t="s">
        <v>16</v>
      </c>
      <c r="M2049">
        <v>1396.38</v>
      </c>
    </row>
    <row r="2050" spans="1:13" x14ac:dyDescent="0.25">
      <c r="A2050">
        <v>3048</v>
      </c>
      <c r="B2050" t="s">
        <v>2070</v>
      </c>
      <c r="C2050" t="s">
        <v>20</v>
      </c>
      <c r="D2050" t="s">
        <v>21</v>
      </c>
      <c r="E2050">
        <v>2</v>
      </c>
      <c r="F2050">
        <v>1136.4100000000001</v>
      </c>
      <c r="G2050">
        <f t="shared" si="62"/>
        <v>2272.8200000000002</v>
      </c>
      <c r="I2050">
        <f t="shared" si="63"/>
        <v>2272.8200000000002</v>
      </c>
      <c r="J2050" s="1">
        <v>45699</v>
      </c>
      <c r="K2050" t="s">
        <v>18</v>
      </c>
      <c r="L2050" t="s">
        <v>23</v>
      </c>
      <c r="M2050">
        <v>2504.79</v>
      </c>
    </row>
    <row r="2051" spans="1:13" x14ac:dyDescent="0.25">
      <c r="A2051">
        <v>3049</v>
      </c>
      <c r="B2051" t="s">
        <v>2071</v>
      </c>
      <c r="C2051" t="s">
        <v>36</v>
      </c>
      <c r="D2051" t="s">
        <v>59</v>
      </c>
      <c r="E2051">
        <v>-2</v>
      </c>
      <c r="G2051">
        <f t="shared" ref="G2051:G2114" si="64">F2051*E2051</f>
        <v>0</v>
      </c>
      <c r="I2051">
        <f t="shared" ref="I2051:I2114" si="65">G2051*(1-H2051)</f>
        <v>0</v>
      </c>
      <c r="J2051" s="1">
        <v>45794</v>
      </c>
      <c r="K2051" t="s">
        <v>22</v>
      </c>
      <c r="L2051" t="s">
        <v>16</v>
      </c>
      <c r="M2051">
        <v>2001.07</v>
      </c>
    </row>
    <row r="2052" spans="1:13" x14ac:dyDescent="0.25">
      <c r="A2052">
        <v>3050</v>
      </c>
      <c r="B2052" t="s">
        <v>2072</v>
      </c>
      <c r="C2052" t="s">
        <v>13</v>
      </c>
      <c r="D2052" t="s">
        <v>98</v>
      </c>
      <c r="E2052">
        <v>2</v>
      </c>
      <c r="F2052">
        <v>3177.78</v>
      </c>
      <c r="G2052">
        <f t="shared" si="64"/>
        <v>6355.56</v>
      </c>
      <c r="I2052">
        <f t="shared" si="65"/>
        <v>6355.56</v>
      </c>
      <c r="J2052" s="1">
        <v>45593</v>
      </c>
      <c r="K2052" t="s">
        <v>18</v>
      </c>
      <c r="L2052" t="s">
        <v>16</v>
      </c>
      <c r="M2052">
        <v>407.14</v>
      </c>
    </row>
    <row r="2053" spans="1:13" x14ac:dyDescent="0.25">
      <c r="A2053">
        <v>3051</v>
      </c>
      <c r="B2053" t="s">
        <v>2073</v>
      </c>
      <c r="C2053" t="s">
        <v>25</v>
      </c>
      <c r="D2053" t="s">
        <v>26</v>
      </c>
      <c r="E2053">
        <v>0</v>
      </c>
      <c r="G2053">
        <f t="shared" si="64"/>
        <v>0</v>
      </c>
      <c r="I2053">
        <f t="shared" si="65"/>
        <v>0</v>
      </c>
      <c r="K2053" t="s">
        <v>38</v>
      </c>
      <c r="L2053" t="s">
        <v>23</v>
      </c>
      <c r="M2053">
        <v>1877.82</v>
      </c>
    </row>
    <row r="2054" spans="1:13" x14ac:dyDescent="0.25">
      <c r="A2054">
        <v>3052</v>
      </c>
      <c r="B2054" t="s">
        <v>2074</v>
      </c>
      <c r="C2054" t="s">
        <v>28</v>
      </c>
      <c r="D2054" t="s">
        <v>29</v>
      </c>
      <c r="E2054">
        <v>-1</v>
      </c>
      <c r="F2054">
        <v>1290.42</v>
      </c>
      <c r="G2054">
        <f t="shared" si="64"/>
        <v>-1290.42</v>
      </c>
      <c r="I2054">
        <f t="shared" si="65"/>
        <v>-1290.42</v>
      </c>
      <c r="J2054" s="1">
        <v>45403</v>
      </c>
      <c r="K2054" t="s">
        <v>18</v>
      </c>
      <c r="L2054" t="s">
        <v>23</v>
      </c>
      <c r="M2054">
        <v>-196.63</v>
      </c>
    </row>
    <row r="2055" spans="1:13" x14ac:dyDescent="0.25">
      <c r="A2055">
        <v>3053</v>
      </c>
      <c r="B2055" t="s">
        <v>2075</v>
      </c>
      <c r="C2055" t="s">
        <v>25</v>
      </c>
      <c r="D2055" t="s">
        <v>51</v>
      </c>
      <c r="E2055">
        <v>5</v>
      </c>
      <c r="G2055">
        <f t="shared" si="64"/>
        <v>0</v>
      </c>
      <c r="I2055">
        <f t="shared" si="65"/>
        <v>0</v>
      </c>
      <c r="K2055" t="s">
        <v>18</v>
      </c>
      <c r="L2055" t="s">
        <v>16</v>
      </c>
      <c r="M2055">
        <v>612.53</v>
      </c>
    </row>
    <row r="2056" spans="1:13" x14ac:dyDescent="0.25">
      <c r="A2056">
        <v>3054</v>
      </c>
      <c r="B2056" t="s">
        <v>2076</v>
      </c>
      <c r="C2056" t="s">
        <v>36</v>
      </c>
      <c r="D2056" t="s">
        <v>59</v>
      </c>
      <c r="E2056">
        <v>5</v>
      </c>
      <c r="F2056">
        <v>1722.34</v>
      </c>
      <c r="G2056">
        <f t="shared" si="64"/>
        <v>8611.6999999999989</v>
      </c>
      <c r="H2056" s="3">
        <v>1.04</v>
      </c>
      <c r="I2056">
        <f t="shared" si="65"/>
        <v>-344.46800000000025</v>
      </c>
      <c r="J2056" s="1">
        <v>45505</v>
      </c>
      <c r="K2056" t="s">
        <v>15</v>
      </c>
      <c r="L2056" t="s">
        <v>23</v>
      </c>
      <c r="M2056">
        <v>2459.2800000000002</v>
      </c>
    </row>
    <row r="2057" spans="1:13" x14ac:dyDescent="0.25">
      <c r="A2057">
        <v>3055</v>
      </c>
      <c r="B2057" t="s">
        <v>2077</v>
      </c>
      <c r="C2057" t="s">
        <v>36</v>
      </c>
      <c r="D2057" t="s">
        <v>37</v>
      </c>
      <c r="E2057">
        <v>1</v>
      </c>
      <c r="G2057">
        <f t="shared" si="64"/>
        <v>0</v>
      </c>
      <c r="I2057">
        <f t="shared" si="65"/>
        <v>0</v>
      </c>
      <c r="J2057" s="1">
        <v>45821</v>
      </c>
      <c r="K2057" t="s">
        <v>22</v>
      </c>
      <c r="L2057" t="s">
        <v>16</v>
      </c>
      <c r="M2057">
        <v>2024.8</v>
      </c>
    </row>
    <row r="2058" spans="1:13" x14ac:dyDescent="0.25">
      <c r="A2058">
        <v>3056</v>
      </c>
      <c r="B2058" t="s">
        <v>2078</v>
      </c>
      <c r="C2058" t="s">
        <v>25</v>
      </c>
      <c r="D2058" t="s">
        <v>51</v>
      </c>
      <c r="E2058">
        <v>4</v>
      </c>
      <c r="G2058">
        <f t="shared" si="64"/>
        <v>0</v>
      </c>
      <c r="I2058">
        <f t="shared" si="65"/>
        <v>0</v>
      </c>
      <c r="J2058" s="1">
        <v>45632</v>
      </c>
      <c r="K2058" t="s">
        <v>22</v>
      </c>
      <c r="L2058" t="s">
        <v>16</v>
      </c>
      <c r="M2058">
        <v>2126.75</v>
      </c>
    </row>
    <row r="2059" spans="1:13" x14ac:dyDescent="0.25">
      <c r="A2059">
        <v>3057</v>
      </c>
      <c r="B2059" t="s">
        <v>2079</v>
      </c>
      <c r="C2059" t="s">
        <v>20</v>
      </c>
      <c r="D2059" t="s">
        <v>76</v>
      </c>
      <c r="E2059">
        <v>2</v>
      </c>
      <c r="G2059">
        <f t="shared" si="64"/>
        <v>0</v>
      </c>
      <c r="H2059" s="3">
        <v>1.05</v>
      </c>
      <c r="I2059">
        <f t="shared" si="65"/>
        <v>0</v>
      </c>
      <c r="J2059" s="1">
        <v>45839</v>
      </c>
      <c r="K2059" t="s">
        <v>18</v>
      </c>
      <c r="L2059" t="s">
        <v>16</v>
      </c>
      <c r="M2059">
        <v>2241.83</v>
      </c>
    </row>
    <row r="2060" spans="1:13" x14ac:dyDescent="0.25">
      <c r="A2060">
        <v>3058</v>
      </c>
      <c r="B2060" t="s">
        <v>2080</v>
      </c>
      <c r="C2060" t="s">
        <v>31</v>
      </c>
      <c r="D2060" t="s">
        <v>78</v>
      </c>
      <c r="E2060">
        <v>2</v>
      </c>
      <c r="F2060">
        <v>2948.36</v>
      </c>
      <c r="G2060">
        <f t="shared" si="64"/>
        <v>5896.72</v>
      </c>
      <c r="I2060">
        <f t="shared" si="65"/>
        <v>5896.72</v>
      </c>
      <c r="K2060" t="s">
        <v>44</v>
      </c>
      <c r="L2060" t="s">
        <v>23</v>
      </c>
      <c r="M2060">
        <v>1074.3499999999999</v>
      </c>
    </row>
    <row r="2061" spans="1:13" x14ac:dyDescent="0.25">
      <c r="A2061">
        <v>3059</v>
      </c>
      <c r="B2061" t="s">
        <v>2081</v>
      </c>
      <c r="C2061" t="s">
        <v>31</v>
      </c>
      <c r="D2061" t="s">
        <v>32</v>
      </c>
      <c r="E2061">
        <v>-2</v>
      </c>
      <c r="F2061">
        <v>4949.17</v>
      </c>
      <c r="G2061">
        <f t="shared" si="64"/>
        <v>-9898.34</v>
      </c>
      <c r="I2061">
        <f t="shared" si="65"/>
        <v>-9898.34</v>
      </c>
      <c r="J2061" s="1">
        <v>45785</v>
      </c>
      <c r="K2061" t="s">
        <v>38</v>
      </c>
      <c r="L2061" t="s">
        <v>23</v>
      </c>
      <c r="M2061">
        <v>1267.49</v>
      </c>
    </row>
    <row r="2062" spans="1:13" x14ac:dyDescent="0.25">
      <c r="A2062">
        <v>3060</v>
      </c>
      <c r="B2062" t="s">
        <v>2082</v>
      </c>
      <c r="C2062" t="s">
        <v>28</v>
      </c>
      <c r="D2062" t="s">
        <v>116</v>
      </c>
      <c r="E2062">
        <v>2</v>
      </c>
      <c r="G2062">
        <f t="shared" si="64"/>
        <v>0</v>
      </c>
      <c r="H2062" s="3">
        <v>0.71</v>
      </c>
      <c r="I2062">
        <f t="shared" si="65"/>
        <v>0</v>
      </c>
      <c r="J2062" s="1">
        <v>45679</v>
      </c>
      <c r="K2062" t="s">
        <v>22</v>
      </c>
      <c r="L2062" t="s">
        <v>16</v>
      </c>
      <c r="M2062">
        <v>1011.23</v>
      </c>
    </row>
    <row r="2063" spans="1:13" x14ac:dyDescent="0.25">
      <c r="A2063">
        <v>3061</v>
      </c>
      <c r="B2063" t="s">
        <v>2083</v>
      </c>
      <c r="C2063" t="s">
        <v>31</v>
      </c>
      <c r="D2063" t="s">
        <v>32</v>
      </c>
      <c r="E2063">
        <v>-1</v>
      </c>
      <c r="F2063">
        <v>1873.39</v>
      </c>
      <c r="G2063">
        <f t="shared" si="64"/>
        <v>-1873.39</v>
      </c>
      <c r="H2063" s="3">
        <v>0.74</v>
      </c>
      <c r="I2063">
        <f t="shared" si="65"/>
        <v>-487.08140000000003</v>
      </c>
      <c r="J2063" s="1">
        <v>45646</v>
      </c>
      <c r="K2063" t="s">
        <v>2517</v>
      </c>
      <c r="L2063" t="s">
        <v>23</v>
      </c>
      <c r="M2063">
        <v>1596.53</v>
      </c>
    </row>
    <row r="2064" spans="1:13" x14ac:dyDescent="0.25">
      <c r="A2064">
        <v>3062</v>
      </c>
      <c r="B2064" t="s">
        <v>2084</v>
      </c>
      <c r="C2064" t="s">
        <v>31</v>
      </c>
      <c r="D2064" t="s">
        <v>68</v>
      </c>
      <c r="E2064">
        <v>2</v>
      </c>
      <c r="F2064">
        <v>4312.55</v>
      </c>
      <c r="G2064">
        <f t="shared" si="64"/>
        <v>8625.1</v>
      </c>
      <c r="I2064">
        <f t="shared" si="65"/>
        <v>8625.1</v>
      </c>
      <c r="J2064" s="1">
        <v>45666</v>
      </c>
      <c r="K2064" t="s">
        <v>2517</v>
      </c>
      <c r="L2064" t="s">
        <v>16</v>
      </c>
      <c r="M2064">
        <v>496.16</v>
      </c>
    </row>
    <row r="2065" spans="1:13" x14ac:dyDescent="0.25">
      <c r="A2065">
        <v>3063</v>
      </c>
      <c r="B2065" t="s">
        <v>2085</v>
      </c>
      <c r="C2065" t="s">
        <v>31</v>
      </c>
      <c r="D2065" t="s">
        <v>78</v>
      </c>
      <c r="E2065">
        <v>2</v>
      </c>
      <c r="F2065">
        <v>4971.93</v>
      </c>
      <c r="G2065">
        <f t="shared" si="64"/>
        <v>9943.86</v>
      </c>
      <c r="H2065" s="3">
        <v>0.51</v>
      </c>
      <c r="I2065">
        <f t="shared" si="65"/>
        <v>4872.4913999999999</v>
      </c>
      <c r="J2065" s="1">
        <v>45760</v>
      </c>
      <c r="K2065" t="s">
        <v>2517</v>
      </c>
      <c r="L2065" t="s">
        <v>16</v>
      </c>
      <c r="M2065">
        <v>1941.61</v>
      </c>
    </row>
    <row r="2066" spans="1:13" x14ac:dyDescent="0.25">
      <c r="A2066">
        <v>3064</v>
      </c>
      <c r="B2066" t="s">
        <v>2086</v>
      </c>
      <c r="C2066" t="s">
        <v>20</v>
      </c>
      <c r="D2066" t="s">
        <v>21</v>
      </c>
      <c r="E2066">
        <v>2</v>
      </c>
      <c r="G2066">
        <f t="shared" si="64"/>
        <v>0</v>
      </c>
      <c r="H2066" s="3">
        <v>1.24</v>
      </c>
      <c r="I2066">
        <f t="shared" si="65"/>
        <v>0</v>
      </c>
      <c r="J2066" s="1">
        <v>45779</v>
      </c>
      <c r="K2066" t="s">
        <v>2517</v>
      </c>
      <c r="L2066" t="s">
        <v>16</v>
      </c>
      <c r="M2066">
        <v>2520.12</v>
      </c>
    </row>
    <row r="2067" spans="1:13" x14ac:dyDescent="0.25">
      <c r="A2067">
        <v>3065</v>
      </c>
      <c r="B2067" t="s">
        <v>2087</v>
      </c>
      <c r="C2067" t="s">
        <v>31</v>
      </c>
      <c r="D2067" t="s">
        <v>32</v>
      </c>
      <c r="E2067">
        <v>-1</v>
      </c>
      <c r="F2067">
        <v>873.64</v>
      </c>
      <c r="G2067">
        <f t="shared" si="64"/>
        <v>-873.64</v>
      </c>
      <c r="H2067" s="3">
        <v>0.17</v>
      </c>
      <c r="I2067">
        <f t="shared" si="65"/>
        <v>-725.12119999999993</v>
      </c>
      <c r="J2067" s="1">
        <v>45736</v>
      </c>
      <c r="K2067" t="s">
        <v>44</v>
      </c>
      <c r="L2067" t="s">
        <v>16</v>
      </c>
      <c r="M2067">
        <v>1107.8499999999999</v>
      </c>
    </row>
    <row r="2068" spans="1:13" x14ac:dyDescent="0.25">
      <c r="A2068">
        <v>3066</v>
      </c>
      <c r="B2068" t="s">
        <v>2088</v>
      </c>
      <c r="C2068" t="s">
        <v>25</v>
      </c>
      <c r="D2068" t="s">
        <v>82</v>
      </c>
      <c r="E2068">
        <v>2</v>
      </c>
      <c r="G2068">
        <f t="shared" si="64"/>
        <v>0</v>
      </c>
      <c r="H2068" s="3">
        <v>1.28</v>
      </c>
      <c r="I2068">
        <f t="shared" si="65"/>
        <v>0</v>
      </c>
      <c r="J2068" s="1">
        <v>45806</v>
      </c>
      <c r="K2068" t="s">
        <v>22</v>
      </c>
      <c r="L2068" t="s">
        <v>16</v>
      </c>
      <c r="M2068">
        <v>80.290000000000006</v>
      </c>
    </row>
    <row r="2069" spans="1:13" x14ac:dyDescent="0.25">
      <c r="A2069">
        <v>3067</v>
      </c>
      <c r="B2069" t="s">
        <v>2089</v>
      </c>
      <c r="C2069" t="s">
        <v>31</v>
      </c>
      <c r="D2069" t="s">
        <v>42</v>
      </c>
      <c r="E2069">
        <v>0</v>
      </c>
      <c r="G2069">
        <f t="shared" si="64"/>
        <v>0</v>
      </c>
      <c r="I2069">
        <f t="shared" si="65"/>
        <v>0</v>
      </c>
      <c r="J2069" s="1">
        <v>45575</v>
      </c>
      <c r="K2069" t="s">
        <v>38</v>
      </c>
      <c r="L2069" t="s">
        <v>16</v>
      </c>
      <c r="M2069">
        <v>2711.03</v>
      </c>
    </row>
    <row r="2070" spans="1:13" x14ac:dyDescent="0.25">
      <c r="A2070">
        <v>3068</v>
      </c>
      <c r="B2070" t="s">
        <v>2090</v>
      </c>
      <c r="C2070" t="s">
        <v>25</v>
      </c>
      <c r="D2070" t="s">
        <v>51</v>
      </c>
      <c r="E2070">
        <v>2</v>
      </c>
      <c r="G2070">
        <f t="shared" si="64"/>
        <v>0</v>
      </c>
      <c r="H2070" s="3">
        <v>0.99</v>
      </c>
      <c r="I2070">
        <f t="shared" si="65"/>
        <v>0</v>
      </c>
      <c r="K2070" t="s">
        <v>44</v>
      </c>
      <c r="L2070" t="s">
        <v>16</v>
      </c>
      <c r="M2070">
        <v>1886.51</v>
      </c>
    </row>
    <row r="2071" spans="1:13" x14ac:dyDescent="0.25">
      <c r="A2071">
        <v>3069</v>
      </c>
      <c r="B2071" t="s">
        <v>2091</v>
      </c>
      <c r="C2071" t="s">
        <v>20</v>
      </c>
      <c r="D2071" t="s">
        <v>21</v>
      </c>
      <c r="E2071">
        <v>2</v>
      </c>
      <c r="G2071">
        <f t="shared" si="64"/>
        <v>0</v>
      </c>
      <c r="I2071">
        <f t="shared" si="65"/>
        <v>0</v>
      </c>
      <c r="J2071" s="1">
        <v>45591</v>
      </c>
      <c r="K2071" t="s">
        <v>38</v>
      </c>
      <c r="L2071" t="s">
        <v>16</v>
      </c>
      <c r="M2071">
        <v>-524.33000000000004</v>
      </c>
    </row>
    <row r="2072" spans="1:13" x14ac:dyDescent="0.25">
      <c r="A2072">
        <v>3070</v>
      </c>
      <c r="B2072" t="s">
        <v>2092</v>
      </c>
      <c r="C2072" t="s">
        <v>20</v>
      </c>
      <c r="D2072" t="s">
        <v>118</v>
      </c>
      <c r="E2072">
        <v>2</v>
      </c>
      <c r="G2072">
        <f t="shared" si="64"/>
        <v>0</v>
      </c>
      <c r="I2072">
        <f t="shared" si="65"/>
        <v>0</v>
      </c>
      <c r="J2072" s="1">
        <v>45525</v>
      </c>
      <c r="K2072" t="s">
        <v>15</v>
      </c>
      <c r="L2072" t="s">
        <v>23</v>
      </c>
      <c r="M2072">
        <v>1136.04</v>
      </c>
    </row>
    <row r="2073" spans="1:13" x14ac:dyDescent="0.25">
      <c r="A2073">
        <v>3071</v>
      </c>
      <c r="B2073" t="s">
        <v>2093</v>
      </c>
      <c r="C2073" t="s">
        <v>25</v>
      </c>
      <c r="D2073" t="s">
        <v>51</v>
      </c>
      <c r="E2073">
        <v>2</v>
      </c>
      <c r="F2073">
        <v>4617.8500000000004</v>
      </c>
      <c r="G2073">
        <f t="shared" si="64"/>
        <v>9235.7000000000007</v>
      </c>
      <c r="H2073" s="3">
        <v>1.02</v>
      </c>
      <c r="I2073">
        <f t="shared" si="65"/>
        <v>-184.71400000000017</v>
      </c>
      <c r="J2073" s="1">
        <v>45229</v>
      </c>
      <c r="K2073" t="s">
        <v>15</v>
      </c>
      <c r="L2073" t="s">
        <v>16</v>
      </c>
      <c r="M2073">
        <v>1778.15</v>
      </c>
    </row>
    <row r="2074" spans="1:13" x14ac:dyDescent="0.25">
      <c r="A2074">
        <v>3072</v>
      </c>
      <c r="B2074" t="s">
        <v>2094</v>
      </c>
      <c r="C2074" t="s">
        <v>25</v>
      </c>
      <c r="D2074" t="s">
        <v>82</v>
      </c>
      <c r="E2074">
        <v>6</v>
      </c>
      <c r="G2074">
        <f t="shared" si="64"/>
        <v>0</v>
      </c>
      <c r="I2074">
        <f t="shared" si="65"/>
        <v>0</v>
      </c>
      <c r="J2074" s="1">
        <v>45664</v>
      </c>
      <c r="K2074" t="s">
        <v>18</v>
      </c>
      <c r="L2074" t="s">
        <v>16</v>
      </c>
      <c r="M2074">
        <v>1650.33</v>
      </c>
    </row>
    <row r="2075" spans="1:13" x14ac:dyDescent="0.25">
      <c r="A2075">
        <v>3073</v>
      </c>
      <c r="B2075" t="s">
        <v>2095</v>
      </c>
      <c r="C2075" t="s">
        <v>28</v>
      </c>
      <c r="D2075" t="s">
        <v>40</v>
      </c>
      <c r="E2075">
        <v>1</v>
      </c>
      <c r="F2075">
        <v>478.6</v>
      </c>
      <c r="G2075">
        <f t="shared" si="64"/>
        <v>478.6</v>
      </c>
      <c r="H2075" s="3">
        <v>1.18</v>
      </c>
      <c r="I2075">
        <f t="shared" si="65"/>
        <v>-86.147999999999968</v>
      </c>
      <c r="J2075" s="1">
        <v>45753</v>
      </c>
      <c r="K2075" t="s">
        <v>38</v>
      </c>
      <c r="L2075" t="s">
        <v>23</v>
      </c>
      <c r="M2075">
        <v>1139.8399999999999</v>
      </c>
    </row>
    <row r="2076" spans="1:13" x14ac:dyDescent="0.25">
      <c r="A2076">
        <v>3074</v>
      </c>
      <c r="B2076" t="s">
        <v>2096</v>
      </c>
      <c r="C2076" t="s">
        <v>28</v>
      </c>
      <c r="D2076" t="s">
        <v>137</v>
      </c>
      <c r="E2076">
        <v>2</v>
      </c>
      <c r="G2076">
        <f t="shared" si="64"/>
        <v>0</v>
      </c>
      <c r="I2076">
        <f t="shared" si="65"/>
        <v>0</v>
      </c>
      <c r="J2076" s="1">
        <v>45327</v>
      </c>
      <c r="K2076" t="s">
        <v>22</v>
      </c>
      <c r="L2076" t="s">
        <v>23</v>
      </c>
      <c r="M2076">
        <v>-906.63</v>
      </c>
    </row>
    <row r="2077" spans="1:13" x14ac:dyDescent="0.25">
      <c r="A2077">
        <v>3075</v>
      </c>
      <c r="B2077" t="s">
        <v>2097</v>
      </c>
      <c r="C2077" t="s">
        <v>28</v>
      </c>
      <c r="D2077" t="s">
        <v>116</v>
      </c>
      <c r="E2077">
        <v>2</v>
      </c>
      <c r="F2077">
        <v>1501.49</v>
      </c>
      <c r="G2077">
        <f t="shared" si="64"/>
        <v>3002.98</v>
      </c>
      <c r="H2077" s="3">
        <v>0.43</v>
      </c>
      <c r="I2077">
        <f t="shared" si="65"/>
        <v>1711.6986000000002</v>
      </c>
      <c r="J2077" s="1">
        <v>45524</v>
      </c>
      <c r="K2077" t="s">
        <v>2517</v>
      </c>
      <c r="L2077" t="s">
        <v>16</v>
      </c>
      <c r="M2077">
        <v>-100.14</v>
      </c>
    </row>
    <row r="2078" spans="1:13" x14ac:dyDescent="0.25">
      <c r="A2078">
        <v>3076</v>
      </c>
      <c r="B2078" t="s">
        <v>2098</v>
      </c>
      <c r="C2078" t="s">
        <v>31</v>
      </c>
      <c r="D2078" t="s">
        <v>32</v>
      </c>
      <c r="E2078">
        <v>0</v>
      </c>
      <c r="G2078">
        <f t="shared" si="64"/>
        <v>0</v>
      </c>
      <c r="I2078">
        <f t="shared" si="65"/>
        <v>0</v>
      </c>
      <c r="J2078" s="1">
        <v>45538</v>
      </c>
      <c r="K2078" t="s">
        <v>44</v>
      </c>
      <c r="L2078" t="s">
        <v>16</v>
      </c>
      <c r="M2078">
        <v>1933.72</v>
      </c>
    </row>
    <row r="2079" spans="1:13" x14ac:dyDescent="0.25">
      <c r="A2079">
        <v>3077</v>
      </c>
      <c r="B2079" t="s">
        <v>2099</v>
      </c>
      <c r="C2079" t="s">
        <v>36</v>
      </c>
      <c r="D2079" t="s">
        <v>37</v>
      </c>
      <c r="E2079">
        <v>4</v>
      </c>
      <c r="G2079">
        <f t="shared" si="64"/>
        <v>0</v>
      </c>
      <c r="H2079" s="3">
        <v>0.92</v>
      </c>
      <c r="I2079">
        <f t="shared" si="65"/>
        <v>0</v>
      </c>
      <c r="J2079" s="1">
        <v>45766</v>
      </c>
      <c r="K2079" t="s">
        <v>18</v>
      </c>
      <c r="L2079" t="s">
        <v>16</v>
      </c>
      <c r="M2079">
        <v>-528.22</v>
      </c>
    </row>
    <row r="2080" spans="1:13" x14ac:dyDescent="0.25">
      <c r="A2080">
        <v>3078</v>
      </c>
      <c r="B2080" t="s">
        <v>2100</v>
      </c>
      <c r="C2080" t="s">
        <v>20</v>
      </c>
      <c r="D2080" t="s">
        <v>21</v>
      </c>
      <c r="E2080">
        <v>2</v>
      </c>
      <c r="F2080">
        <v>2563.2399999999998</v>
      </c>
      <c r="G2080">
        <f t="shared" si="64"/>
        <v>5126.4799999999996</v>
      </c>
      <c r="I2080">
        <f t="shared" si="65"/>
        <v>5126.4799999999996</v>
      </c>
      <c r="K2080" t="s">
        <v>18</v>
      </c>
      <c r="L2080" t="s">
        <v>23</v>
      </c>
      <c r="M2080">
        <v>195.81</v>
      </c>
    </row>
    <row r="2081" spans="1:13" x14ac:dyDescent="0.25">
      <c r="A2081">
        <v>3079</v>
      </c>
      <c r="B2081" t="s">
        <v>2101</v>
      </c>
      <c r="C2081" t="s">
        <v>25</v>
      </c>
      <c r="D2081" t="s">
        <v>82</v>
      </c>
      <c r="E2081">
        <v>2</v>
      </c>
      <c r="F2081">
        <v>2839.98</v>
      </c>
      <c r="G2081">
        <f t="shared" si="64"/>
        <v>5679.96</v>
      </c>
      <c r="I2081">
        <f t="shared" si="65"/>
        <v>5679.96</v>
      </c>
      <c r="J2081" s="1">
        <v>45519</v>
      </c>
      <c r="K2081" t="s">
        <v>22</v>
      </c>
      <c r="L2081" t="s">
        <v>23</v>
      </c>
      <c r="M2081">
        <v>-48.25</v>
      </c>
    </row>
    <row r="2082" spans="1:13" x14ac:dyDescent="0.25">
      <c r="A2082">
        <v>3080</v>
      </c>
      <c r="B2082" t="s">
        <v>2102</v>
      </c>
      <c r="C2082" t="s">
        <v>31</v>
      </c>
      <c r="D2082" t="s">
        <v>32</v>
      </c>
      <c r="E2082">
        <v>2</v>
      </c>
      <c r="G2082">
        <f t="shared" si="64"/>
        <v>0</v>
      </c>
      <c r="I2082">
        <f t="shared" si="65"/>
        <v>0</v>
      </c>
      <c r="J2082" s="1">
        <v>45777</v>
      </c>
      <c r="K2082" t="s">
        <v>38</v>
      </c>
      <c r="L2082" t="s">
        <v>23</v>
      </c>
      <c r="M2082">
        <v>2067.89</v>
      </c>
    </row>
    <row r="2083" spans="1:13" x14ac:dyDescent="0.25">
      <c r="A2083">
        <v>3081</v>
      </c>
      <c r="B2083" t="s">
        <v>2103</v>
      </c>
      <c r="C2083" t="s">
        <v>31</v>
      </c>
      <c r="D2083" t="s">
        <v>42</v>
      </c>
      <c r="E2083">
        <v>2</v>
      </c>
      <c r="G2083">
        <f t="shared" si="64"/>
        <v>0</v>
      </c>
      <c r="I2083">
        <f t="shared" si="65"/>
        <v>0</v>
      </c>
      <c r="K2083" t="s">
        <v>18</v>
      </c>
      <c r="L2083" t="s">
        <v>16</v>
      </c>
      <c r="M2083">
        <v>-245.42</v>
      </c>
    </row>
    <row r="2084" spans="1:13" x14ac:dyDescent="0.25">
      <c r="A2084">
        <v>3082</v>
      </c>
      <c r="B2084" t="s">
        <v>2104</v>
      </c>
      <c r="C2084" t="s">
        <v>36</v>
      </c>
      <c r="D2084" t="s">
        <v>55</v>
      </c>
      <c r="E2084">
        <v>5</v>
      </c>
      <c r="G2084">
        <f t="shared" si="64"/>
        <v>0</v>
      </c>
      <c r="I2084">
        <f t="shared" si="65"/>
        <v>0</v>
      </c>
      <c r="J2084" s="1">
        <v>45797</v>
      </c>
      <c r="K2084" t="s">
        <v>44</v>
      </c>
      <c r="L2084" t="s">
        <v>16</v>
      </c>
      <c r="M2084">
        <v>664.73</v>
      </c>
    </row>
    <row r="2085" spans="1:13" x14ac:dyDescent="0.25">
      <c r="A2085">
        <v>3083</v>
      </c>
      <c r="B2085" t="s">
        <v>2105</v>
      </c>
      <c r="C2085" t="s">
        <v>31</v>
      </c>
      <c r="D2085" t="s">
        <v>32</v>
      </c>
      <c r="E2085">
        <v>2</v>
      </c>
      <c r="F2085">
        <v>1573.64</v>
      </c>
      <c r="G2085">
        <f t="shared" si="64"/>
        <v>3147.28</v>
      </c>
      <c r="I2085">
        <f t="shared" si="65"/>
        <v>3147.28</v>
      </c>
      <c r="J2085" s="1">
        <v>45846</v>
      </c>
      <c r="K2085" t="s">
        <v>15</v>
      </c>
      <c r="L2085" t="s">
        <v>16</v>
      </c>
      <c r="M2085">
        <v>792.35</v>
      </c>
    </row>
    <row r="2086" spans="1:13" x14ac:dyDescent="0.25">
      <c r="A2086">
        <v>3084</v>
      </c>
      <c r="B2086" t="s">
        <v>2106</v>
      </c>
      <c r="C2086" t="s">
        <v>31</v>
      </c>
      <c r="D2086" t="s">
        <v>42</v>
      </c>
      <c r="E2086">
        <v>2</v>
      </c>
      <c r="F2086">
        <v>2316.64</v>
      </c>
      <c r="G2086">
        <f t="shared" si="64"/>
        <v>4633.28</v>
      </c>
      <c r="H2086" s="3">
        <v>0.7</v>
      </c>
      <c r="I2086">
        <f t="shared" si="65"/>
        <v>1389.9840000000002</v>
      </c>
      <c r="J2086" s="1">
        <v>45553</v>
      </c>
      <c r="K2086" t="s">
        <v>18</v>
      </c>
      <c r="L2086" t="s">
        <v>23</v>
      </c>
      <c r="M2086">
        <v>-657.76</v>
      </c>
    </row>
    <row r="2087" spans="1:13" x14ac:dyDescent="0.25">
      <c r="A2087">
        <v>3085</v>
      </c>
      <c r="B2087" t="s">
        <v>2107</v>
      </c>
      <c r="C2087" t="s">
        <v>31</v>
      </c>
      <c r="D2087" t="s">
        <v>32</v>
      </c>
      <c r="E2087">
        <v>4</v>
      </c>
      <c r="G2087">
        <f t="shared" si="64"/>
        <v>0</v>
      </c>
      <c r="I2087">
        <f t="shared" si="65"/>
        <v>0</v>
      </c>
      <c r="J2087" s="1">
        <v>45532</v>
      </c>
      <c r="K2087" t="s">
        <v>22</v>
      </c>
      <c r="L2087" t="s">
        <v>16</v>
      </c>
      <c r="M2087">
        <v>2563.31</v>
      </c>
    </row>
    <row r="2088" spans="1:13" x14ac:dyDescent="0.25">
      <c r="A2088">
        <v>3086</v>
      </c>
      <c r="B2088" t="s">
        <v>2108</v>
      </c>
      <c r="C2088" t="s">
        <v>28</v>
      </c>
      <c r="D2088" t="s">
        <v>116</v>
      </c>
      <c r="E2088">
        <v>-1</v>
      </c>
      <c r="G2088">
        <f t="shared" si="64"/>
        <v>0</v>
      </c>
      <c r="I2088">
        <f t="shared" si="65"/>
        <v>0</v>
      </c>
      <c r="J2088" s="1">
        <v>45253</v>
      </c>
      <c r="K2088" t="s">
        <v>15</v>
      </c>
      <c r="L2088" t="s">
        <v>23</v>
      </c>
      <c r="M2088">
        <v>918.53</v>
      </c>
    </row>
    <row r="2089" spans="1:13" x14ac:dyDescent="0.25">
      <c r="A2089">
        <v>3087</v>
      </c>
      <c r="B2089" t="s">
        <v>2109</v>
      </c>
      <c r="C2089" t="s">
        <v>13</v>
      </c>
      <c r="D2089" t="s">
        <v>14</v>
      </c>
      <c r="E2089">
        <v>2</v>
      </c>
      <c r="F2089">
        <v>692.46</v>
      </c>
      <c r="G2089">
        <f t="shared" si="64"/>
        <v>1384.92</v>
      </c>
      <c r="H2089" s="3">
        <v>1.2</v>
      </c>
      <c r="I2089">
        <f t="shared" si="65"/>
        <v>-276.98399999999998</v>
      </c>
      <c r="J2089" s="1">
        <v>45542</v>
      </c>
      <c r="K2089" t="s">
        <v>38</v>
      </c>
      <c r="L2089" t="s">
        <v>16</v>
      </c>
      <c r="M2089">
        <v>-901.21</v>
      </c>
    </row>
    <row r="2090" spans="1:13" x14ac:dyDescent="0.25">
      <c r="A2090">
        <v>1028</v>
      </c>
      <c r="B2090" t="s">
        <v>2110</v>
      </c>
      <c r="C2090" t="s">
        <v>13</v>
      </c>
      <c r="D2090" t="s">
        <v>14</v>
      </c>
      <c r="E2090">
        <v>-2</v>
      </c>
      <c r="F2090">
        <v>3344.74</v>
      </c>
      <c r="G2090">
        <f t="shared" si="64"/>
        <v>-6689.48</v>
      </c>
      <c r="H2090" s="3">
        <v>1.1000000000000001</v>
      </c>
      <c r="I2090">
        <f t="shared" si="65"/>
        <v>668.94800000000055</v>
      </c>
      <c r="J2090" s="1">
        <v>45692</v>
      </c>
      <c r="K2090" t="s">
        <v>18</v>
      </c>
      <c r="L2090" t="s">
        <v>23</v>
      </c>
      <c r="M2090">
        <v>2728.08</v>
      </c>
    </row>
    <row r="2091" spans="1:13" x14ac:dyDescent="0.25">
      <c r="A2091">
        <v>3089</v>
      </c>
      <c r="B2091" t="s">
        <v>2111</v>
      </c>
      <c r="C2091" t="s">
        <v>28</v>
      </c>
      <c r="D2091" t="s">
        <v>29</v>
      </c>
      <c r="E2091">
        <v>-2</v>
      </c>
      <c r="F2091">
        <v>3153.72</v>
      </c>
      <c r="G2091">
        <f t="shared" si="64"/>
        <v>-6307.44</v>
      </c>
      <c r="I2091">
        <f t="shared" si="65"/>
        <v>-6307.44</v>
      </c>
      <c r="J2091" s="1">
        <v>45692</v>
      </c>
      <c r="K2091" t="s">
        <v>2517</v>
      </c>
      <c r="L2091" t="s">
        <v>23</v>
      </c>
      <c r="M2091">
        <v>2686.96</v>
      </c>
    </row>
    <row r="2092" spans="1:13" x14ac:dyDescent="0.25">
      <c r="A2092">
        <v>3090</v>
      </c>
      <c r="B2092" t="s">
        <v>2112</v>
      </c>
      <c r="C2092" t="s">
        <v>36</v>
      </c>
      <c r="D2092" t="s">
        <v>59</v>
      </c>
      <c r="E2092">
        <v>-2</v>
      </c>
      <c r="F2092">
        <v>3033.2</v>
      </c>
      <c r="G2092">
        <f t="shared" si="64"/>
        <v>-6066.4</v>
      </c>
      <c r="I2092">
        <f t="shared" si="65"/>
        <v>-6066.4</v>
      </c>
      <c r="J2092" s="1">
        <v>45537</v>
      </c>
      <c r="K2092" t="s">
        <v>44</v>
      </c>
      <c r="L2092" t="s">
        <v>23</v>
      </c>
      <c r="M2092">
        <v>490.69</v>
      </c>
    </row>
    <row r="2093" spans="1:13" x14ac:dyDescent="0.25">
      <c r="A2093">
        <v>3091</v>
      </c>
      <c r="B2093" t="s">
        <v>2113</v>
      </c>
      <c r="C2093" t="s">
        <v>28</v>
      </c>
      <c r="D2093" t="s">
        <v>116</v>
      </c>
      <c r="E2093">
        <v>2</v>
      </c>
      <c r="F2093">
        <v>1091.76</v>
      </c>
      <c r="G2093">
        <f t="shared" si="64"/>
        <v>2183.52</v>
      </c>
      <c r="H2093" s="3">
        <v>0.54</v>
      </c>
      <c r="I2093">
        <f t="shared" si="65"/>
        <v>1004.4191999999999</v>
      </c>
      <c r="J2093" s="1">
        <v>45613</v>
      </c>
      <c r="K2093" t="s">
        <v>2517</v>
      </c>
      <c r="L2093" t="s">
        <v>16</v>
      </c>
      <c r="M2093">
        <v>2584.69</v>
      </c>
    </row>
    <row r="2094" spans="1:13" x14ac:dyDescent="0.25">
      <c r="A2094">
        <v>3092</v>
      </c>
      <c r="B2094" t="s">
        <v>2114</v>
      </c>
      <c r="C2094" t="s">
        <v>20</v>
      </c>
      <c r="D2094" t="s">
        <v>21</v>
      </c>
      <c r="E2094">
        <v>2</v>
      </c>
      <c r="G2094">
        <f t="shared" si="64"/>
        <v>0</v>
      </c>
      <c r="I2094">
        <f t="shared" si="65"/>
        <v>0</v>
      </c>
      <c r="J2094" s="1">
        <v>45714</v>
      </c>
      <c r="K2094" t="s">
        <v>38</v>
      </c>
      <c r="L2094" t="s">
        <v>16</v>
      </c>
      <c r="M2094">
        <v>250.05</v>
      </c>
    </row>
    <row r="2095" spans="1:13" x14ac:dyDescent="0.25">
      <c r="A2095">
        <v>3093</v>
      </c>
      <c r="B2095" t="s">
        <v>2115</v>
      </c>
      <c r="C2095" t="s">
        <v>25</v>
      </c>
      <c r="D2095" t="s">
        <v>82</v>
      </c>
      <c r="E2095">
        <v>2</v>
      </c>
      <c r="F2095">
        <v>1551.41</v>
      </c>
      <c r="G2095">
        <f t="shared" si="64"/>
        <v>3102.82</v>
      </c>
      <c r="H2095" s="3">
        <v>0.54</v>
      </c>
      <c r="I2095">
        <f t="shared" si="65"/>
        <v>1427.2972</v>
      </c>
      <c r="J2095" s="1">
        <v>45646</v>
      </c>
      <c r="K2095" t="s">
        <v>15</v>
      </c>
      <c r="L2095" t="s">
        <v>16</v>
      </c>
      <c r="M2095">
        <v>763.37</v>
      </c>
    </row>
    <row r="2096" spans="1:13" x14ac:dyDescent="0.25">
      <c r="A2096">
        <v>3094</v>
      </c>
      <c r="B2096" t="s">
        <v>2116</v>
      </c>
      <c r="C2096" t="s">
        <v>36</v>
      </c>
      <c r="D2096" t="s">
        <v>59</v>
      </c>
      <c r="E2096">
        <v>2</v>
      </c>
      <c r="F2096">
        <v>4382.8599999999997</v>
      </c>
      <c r="G2096">
        <f t="shared" si="64"/>
        <v>8765.7199999999993</v>
      </c>
      <c r="I2096">
        <f t="shared" si="65"/>
        <v>8765.7199999999993</v>
      </c>
      <c r="J2096" s="1">
        <v>45772</v>
      </c>
      <c r="K2096" t="s">
        <v>44</v>
      </c>
      <c r="L2096" t="s">
        <v>16</v>
      </c>
      <c r="M2096">
        <v>1172.7</v>
      </c>
    </row>
    <row r="2097" spans="1:13" x14ac:dyDescent="0.25">
      <c r="A2097">
        <v>3095</v>
      </c>
      <c r="B2097" t="s">
        <v>2117</v>
      </c>
      <c r="C2097" t="s">
        <v>28</v>
      </c>
      <c r="D2097" t="s">
        <v>116</v>
      </c>
      <c r="E2097">
        <v>1</v>
      </c>
      <c r="G2097">
        <f t="shared" si="64"/>
        <v>0</v>
      </c>
      <c r="I2097">
        <f t="shared" si="65"/>
        <v>0</v>
      </c>
      <c r="J2097" s="1">
        <v>45839</v>
      </c>
      <c r="K2097" t="s">
        <v>44</v>
      </c>
      <c r="L2097" t="s">
        <v>16</v>
      </c>
      <c r="M2097">
        <v>2699.57</v>
      </c>
    </row>
    <row r="2098" spans="1:13" x14ac:dyDescent="0.25">
      <c r="A2098">
        <v>3096</v>
      </c>
      <c r="B2098" t="s">
        <v>2118</v>
      </c>
      <c r="C2098" t="s">
        <v>25</v>
      </c>
      <c r="D2098" t="s">
        <v>82</v>
      </c>
      <c r="E2098">
        <v>2</v>
      </c>
      <c r="F2098">
        <v>2312.09</v>
      </c>
      <c r="G2098">
        <f t="shared" si="64"/>
        <v>4624.18</v>
      </c>
      <c r="I2098">
        <f t="shared" si="65"/>
        <v>4624.18</v>
      </c>
      <c r="J2098" s="1">
        <v>45821</v>
      </c>
      <c r="K2098" t="s">
        <v>38</v>
      </c>
      <c r="L2098" t="s">
        <v>16</v>
      </c>
      <c r="M2098">
        <v>508.96</v>
      </c>
    </row>
    <row r="2099" spans="1:13" x14ac:dyDescent="0.25">
      <c r="A2099">
        <v>3097</v>
      </c>
      <c r="B2099" t="s">
        <v>2119</v>
      </c>
      <c r="C2099" t="s">
        <v>25</v>
      </c>
      <c r="D2099" t="s">
        <v>82</v>
      </c>
      <c r="E2099">
        <v>2</v>
      </c>
      <c r="F2099">
        <v>3111.65</v>
      </c>
      <c r="G2099">
        <f t="shared" si="64"/>
        <v>6223.3</v>
      </c>
      <c r="I2099">
        <f t="shared" si="65"/>
        <v>6223.3</v>
      </c>
      <c r="J2099" s="1">
        <v>45538</v>
      </c>
      <c r="K2099" t="s">
        <v>2517</v>
      </c>
      <c r="L2099" t="s">
        <v>23</v>
      </c>
      <c r="M2099">
        <v>2868.09</v>
      </c>
    </row>
    <row r="2100" spans="1:13" x14ac:dyDescent="0.25">
      <c r="A2100">
        <v>1028</v>
      </c>
      <c r="B2100" t="s">
        <v>2120</v>
      </c>
      <c r="C2100" t="s">
        <v>36</v>
      </c>
      <c r="D2100" t="s">
        <v>55</v>
      </c>
      <c r="E2100">
        <v>2</v>
      </c>
      <c r="F2100">
        <v>2996.43</v>
      </c>
      <c r="G2100">
        <f t="shared" si="64"/>
        <v>5992.86</v>
      </c>
      <c r="I2100">
        <f t="shared" si="65"/>
        <v>5992.86</v>
      </c>
      <c r="K2100" t="s">
        <v>44</v>
      </c>
      <c r="L2100" t="s">
        <v>16</v>
      </c>
      <c r="M2100">
        <v>2205.5700000000002</v>
      </c>
    </row>
    <row r="2101" spans="1:13" x14ac:dyDescent="0.25">
      <c r="A2101">
        <v>3099</v>
      </c>
      <c r="B2101" t="s">
        <v>2121</v>
      </c>
      <c r="C2101" t="s">
        <v>28</v>
      </c>
      <c r="D2101" t="s">
        <v>116</v>
      </c>
      <c r="E2101">
        <v>2</v>
      </c>
      <c r="F2101">
        <v>4426.87</v>
      </c>
      <c r="G2101">
        <f t="shared" si="64"/>
        <v>8853.74</v>
      </c>
      <c r="I2101">
        <f t="shared" si="65"/>
        <v>8853.74</v>
      </c>
      <c r="J2101" s="1">
        <v>45647</v>
      </c>
      <c r="K2101" t="s">
        <v>44</v>
      </c>
      <c r="L2101" t="s">
        <v>23</v>
      </c>
      <c r="M2101">
        <v>2480.9499999999998</v>
      </c>
    </row>
    <row r="2102" spans="1:13" x14ac:dyDescent="0.25">
      <c r="A2102">
        <v>3100</v>
      </c>
      <c r="B2102" t="s">
        <v>2122</v>
      </c>
      <c r="C2102" t="s">
        <v>20</v>
      </c>
      <c r="D2102" t="s">
        <v>118</v>
      </c>
      <c r="E2102">
        <v>2</v>
      </c>
      <c r="G2102">
        <f t="shared" si="64"/>
        <v>0</v>
      </c>
      <c r="I2102">
        <f t="shared" si="65"/>
        <v>0</v>
      </c>
      <c r="J2102" s="1">
        <v>45533</v>
      </c>
      <c r="K2102" t="s">
        <v>18</v>
      </c>
      <c r="L2102" t="s">
        <v>23</v>
      </c>
      <c r="M2102">
        <v>2379.7399999999998</v>
      </c>
    </row>
    <row r="2103" spans="1:13" x14ac:dyDescent="0.25">
      <c r="A2103">
        <v>3101</v>
      </c>
      <c r="B2103" t="s">
        <v>2123</v>
      </c>
      <c r="C2103" t="s">
        <v>28</v>
      </c>
      <c r="D2103" t="s">
        <v>29</v>
      </c>
      <c r="E2103">
        <v>1</v>
      </c>
      <c r="G2103">
        <f t="shared" si="64"/>
        <v>0</v>
      </c>
      <c r="I2103">
        <f t="shared" si="65"/>
        <v>0</v>
      </c>
      <c r="J2103" s="1">
        <v>45856</v>
      </c>
      <c r="K2103" t="s">
        <v>22</v>
      </c>
      <c r="L2103" t="s">
        <v>23</v>
      </c>
      <c r="M2103">
        <v>478.53</v>
      </c>
    </row>
    <row r="2104" spans="1:13" x14ac:dyDescent="0.25">
      <c r="A2104">
        <v>1025</v>
      </c>
      <c r="B2104" t="s">
        <v>2124</v>
      </c>
      <c r="C2104" t="s">
        <v>36</v>
      </c>
      <c r="D2104" t="s">
        <v>55</v>
      </c>
      <c r="E2104">
        <v>0</v>
      </c>
      <c r="G2104">
        <f t="shared" si="64"/>
        <v>0</v>
      </c>
      <c r="I2104">
        <f t="shared" si="65"/>
        <v>0</v>
      </c>
      <c r="J2104" s="1">
        <v>45607</v>
      </c>
      <c r="K2104" t="s">
        <v>18</v>
      </c>
      <c r="L2104" t="s">
        <v>23</v>
      </c>
      <c r="M2104">
        <v>-861.84</v>
      </c>
    </row>
    <row r="2105" spans="1:13" x14ac:dyDescent="0.25">
      <c r="A2105">
        <v>3103</v>
      </c>
      <c r="B2105" t="s">
        <v>2125</v>
      </c>
      <c r="C2105" t="s">
        <v>31</v>
      </c>
      <c r="D2105" t="s">
        <v>78</v>
      </c>
      <c r="E2105">
        <v>5</v>
      </c>
      <c r="G2105">
        <f t="shared" si="64"/>
        <v>0</v>
      </c>
      <c r="I2105">
        <f t="shared" si="65"/>
        <v>0</v>
      </c>
      <c r="J2105" s="1">
        <v>45614</v>
      </c>
      <c r="K2105" t="s">
        <v>38</v>
      </c>
      <c r="L2105" t="s">
        <v>16</v>
      </c>
      <c r="M2105">
        <v>654.74</v>
      </c>
    </row>
    <row r="2106" spans="1:13" x14ac:dyDescent="0.25">
      <c r="A2106">
        <v>3104</v>
      </c>
      <c r="B2106" t="s">
        <v>2126</v>
      </c>
      <c r="C2106" t="s">
        <v>36</v>
      </c>
      <c r="D2106" t="s">
        <v>37</v>
      </c>
      <c r="E2106">
        <v>2</v>
      </c>
      <c r="F2106">
        <v>4274.01</v>
      </c>
      <c r="G2106">
        <f t="shared" si="64"/>
        <v>8548.02</v>
      </c>
      <c r="H2106" s="3">
        <v>0.28000000000000003</v>
      </c>
      <c r="I2106">
        <f t="shared" si="65"/>
        <v>6154.5744000000004</v>
      </c>
      <c r="J2106" s="1">
        <v>45637</v>
      </c>
      <c r="K2106" t="s">
        <v>18</v>
      </c>
      <c r="L2106" t="s">
        <v>23</v>
      </c>
      <c r="M2106">
        <v>2263.5700000000002</v>
      </c>
    </row>
    <row r="2107" spans="1:13" x14ac:dyDescent="0.25">
      <c r="A2107">
        <v>3105</v>
      </c>
      <c r="B2107" t="s">
        <v>2127</v>
      </c>
      <c r="C2107" t="s">
        <v>28</v>
      </c>
      <c r="D2107" t="s">
        <v>29</v>
      </c>
      <c r="E2107">
        <v>2</v>
      </c>
      <c r="G2107">
        <f t="shared" si="64"/>
        <v>0</v>
      </c>
      <c r="I2107">
        <f t="shared" si="65"/>
        <v>0</v>
      </c>
      <c r="J2107" s="1">
        <v>45786</v>
      </c>
      <c r="K2107" t="s">
        <v>2517</v>
      </c>
      <c r="L2107" t="s">
        <v>16</v>
      </c>
      <c r="M2107">
        <v>1488.64</v>
      </c>
    </row>
    <row r="2108" spans="1:13" x14ac:dyDescent="0.25">
      <c r="A2108">
        <v>3106</v>
      </c>
      <c r="B2108" t="s">
        <v>2128</v>
      </c>
      <c r="C2108" t="s">
        <v>28</v>
      </c>
      <c r="D2108" t="s">
        <v>40</v>
      </c>
      <c r="E2108">
        <v>6</v>
      </c>
      <c r="G2108">
        <f t="shared" si="64"/>
        <v>0</v>
      </c>
      <c r="I2108">
        <f t="shared" si="65"/>
        <v>0</v>
      </c>
      <c r="J2108" s="1">
        <v>45832</v>
      </c>
      <c r="K2108" t="s">
        <v>15</v>
      </c>
      <c r="L2108" t="s">
        <v>16</v>
      </c>
      <c r="M2108">
        <v>-521.15</v>
      </c>
    </row>
    <row r="2109" spans="1:13" x14ac:dyDescent="0.25">
      <c r="A2109">
        <v>3107</v>
      </c>
      <c r="B2109" t="s">
        <v>2129</v>
      </c>
      <c r="C2109" t="s">
        <v>13</v>
      </c>
      <c r="D2109" t="s">
        <v>14</v>
      </c>
      <c r="E2109">
        <v>2</v>
      </c>
      <c r="F2109">
        <v>2068.64</v>
      </c>
      <c r="G2109">
        <f t="shared" si="64"/>
        <v>4137.28</v>
      </c>
      <c r="I2109">
        <f t="shared" si="65"/>
        <v>4137.28</v>
      </c>
      <c r="K2109" t="s">
        <v>22</v>
      </c>
      <c r="L2109" t="s">
        <v>16</v>
      </c>
      <c r="M2109">
        <v>2447.29</v>
      </c>
    </row>
    <row r="2110" spans="1:13" x14ac:dyDescent="0.25">
      <c r="A2110">
        <v>3108</v>
      </c>
      <c r="B2110" t="s">
        <v>2130</v>
      </c>
      <c r="C2110" t="s">
        <v>36</v>
      </c>
      <c r="D2110" t="s">
        <v>59</v>
      </c>
      <c r="E2110">
        <v>2</v>
      </c>
      <c r="G2110">
        <f t="shared" si="64"/>
        <v>0</v>
      </c>
      <c r="I2110">
        <f t="shared" si="65"/>
        <v>0</v>
      </c>
      <c r="J2110" s="1">
        <v>45847</v>
      </c>
      <c r="K2110" t="s">
        <v>22</v>
      </c>
      <c r="L2110" t="s">
        <v>16</v>
      </c>
      <c r="M2110">
        <v>-815.76</v>
      </c>
    </row>
    <row r="2111" spans="1:13" x14ac:dyDescent="0.25">
      <c r="A2111">
        <v>3109</v>
      </c>
      <c r="B2111" t="s">
        <v>2131</v>
      </c>
      <c r="C2111" t="s">
        <v>31</v>
      </c>
      <c r="D2111" t="s">
        <v>32</v>
      </c>
      <c r="E2111">
        <v>5</v>
      </c>
      <c r="G2111">
        <f t="shared" si="64"/>
        <v>0</v>
      </c>
      <c r="H2111" s="3">
        <v>0.35</v>
      </c>
      <c r="I2111">
        <f t="shared" si="65"/>
        <v>0</v>
      </c>
      <c r="K2111" t="s">
        <v>18</v>
      </c>
      <c r="L2111" t="s">
        <v>16</v>
      </c>
      <c r="M2111">
        <v>445.05</v>
      </c>
    </row>
    <row r="2112" spans="1:13" x14ac:dyDescent="0.25">
      <c r="A2112">
        <v>3110</v>
      </c>
      <c r="B2112" t="s">
        <v>2132</v>
      </c>
      <c r="C2112" t="s">
        <v>13</v>
      </c>
      <c r="D2112" t="s">
        <v>34</v>
      </c>
      <c r="E2112">
        <v>2</v>
      </c>
      <c r="F2112">
        <v>4103.32</v>
      </c>
      <c r="G2112">
        <f t="shared" si="64"/>
        <v>8206.64</v>
      </c>
      <c r="I2112">
        <f t="shared" si="65"/>
        <v>8206.64</v>
      </c>
      <c r="J2112" s="1">
        <v>45709</v>
      </c>
      <c r="K2112" t="s">
        <v>15</v>
      </c>
      <c r="L2112" t="s">
        <v>16</v>
      </c>
      <c r="M2112">
        <v>-828.25</v>
      </c>
    </row>
    <row r="2113" spans="1:13" x14ac:dyDescent="0.25">
      <c r="A2113">
        <v>3111</v>
      </c>
      <c r="B2113" t="s">
        <v>2133</v>
      </c>
      <c r="C2113" t="s">
        <v>31</v>
      </c>
      <c r="D2113" t="s">
        <v>68</v>
      </c>
      <c r="E2113">
        <v>-1</v>
      </c>
      <c r="F2113">
        <v>839.87</v>
      </c>
      <c r="G2113">
        <f t="shared" si="64"/>
        <v>-839.87</v>
      </c>
      <c r="I2113">
        <f t="shared" si="65"/>
        <v>-839.87</v>
      </c>
      <c r="K2113" t="s">
        <v>38</v>
      </c>
      <c r="L2113" t="s">
        <v>16</v>
      </c>
      <c r="M2113">
        <v>-286.10000000000002</v>
      </c>
    </row>
    <row r="2114" spans="1:13" x14ac:dyDescent="0.25">
      <c r="A2114">
        <v>3112</v>
      </c>
      <c r="B2114" t="s">
        <v>2134</v>
      </c>
      <c r="C2114" t="s">
        <v>25</v>
      </c>
      <c r="D2114" t="s">
        <v>26</v>
      </c>
      <c r="E2114">
        <v>2</v>
      </c>
      <c r="F2114">
        <v>3026.75</v>
      </c>
      <c r="G2114">
        <f t="shared" si="64"/>
        <v>6053.5</v>
      </c>
      <c r="I2114">
        <f t="shared" si="65"/>
        <v>6053.5</v>
      </c>
      <c r="J2114" s="1">
        <v>45532</v>
      </c>
      <c r="K2114" t="s">
        <v>15</v>
      </c>
      <c r="L2114" t="s">
        <v>23</v>
      </c>
      <c r="M2114">
        <v>-565.91999999999996</v>
      </c>
    </row>
    <row r="2115" spans="1:13" x14ac:dyDescent="0.25">
      <c r="A2115">
        <v>3113</v>
      </c>
      <c r="B2115" t="s">
        <v>2135</v>
      </c>
      <c r="C2115" t="s">
        <v>25</v>
      </c>
      <c r="D2115" t="s">
        <v>26</v>
      </c>
      <c r="E2115">
        <v>4</v>
      </c>
      <c r="F2115">
        <v>3256.86</v>
      </c>
      <c r="G2115">
        <f t="shared" ref="G2115:G2178" si="66">F2115*E2115</f>
        <v>13027.44</v>
      </c>
      <c r="H2115" s="3">
        <v>0.77</v>
      </c>
      <c r="I2115">
        <f t="shared" ref="I2115:I2178" si="67">G2115*(1-H2115)</f>
        <v>2996.3112000000001</v>
      </c>
      <c r="J2115" s="1">
        <v>45548</v>
      </c>
      <c r="K2115" t="s">
        <v>38</v>
      </c>
      <c r="L2115" t="s">
        <v>23</v>
      </c>
      <c r="M2115">
        <v>-109.08</v>
      </c>
    </row>
    <row r="2116" spans="1:13" x14ac:dyDescent="0.25">
      <c r="A2116">
        <v>3114</v>
      </c>
      <c r="B2116" t="s">
        <v>2136</v>
      </c>
      <c r="C2116" t="s">
        <v>13</v>
      </c>
      <c r="D2116" t="s">
        <v>14</v>
      </c>
      <c r="E2116">
        <v>2</v>
      </c>
      <c r="F2116">
        <v>4082.61</v>
      </c>
      <c r="G2116">
        <f t="shared" si="66"/>
        <v>8165.22</v>
      </c>
      <c r="I2116">
        <f t="shared" si="67"/>
        <v>8165.22</v>
      </c>
      <c r="K2116" t="s">
        <v>44</v>
      </c>
      <c r="L2116" t="s">
        <v>16</v>
      </c>
      <c r="M2116">
        <v>-454.61</v>
      </c>
    </row>
    <row r="2117" spans="1:13" x14ac:dyDescent="0.25">
      <c r="A2117">
        <v>3115</v>
      </c>
      <c r="B2117" t="s">
        <v>2137</v>
      </c>
      <c r="C2117" t="s">
        <v>28</v>
      </c>
      <c r="D2117" t="s">
        <v>137</v>
      </c>
      <c r="E2117">
        <v>2</v>
      </c>
      <c r="G2117">
        <f t="shared" si="66"/>
        <v>0</v>
      </c>
      <c r="I2117">
        <f t="shared" si="67"/>
        <v>0</v>
      </c>
      <c r="J2117" s="1">
        <v>45527</v>
      </c>
      <c r="K2117" t="s">
        <v>2517</v>
      </c>
      <c r="L2117" t="s">
        <v>16</v>
      </c>
      <c r="M2117">
        <v>-546.69000000000005</v>
      </c>
    </row>
    <row r="2118" spans="1:13" x14ac:dyDescent="0.25">
      <c r="A2118">
        <v>3116</v>
      </c>
      <c r="B2118" t="s">
        <v>2138</v>
      </c>
      <c r="C2118" t="s">
        <v>36</v>
      </c>
      <c r="D2118" t="s">
        <v>59</v>
      </c>
      <c r="E2118">
        <v>2</v>
      </c>
      <c r="F2118">
        <v>1237.1500000000001</v>
      </c>
      <c r="G2118">
        <f t="shared" si="66"/>
        <v>2474.3000000000002</v>
      </c>
      <c r="I2118">
        <f t="shared" si="67"/>
        <v>2474.3000000000002</v>
      </c>
      <c r="J2118" s="1">
        <v>45740</v>
      </c>
      <c r="K2118" t="s">
        <v>38</v>
      </c>
      <c r="L2118" t="s">
        <v>23</v>
      </c>
      <c r="M2118">
        <v>1357.42</v>
      </c>
    </row>
    <row r="2119" spans="1:13" x14ac:dyDescent="0.25">
      <c r="A2119">
        <v>3117</v>
      </c>
      <c r="B2119" t="s">
        <v>2139</v>
      </c>
      <c r="C2119" t="s">
        <v>20</v>
      </c>
      <c r="D2119" t="s">
        <v>84</v>
      </c>
      <c r="E2119">
        <v>4</v>
      </c>
      <c r="G2119">
        <f t="shared" si="66"/>
        <v>0</v>
      </c>
      <c r="H2119" s="3">
        <v>0.28999999999999998</v>
      </c>
      <c r="I2119">
        <f t="shared" si="67"/>
        <v>0</v>
      </c>
      <c r="J2119" s="1">
        <v>45563</v>
      </c>
      <c r="K2119" t="s">
        <v>38</v>
      </c>
      <c r="L2119" t="s">
        <v>23</v>
      </c>
      <c r="M2119">
        <v>-706.51</v>
      </c>
    </row>
    <row r="2120" spans="1:13" x14ac:dyDescent="0.25">
      <c r="A2120">
        <v>3118</v>
      </c>
      <c r="B2120" t="s">
        <v>2140</v>
      </c>
      <c r="C2120" t="s">
        <v>20</v>
      </c>
      <c r="D2120" t="s">
        <v>21</v>
      </c>
      <c r="E2120">
        <v>2</v>
      </c>
      <c r="F2120">
        <v>948.06</v>
      </c>
      <c r="G2120">
        <f t="shared" si="66"/>
        <v>1896.12</v>
      </c>
      <c r="H2120" s="3">
        <v>0.6</v>
      </c>
      <c r="I2120">
        <f t="shared" si="67"/>
        <v>758.44799999999998</v>
      </c>
      <c r="J2120" s="1">
        <v>45611</v>
      </c>
      <c r="K2120" t="s">
        <v>44</v>
      </c>
      <c r="L2120" t="s">
        <v>23</v>
      </c>
      <c r="M2120">
        <v>69.349999999999994</v>
      </c>
    </row>
    <row r="2121" spans="1:13" x14ac:dyDescent="0.25">
      <c r="A2121">
        <v>3119</v>
      </c>
      <c r="B2121" t="s">
        <v>2141</v>
      </c>
      <c r="C2121" t="s">
        <v>13</v>
      </c>
      <c r="D2121" t="s">
        <v>14</v>
      </c>
      <c r="E2121">
        <v>2</v>
      </c>
      <c r="F2121">
        <v>722.74</v>
      </c>
      <c r="G2121">
        <f t="shared" si="66"/>
        <v>1445.48</v>
      </c>
      <c r="I2121">
        <f t="shared" si="67"/>
        <v>1445.48</v>
      </c>
      <c r="J2121" s="1">
        <v>45637</v>
      </c>
      <c r="K2121" t="s">
        <v>44</v>
      </c>
      <c r="L2121" t="s">
        <v>16</v>
      </c>
      <c r="M2121">
        <v>1610.64</v>
      </c>
    </row>
    <row r="2122" spans="1:13" x14ac:dyDescent="0.25">
      <c r="A2122">
        <v>3120</v>
      </c>
      <c r="B2122" t="s">
        <v>2142</v>
      </c>
      <c r="C2122" t="s">
        <v>28</v>
      </c>
      <c r="D2122" t="s">
        <v>40</v>
      </c>
      <c r="E2122">
        <v>2</v>
      </c>
      <c r="F2122">
        <v>824.59</v>
      </c>
      <c r="G2122">
        <f t="shared" si="66"/>
        <v>1649.18</v>
      </c>
      <c r="H2122" s="3">
        <v>0.13</v>
      </c>
      <c r="I2122">
        <f t="shared" si="67"/>
        <v>1434.7866000000001</v>
      </c>
      <c r="J2122" s="1">
        <v>45818</v>
      </c>
      <c r="K2122" t="s">
        <v>2517</v>
      </c>
      <c r="L2122" t="s">
        <v>16</v>
      </c>
      <c r="M2122">
        <v>-276.22000000000003</v>
      </c>
    </row>
    <row r="2123" spans="1:13" x14ac:dyDescent="0.25">
      <c r="A2123">
        <v>3121</v>
      </c>
      <c r="B2123" t="s">
        <v>2143</v>
      </c>
      <c r="C2123" t="s">
        <v>20</v>
      </c>
      <c r="D2123" t="s">
        <v>76</v>
      </c>
      <c r="E2123">
        <v>2</v>
      </c>
      <c r="F2123">
        <v>1049.27</v>
      </c>
      <c r="G2123">
        <f t="shared" si="66"/>
        <v>2098.54</v>
      </c>
      <c r="I2123">
        <f t="shared" si="67"/>
        <v>2098.54</v>
      </c>
      <c r="J2123" s="1">
        <v>45717</v>
      </c>
      <c r="K2123" t="s">
        <v>2517</v>
      </c>
      <c r="L2123" t="s">
        <v>16</v>
      </c>
      <c r="M2123">
        <v>-648.45000000000005</v>
      </c>
    </row>
    <row r="2124" spans="1:13" x14ac:dyDescent="0.25">
      <c r="A2124">
        <v>3122</v>
      </c>
      <c r="B2124" t="s">
        <v>2144</v>
      </c>
      <c r="C2124" t="s">
        <v>28</v>
      </c>
      <c r="D2124" t="s">
        <v>29</v>
      </c>
      <c r="E2124">
        <v>2</v>
      </c>
      <c r="G2124">
        <f t="shared" si="66"/>
        <v>0</v>
      </c>
      <c r="H2124" s="3">
        <v>1.19</v>
      </c>
      <c r="I2124">
        <f t="shared" si="67"/>
        <v>0</v>
      </c>
      <c r="J2124" s="1">
        <v>45649</v>
      </c>
      <c r="K2124" t="s">
        <v>44</v>
      </c>
      <c r="L2124" t="s">
        <v>16</v>
      </c>
      <c r="M2124">
        <v>551.79</v>
      </c>
    </row>
    <row r="2125" spans="1:13" x14ac:dyDescent="0.25">
      <c r="A2125">
        <v>3123</v>
      </c>
      <c r="B2125" t="s">
        <v>2145</v>
      </c>
      <c r="C2125" t="s">
        <v>20</v>
      </c>
      <c r="D2125" t="s">
        <v>76</v>
      </c>
      <c r="E2125">
        <v>5</v>
      </c>
      <c r="G2125">
        <f t="shared" si="66"/>
        <v>0</v>
      </c>
      <c r="I2125">
        <f t="shared" si="67"/>
        <v>0</v>
      </c>
      <c r="J2125" s="1">
        <v>45722</v>
      </c>
      <c r="K2125" t="s">
        <v>2517</v>
      </c>
      <c r="L2125" t="s">
        <v>16</v>
      </c>
      <c r="M2125">
        <v>1980.42</v>
      </c>
    </row>
    <row r="2126" spans="1:13" x14ac:dyDescent="0.25">
      <c r="A2126">
        <v>3124</v>
      </c>
      <c r="B2126" t="s">
        <v>2146</v>
      </c>
      <c r="C2126" t="s">
        <v>31</v>
      </c>
      <c r="D2126" t="s">
        <v>32</v>
      </c>
      <c r="E2126">
        <v>2</v>
      </c>
      <c r="G2126">
        <f t="shared" si="66"/>
        <v>0</v>
      </c>
      <c r="H2126" s="3">
        <v>0.87</v>
      </c>
      <c r="I2126">
        <f t="shared" si="67"/>
        <v>0</v>
      </c>
      <c r="J2126" s="1">
        <v>45155</v>
      </c>
      <c r="K2126" t="s">
        <v>44</v>
      </c>
      <c r="L2126" t="s">
        <v>23</v>
      </c>
      <c r="M2126">
        <v>-399.81</v>
      </c>
    </row>
    <row r="2127" spans="1:13" x14ac:dyDescent="0.25">
      <c r="A2127">
        <v>3125</v>
      </c>
      <c r="B2127" t="s">
        <v>2147</v>
      </c>
      <c r="C2127" t="s">
        <v>36</v>
      </c>
      <c r="D2127" t="s">
        <v>37</v>
      </c>
      <c r="E2127">
        <v>5</v>
      </c>
      <c r="F2127">
        <v>4264.79</v>
      </c>
      <c r="G2127">
        <f t="shared" si="66"/>
        <v>21323.95</v>
      </c>
      <c r="I2127">
        <f t="shared" si="67"/>
        <v>21323.95</v>
      </c>
      <c r="J2127" s="1">
        <v>45568</v>
      </c>
      <c r="K2127" t="s">
        <v>18</v>
      </c>
      <c r="L2127" t="s">
        <v>16</v>
      </c>
      <c r="M2127">
        <v>2388.91</v>
      </c>
    </row>
    <row r="2128" spans="1:13" x14ac:dyDescent="0.25">
      <c r="A2128">
        <v>3126</v>
      </c>
      <c r="B2128" t="s">
        <v>2148</v>
      </c>
      <c r="C2128" t="s">
        <v>31</v>
      </c>
      <c r="D2128" t="s">
        <v>78</v>
      </c>
      <c r="E2128">
        <v>4</v>
      </c>
      <c r="G2128">
        <f t="shared" si="66"/>
        <v>0</v>
      </c>
      <c r="I2128">
        <f t="shared" si="67"/>
        <v>0</v>
      </c>
      <c r="J2128" s="1">
        <v>45609</v>
      </c>
      <c r="K2128" t="s">
        <v>22</v>
      </c>
      <c r="L2128" t="s">
        <v>23</v>
      </c>
      <c r="M2128">
        <v>2624.13</v>
      </c>
    </row>
    <row r="2129" spans="1:13" x14ac:dyDescent="0.25">
      <c r="A2129">
        <v>3127</v>
      </c>
      <c r="B2129" t="s">
        <v>2149</v>
      </c>
      <c r="C2129" t="s">
        <v>25</v>
      </c>
      <c r="D2129" t="s">
        <v>82</v>
      </c>
      <c r="E2129">
        <v>2</v>
      </c>
      <c r="F2129">
        <v>491.77</v>
      </c>
      <c r="G2129">
        <f t="shared" si="66"/>
        <v>983.54</v>
      </c>
      <c r="H2129" s="3">
        <v>0.9</v>
      </c>
      <c r="I2129">
        <f t="shared" si="67"/>
        <v>98.353999999999971</v>
      </c>
      <c r="J2129" s="1">
        <v>45663</v>
      </c>
      <c r="K2129" t="s">
        <v>44</v>
      </c>
      <c r="L2129" t="s">
        <v>23</v>
      </c>
      <c r="M2129">
        <v>2069.0500000000002</v>
      </c>
    </row>
    <row r="2130" spans="1:13" x14ac:dyDescent="0.25">
      <c r="A2130">
        <v>3128</v>
      </c>
      <c r="B2130" t="s">
        <v>2150</v>
      </c>
      <c r="C2130" t="s">
        <v>36</v>
      </c>
      <c r="D2130" t="s">
        <v>37</v>
      </c>
      <c r="E2130">
        <v>2</v>
      </c>
      <c r="F2130">
        <v>3216.9</v>
      </c>
      <c r="G2130">
        <f t="shared" si="66"/>
        <v>6433.8</v>
      </c>
      <c r="I2130">
        <f t="shared" si="67"/>
        <v>6433.8</v>
      </c>
      <c r="J2130" s="1">
        <v>45811</v>
      </c>
      <c r="K2130" t="s">
        <v>2517</v>
      </c>
      <c r="L2130" t="s">
        <v>16</v>
      </c>
      <c r="M2130">
        <v>192.22</v>
      </c>
    </row>
    <row r="2131" spans="1:13" x14ac:dyDescent="0.25">
      <c r="A2131">
        <v>3129</v>
      </c>
      <c r="B2131" t="s">
        <v>2151</v>
      </c>
      <c r="C2131" t="s">
        <v>13</v>
      </c>
      <c r="D2131" t="s">
        <v>47</v>
      </c>
      <c r="E2131">
        <v>2</v>
      </c>
      <c r="F2131">
        <v>3201.09</v>
      </c>
      <c r="G2131">
        <f t="shared" si="66"/>
        <v>6402.18</v>
      </c>
      <c r="I2131">
        <f t="shared" si="67"/>
        <v>6402.18</v>
      </c>
      <c r="J2131" s="1">
        <v>45801</v>
      </c>
      <c r="K2131" t="s">
        <v>44</v>
      </c>
      <c r="L2131" t="s">
        <v>16</v>
      </c>
      <c r="M2131">
        <v>2989.88</v>
      </c>
    </row>
    <row r="2132" spans="1:13" x14ac:dyDescent="0.25">
      <c r="A2132">
        <v>3130</v>
      </c>
      <c r="B2132" t="s">
        <v>2152</v>
      </c>
      <c r="C2132" t="s">
        <v>36</v>
      </c>
      <c r="D2132" t="s">
        <v>37</v>
      </c>
      <c r="E2132">
        <v>2</v>
      </c>
      <c r="F2132">
        <v>3742.62</v>
      </c>
      <c r="G2132">
        <f t="shared" si="66"/>
        <v>7485.24</v>
      </c>
      <c r="I2132">
        <f t="shared" si="67"/>
        <v>7485.24</v>
      </c>
      <c r="J2132" s="1">
        <v>45765</v>
      </c>
      <c r="K2132" t="s">
        <v>22</v>
      </c>
      <c r="L2132" t="s">
        <v>16</v>
      </c>
      <c r="M2132">
        <v>2886.26</v>
      </c>
    </row>
    <row r="2133" spans="1:13" x14ac:dyDescent="0.25">
      <c r="A2133">
        <v>3131</v>
      </c>
      <c r="B2133" t="s">
        <v>2153</v>
      </c>
      <c r="C2133" t="s">
        <v>28</v>
      </c>
      <c r="D2133" t="s">
        <v>29</v>
      </c>
      <c r="E2133">
        <v>2</v>
      </c>
      <c r="F2133">
        <v>4938.03</v>
      </c>
      <c r="G2133">
        <f t="shared" si="66"/>
        <v>9876.06</v>
      </c>
      <c r="I2133">
        <f t="shared" si="67"/>
        <v>9876.06</v>
      </c>
      <c r="J2133" s="1">
        <v>45278</v>
      </c>
      <c r="K2133" t="s">
        <v>15</v>
      </c>
      <c r="L2133" t="s">
        <v>23</v>
      </c>
      <c r="M2133">
        <v>878.99</v>
      </c>
    </row>
    <row r="2134" spans="1:13" x14ac:dyDescent="0.25">
      <c r="A2134">
        <v>3132</v>
      </c>
      <c r="B2134" t="s">
        <v>2154</v>
      </c>
      <c r="C2134" t="s">
        <v>20</v>
      </c>
      <c r="D2134" t="s">
        <v>84</v>
      </c>
      <c r="E2134">
        <v>6</v>
      </c>
      <c r="F2134">
        <v>2940.45</v>
      </c>
      <c r="G2134">
        <f t="shared" si="66"/>
        <v>17642.699999999997</v>
      </c>
      <c r="I2134">
        <f t="shared" si="67"/>
        <v>17642.699999999997</v>
      </c>
      <c r="K2134" t="s">
        <v>2517</v>
      </c>
      <c r="L2134" t="s">
        <v>16</v>
      </c>
      <c r="M2134">
        <v>-583.80999999999995</v>
      </c>
    </row>
    <row r="2135" spans="1:13" x14ac:dyDescent="0.25">
      <c r="A2135">
        <v>3133</v>
      </c>
      <c r="B2135" t="s">
        <v>2155</v>
      </c>
      <c r="C2135" t="s">
        <v>20</v>
      </c>
      <c r="D2135" t="s">
        <v>84</v>
      </c>
      <c r="E2135">
        <v>1</v>
      </c>
      <c r="F2135">
        <v>974.54</v>
      </c>
      <c r="G2135">
        <f t="shared" si="66"/>
        <v>974.54</v>
      </c>
      <c r="H2135" s="3">
        <v>0.44</v>
      </c>
      <c r="I2135">
        <f t="shared" si="67"/>
        <v>545.74239999999998</v>
      </c>
      <c r="J2135" s="1">
        <v>45570</v>
      </c>
      <c r="K2135" t="s">
        <v>2517</v>
      </c>
      <c r="L2135" t="s">
        <v>23</v>
      </c>
      <c r="M2135">
        <v>2655.22</v>
      </c>
    </row>
    <row r="2136" spans="1:13" x14ac:dyDescent="0.25">
      <c r="A2136">
        <v>3134</v>
      </c>
      <c r="B2136" t="s">
        <v>2156</v>
      </c>
      <c r="C2136" t="s">
        <v>20</v>
      </c>
      <c r="D2136" t="s">
        <v>76</v>
      </c>
      <c r="E2136">
        <v>2</v>
      </c>
      <c r="G2136">
        <f t="shared" si="66"/>
        <v>0</v>
      </c>
      <c r="H2136" s="3">
        <v>0.53</v>
      </c>
      <c r="I2136">
        <f t="shared" si="67"/>
        <v>0</v>
      </c>
      <c r="K2136" t="s">
        <v>18</v>
      </c>
      <c r="L2136" t="s">
        <v>23</v>
      </c>
      <c r="M2136">
        <v>1130.74</v>
      </c>
    </row>
    <row r="2137" spans="1:13" x14ac:dyDescent="0.25">
      <c r="A2137">
        <v>3135</v>
      </c>
      <c r="B2137" t="s">
        <v>2157</v>
      </c>
      <c r="C2137" t="s">
        <v>20</v>
      </c>
      <c r="D2137" t="s">
        <v>21</v>
      </c>
      <c r="E2137">
        <v>1</v>
      </c>
      <c r="G2137">
        <f t="shared" si="66"/>
        <v>0</v>
      </c>
      <c r="H2137" s="3">
        <v>0.67</v>
      </c>
      <c r="I2137">
        <f t="shared" si="67"/>
        <v>0</v>
      </c>
      <c r="K2137" t="s">
        <v>2517</v>
      </c>
      <c r="L2137" t="s">
        <v>23</v>
      </c>
      <c r="M2137">
        <v>2619.5</v>
      </c>
    </row>
    <row r="2138" spans="1:13" x14ac:dyDescent="0.25">
      <c r="A2138">
        <v>3136</v>
      </c>
      <c r="B2138" t="s">
        <v>2158</v>
      </c>
      <c r="C2138" t="s">
        <v>31</v>
      </c>
      <c r="D2138" t="s">
        <v>78</v>
      </c>
      <c r="E2138">
        <v>2</v>
      </c>
      <c r="F2138">
        <v>3622.93</v>
      </c>
      <c r="G2138">
        <f t="shared" si="66"/>
        <v>7245.86</v>
      </c>
      <c r="I2138">
        <f t="shared" si="67"/>
        <v>7245.86</v>
      </c>
      <c r="J2138" s="1">
        <v>45313</v>
      </c>
      <c r="K2138" t="s">
        <v>15</v>
      </c>
      <c r="L2138" t="s">
        <v>16</v>
      </c>
      <c r="M2138">
        <v>813.36</v>
      </c>
    </row>
    <row r="2139" spans="1:13" x14ac:dyDescent="0.25">
      <c r="A2139">
        <v>3137</v>
      </c>
      <c r="B2139" t="s">
        <v>2159</v>
      </c>
      <c r="C2139" t="s">
        <v>20</v>
      </c>
      <c r="D2139" t="s">
        <v>21</v>
      </c>
      <c r="E2139">
        <v>2</v>
      </c>
      <c r="G2139">
        <f t="shared" si="66"/>
        <v>0</v>
      </c>
      <c r="I2139">
        <f t="shared" si="67"/>
        <v>0</v>
      </c>
      <c r="J2139" s="1">
        <v>45613</v>
      </c>
      <c r="K2139" t="s">
        <v>38</v>
      </c>
      <c r="L2139" t="s">
        <v>16</v>
      </c>
      <c r="M2139">
        <v>-122.35</v>
      </c>
    </row>
    <row r="2140" spans="1:13" x14ac:dyDescent="0.25">
      <c r="A2140">
        <v>3138</v>
      </c>
      <c r="B2140" t="s">
        <v>2160</v>
      </c>
      <c r="C2140" t="s">
        <v>28</v>
      </c>
      <c r="D2140" t="s">
        <v>137</v>
      </c>
      <c r="E2140">
        <v>0</v>
      </c>
      <c r="F2140">
        <v>855.81</v>
      </c>
      <c r="G2140">
        <f t="shared" si="66"/>
        <v>0</v>
      </c>
      <c r="H2140" s="3">
        <v>0.31</v>
      </c>
      <c r="I2140">
        <f t="shared" si="67"/>
        <v>0</v>
      </c>
      <c r="J2140" s="1">
        <v>45842</v>
      </c>
      <c r="K2140" t="s">
        <v>15</v>
      </c>
      <c r="L2140" t="s">
        <v>16</v>
      </c>
      <c r="M2140">
        <v>1801</v>
      </c>
    </row>
    <row r="2141" spans="1:13" x14ac:dyDescent="0.25">
      <c r="A2141">
        <v>3139</v>
      </c>
      <c r="B2141" t="s">
        <v>2161</v>
      </c>
      <c r="C2141" t="s">
        <v>31</v>
      </c>
      <c r="D2141" t="s">
        <v>42</v>
      </c>
      <c r="E2141">
        <v>6</v>
      </c>
      <c r="G2141">
        <f t="shared" si="66"/>
        <v>0</v>
      </c>
      <c r="I2141">
        <f t="shared" si="67"/>
        <v>0</v>
      </c>
      <c r="K2141" t="s">
        <v>2517</v>
      </c>
      <c r="L2141" t="s">
        <v>23</v>
      </c>
      <c r="M2141">
        <v>563.12</v>
      </c>
    </row>
    <row r="2142" spans="1:13" x14ac:dyDescent="0.25">
      <c r="A2142">
        <v>3140</v>
      </c>
      <c r="B2142" t="s">
        <v>2162</v>
      </c>
      <c r="C2142" t="s">
        <v>13</v>
      </c>
      <c r="D2142" t="s">
        <v>98</v>
      </c>
      <c r="E2142">
        <v>2</v>
      </c>
      <c r="G2142">
        <f t="shared" si="66"/>
        <v>0</v>
      </c>
      <c r="I2142">
        <f t="shared" si="67"/>
        <v>0</v>
      </c>
      <c r="K2142" t="s">
        <v>18</v>
      </c>
      <c r="L2142" t="s">
        <v>23</v>
      </c>
      <c r="M2142">
        <v>2551.31</v>
      </c>
    </row>
    <row r="2143" spans="1:13" x14ac:dyDescent="0.25">
      <c r="A2143">
        <v>3141</v>
      </c>
      <c r="B2143" t="s">
        <v>2163</v>
      </c>
      <c r="C2143" t="s">
        <v>20</v>
      </c>
      <c r="D2143" t="s">
        <v>84</v>
      </c>
      <c r="E2143">
        <v>2</v>
      </c>
      <c r="G2143">
        <f t="shared" si="66"/>
        <v>0</v>
      </c>
      <c r="I2143">
        <f t="shared" si="67"/>
        <v>0</v>
      </c>
      <c r="J2143" s="1">
        <v>45430</v>
      </c>
      <c r="K2143" t="s">
        <v>22</v>
      </c>
      <c r="L2143" t="s">
        <v>16</v>
      </c>
      <c r="M2143">
        <v>2279.1799999999998</v>
      </c>
    </row>
    <row r="2144" spans="1:13" x14ac:dyDescent="0.25">
      <c r="A2144">
        <v>3142</v>
      </c>
      <c r="B2144" t="s">
        <v>2164</v>
      </c>
      <c r="C2144" t="s">
        <v>36</v>
      </c>
      <c r="D2144" t="s">
        <v>87</v>
      </c>
      <c r="E2144">
        <v>1</v>
      </c>
      <c r="F2144">
        <v>4887.3599999999997</v>
      </c>
      <c r="G2144">
        <f t="shared" si="66"/>
        <v>4887.3599999999997</v>
      </c>
      <c r="I2144">
        <f t="shared" si="67"/>
        <v>4887.3599999999997</v>
      </c>
      <c r="J2144" s="1">
        <v>45594</v>
      </c>
      <c r="K2144" t="s">
        <v>2517</v>
      </c>
      <c r="L2144" t="s">
        <v>23</v>
      </c>
      <c r="M2144">
        <v>-243.32</v>
      </c>
    </row>
    <row r="2145" spans="1:13" x14ac:dyDescent="0.25">
      <c r="A2145">
        <v>3143</v>
      </c>
      <c r="B2145" t="s">
        <v>2165</v>
      </c>
      <c r="C2145" t="s">
        <v>31</v>
      </c>
      <c r="D2145" t="s">
        <v>42</v>
      </c>
      <c r="E2145">
        <v>2</v>
      </c>
      <c r="G2145">
        <f t="shared" si="66"/>
        <v>0</v>
      </c>
      <c r="I2145">
        <f t="shared" si="67"/>
        <v>0</v>
      </c>
      <c r="K2145" t="s">
        <v>2517</v>
      </c>
      <c r="L2145" t="s">
        <v>23</v>
      </c>
      <c r="M2145">
        <v>-525.49</v>
      </c>
    </row>
    <row r="2146" spans="1:13" x14ac:dyDescent="0.25">
      <c r="A2146">
        <v>3144</v>
      </c>
      <c r="B2146" t="s">
        <v>2166</v>
      </c>
      <c r="C2146" t="s">
        <v>36</v>
      </c>
      <c r="D2146" t="s">
        <v>37</v>
      </c>
      <c r="E2146">
        <v>2</v>
      </c>
      <c r="F2146">
        <v>2664.43</v>
      </c>
      <c r="G2146">
        <f t="shared" si="66"/>
        <v>5328.86</v>
      </c>
      <c r="I2146">
        <f t="shared" si="67"/>
        <v>5328.86</v>
      </c>
      <c r="J2146" s="1">
        <v>45774</v>
      </c>
      <c r="K2146" t="s">
        <v>2517</v>
      </c>
      <c r="L2146" t="s">
        <v>16</v>
      </c>
      <c r="M2146">
        <v>1324.18</v>
      </c>
    </row>
    <row r="2147" spans="1:13" x14ac:dyDescent="0.25">
      <c r="A2147">
        <v>3145</v>
      </c>
      <c r="B2147" t="s">
        <v>2167</v>
      </c>
      <c r="C2147" t="s">
        <v>20</v>
      </c>
      <c r="D2147" t="s">
        <v>76</v>
      </c>
      <c r="E2147">
        <v>2</v>
      </c>
      <c r="F2147">
        <v>4414.97</v>
      </c>
      <c r="G2147">
        <f t="shared" si="66"/>
        <v>8829.94</v>
      </c>
      <c r="I2147">
        <f t="shared" si="67"/>
        <v>8829.94</v>
      </c>
      <c r="K2147" t="s">
        <v>2517</v>
      </c>
      <c r="L2147" t="s">
        <v>23</v>
      </c>
      <c r="M2147">
        <v>2754.74</v>
      </c>
    </row>
    <row r="2148" spans="1:13" x14ac:dyDescent="0.25">
      <c r="A2148">
        <v>3146</v>
      </c>
      <c r="B2148" t="s">
        <v>2168</v>
      </c>
      <c r="C2148" t="s">
        <v>20</v>
      </c>
      <c r="D2148" t="s">
        <v>76</v>
      </c>
      <c r="E2148">
        <v>2</v>
      </c>
      <c r="G2148">
        <f t="shared" si="66"/>
        <v>0</v>
      </c>
      <c r="I2148">
        <f t="shared" si="67"/>
        <v>0</v>
      </c>
      <c r="K2148" t="s">
        <v>2517</v>
      </c>
      <c r="L2148" t="s">
        <v>23</v>
      </c>
      <c r="M2148">
        <v>146.19</v>
      </c>
    </row>
    <row r="2149" spans="1:13" x14ac:dyDescent="0.25">
      <c r="A2149">
        <v>3147</v>
      </c>
      <c r="B2149" t="s">
        <v>566</v>
      </c>
      <c r="C2149" t="s">
        <v>36</v>
      </c>
      <c r="D2149" t="s">
        <v>37</v>
      </c>
      <c r="E2149">
        <v>2</v>
      </c>
      <c r="G2149">
        <f t="shared" si="66"/>
        <v>0</v>
      </c>
      <c r="I2149">
        <f t="shared" si="67"/>
        <v>0</v>
      </c>
      <c r="J2149" s="1">
        <v>45853</v>
      </c>
      <c r="K2149" t="s">
        <v>38</v>
      </c>
      <c r="L2149" t="s">
        <v>16</v>
      </c>
      <c r="M2149">
        <v>2987.89</v>
      </c>
    </row>
    <row r="2150" spans="1:13" x14ac:dyDescent="0.25">
      <c r="A2150">
        <v>3148</v>
      </c>
      <c r="B2150" t="s">
        <v>2169</v>
      </c>
      <c r="C2150" t="s">
        <v>36</v>
      </c>
      <c r="D2150" t="s">
        <v>37</v>
      </c>
      <c r="E2150">
        <v>6</v>
      </c>
      <c r="G2150">
        <f t="shared" si="66"/>
        <v>0</v>
      </c>
      <c r="H2150" s="3">
        <v>0.5</v>
      </c>
      <c r="I2150">
        <f t="shared" si="67"/>
        <v>0</v>
      </c>
      <c r="J2150" s="1">
        <v>45378</v>
      </c>
      <c r="K2150" t="s">
        <v>18</v>
      </c>
      <c r="L2150" t="s">
        <v>16</v>
      </c>
      <c r="M2150">
        <v>605.46</v>
      </c>
    </row>
    <row r="2151" spans="1:13" x14ac:dyDescent="0.25">
      <c r="A2151">
        <v>3149</v>
      </c>
      <c r="B2151" t="s">
        <v>2170</v>
      </c>
      <c r="C2151" t="s">
        <v>25</v>
      </c>
      <c r="D2151" t="s">
        <v>26</v>
      </c>
      <c r="E2151">
        <v>5</v>
      </c>
      <c r="G2151">
        <f t="shared" si="66"/>
        <v>0</v>
      </c>
      <c r="I2151">
        <f t="shared" si="67"/>
        <v>0</v>
      </c>
      <c r="K2151" t="s">
        <v>38</v>
      </c>
      <c r="L2151" t="s">
        <v>16</v>
      </c>
      <c r="M2151">
        <v>-681.76</v>
      </c>
    </row>
    <row r="2152" spans="1:13" x14ac:dyDescent="0.25">
      <c r="A2152">
        <v>3150</v>
      </c>
      <c r="B2152" t="s">
        <v>2171</v>
      </c>
      <c r="C2152" t="s">
        <v>31</v>
      </c>
      <c r="D2152" t="s">
        <v>78</v>
      </c>
      <c r="E2152">
        <v>0</v>
      </c>
      <c r="F2152">
        <v>850.69</v>
      </c>
      <c r="G2152">
        <f t="shared" si="66"/>
        <v>0</v>
      </c>
      <c r="H2152" s="3">
        <v>0.41</v>
      </c>
      <c r="I2152">
        <f t="shared" si="67"/>
        <v>0</v>
      </c>
      <c r="J2152" s="1">
        <v>45545</v>
      </c>
      <c r="K2152" t="s">
        <v>38</v>
      </c>
      <c r="L2152" t="s">
        <v>16</v>
      </c>
      <c r="M2152">
        <v>2291.9299999999998</v>
      </c>
    </row>
    <row r="2153" spans="1:13" x14ac:dyDescent="0.25">
      <c r="A2153">
        <v>3151</v>
      </c>
      <c r="B2153" t="s">
        <v>2172</v>
      </c>
      <c r="C2153" t="s">
        <v>13</v>
      </c>
      <c r="D2153" t="s">
        <v>14</v>
      </c>
      <c r="E2153">
        <v>2</v>
      </c>
      <c r="G2153">
        <f t="shared" si="66"/>
        <v>0</v>
      </c>
      <c r="H2153" s="3">
        <v>0.19</v>
      </c>
      <c r="I2153">
        <f t="shared" si="67"/>
        <v>0</v>
      </c>
      <c r="J2153" s="1">
        <v>45836</v>
      </c>
      <c r="K2153" t="s">
        <v>22</v>
      </c>
      <c r="L2153" t="s">
        <v>23</v>
      </c>
      <c r="M2153">
        <v>-858.13</v>
      </c>
    </row>
    <row r="2154" spans="1:13" x14ac:dyDescent="0.25">
      <c r="A2154">
        <v>3152</v>
      </c>
      <c r="B2154" t="s">
        <v>2173</v>
      </c>
      <c r="C2154" t="s">
        <v>31</v>
      </c>
      <c r="D2154" t="s">
        <v>78</v>
      </c>
      <c r="E2154">
        <v>-2</v>
      </c>
      <c r="F2154">
        <v>2116.65</v>
      </c>
      <c r="G2154">
        <f t="shared" si="66"/>
        <v>-4233.3</v>
      </c>
      <c r="H2154" s="3">
        <v>0.21</v>
      </c>
      <c r="I2154">
        <f t="shared" si="67"/>
        <v>-3344.3070000000002</v>
      </c>
      <c r="J2154" s="1">
        <v>45563</v>
      </c>
      <c r="K2154" t="s">
        <v>22</v>
      </c>
      <c r="L2154" t="s">
        <v>16</v>
      </c>
      <c r="M2154">
        <v>385.42</v>
      </c>
    </row>
    <row r="2155" spans="1:13" x14ac:dyDescent="0.25">
      <c r="A2155">
        <v>3153</v>
      </c>
      <c r="B2155" t="s">
        <v>2174</v>
      </c>
      <c r="C2155" t="s">
        <v>36</v>
      </c>
      <c r="D2155" t="s">
        <v>37</v>
      </c>
      <c r="E2155">
        <v>2</v>
      </c>
      <c r="F2155">
        <v>4723.0200000000004</v>
      </c>
      <c r="G2155">
        <f t="shared" si="66"/>
        <v>9446.0400000000009</v>
      </c>
      <c r="H2155" s="3">
        <v>0.52</v>
      </c>
      <c r="I2155">
        <f t="shared" si="67"/>
        <v>4534.0992000000006</v>
      </c>
      <c r="K2155" t="s">
        <v>18</v>
      </c>
      <c r="L2155" t="s">
        <v>23</v>
      </c>
      <c r="M2155">
        <v>316.63</v>
      </c>
    </row>
    <row r="2156" spans="1:13" x14ac:dyDescent="0.25">
      <c r="A2156">
        <v>1047</v>
      </c>
      <c r="B2156" t="s">
        <v>2175</v>
      </c>
      <c r="C2156" t="s">
        <v>31</v>
      </c>
      <c r="D2156" t="s">
        <v>42</v>
      </c>
      <c r="E2156">
        <v>1</v>
      </c>
      <c r="F2156">
        <v>3154.48</v>
      </c>
      <c r="G2156">
        <f t="shared" si="66"/>
        <v>3154.48</v>
      </c>
      <c r="I2156">
        <f t="shared" si="67"/>
        <v>3154.48</v>
      </c>
      <c r="J2156" s="1">
        <v>45501</v>
      </c>
      <c r="K2156" t="s">
        <v>18</v>
      </c>
      <c r="L2156" t="s">
        <v>16</v>
      </c>
      <c r="M2156">
        <v>-243.92</v>
      </c>
    </row>
    <row r="2157" spans="1:13" x14ac:dyDescent="0.25">
      <c r="A2157">
        <v>3155</v>
      </c>
      <c r="B2157" t="s">
        <v>2176</v>
      </c>
      <c r="C2157" t="s">
        <v>28</v>
      </c>
      <c r="D2157" t="s">
        <v>137</v>
      </c>
      <c r="E2157">
        <v>2</v>
      </c>
      <c r="G2157">
        <f t="shared" si="66"/>
        <v>0</v>
      </c>
      <c r="H2157" s="3">
        <v>0.27</v>
      </c>
      <c r="I2157">
        <f t="shared" si="67"/>
        <v>0</v>
      </c>
      <c r="K2157" t="s">
        <v>22</v>
      </c>
      <c r="L2157" t="s">
        <v>16</v>
      </c>
      <c r="M2157">
        <v>2621.96</v>
      </c>
    </row>
    <row r="2158" spans="1:13" x14ac:dyDescent="0.25">
      <c r="A2158">
        <v>3156</v>
      </c>
      <c r="B2158" t="s">
        <v>2177</v>
      </c>
      <c r="C2158" t="s">
        <v>25</v>
      </c>
      <c r="D2158" t="s">
        <v>26</v>
      </c>
      <c r="E2158">
        <v>1</v>
      </c>
      <c r="G2158">
        <f t="shared" si="66"/>
        <v>0</v>
      </c>
      <c r="H2158" s="3">
        <v>0.52</v>
      </c>
      <c r="I2158">
        <f t="shared" si="67"/>
        <v>0</v>
      </c>
      <c r="K2158" t="s">
        <v>18</v>
      </c>
      <c r="L2158" t="s">
        <v>16</v>
      </c>
      <c r="M2158">
        <v>2568.9</v>
      </c>
    </row>
    <row r="2159" spans="1:13" x14ac:dyDescent="0.25">
      <c r="A2159">
        <v>3157</v>
      </c>
      <c r="B2159" t="s">
        <v>2178</v>
      </c>
      <c r="C2159" t="s">
        <v>28</v>
      </c>
      <c r="D2159" t="s">
        <v>137</v>
      </c>
      <c r="E2159">
        <v>6</v>
      </c>
      <c r="F2159">
        <v>1768.88</v>
      </c>
      <c r="G2159">
        <f t="shared" si="66"/>
        <v>10613.28</v>
      </c>
      <c r="I2159">
        <f t="shared" si="67"/>
        <v>10613.28</v>
      </c>
      <c r="J2159" s="1">
        <v>45310</v>
      </c>
      <c r="K2159" t="s">
        <v>44</v>
      </c>
      <c r="L2159" t="s">
        <v>23</v>
      </c>
      <c r="M2159">
        <v>-750.14</v>
      </c>
    </row>
    <row r="2160" spans="1:13" x14ac:dyDescent="0.25">
      <c r="A2160">
        <v>3158</v>
      </c>
      <c r="B2160" t="s">
        <v>2179</v>
      </c>
      <c r="C2160" t="s">
        <v>25</v>
      </c>
      <c r="D2160" t="s">
        <v>82</v>
      </c>
      <c r="E2160">
        <v>2</v>
      </c>
      <c r="G2160">
        <f t="shared" si="66"/>
        <v>0</v>
      </c>
      <c r="I2160">
        <f t="shared" si="67"/>
        <v>0</v>
      </c>
      <c r="J2160" s="1">
        <v>45500</v>
      </c>
      <c r="K2160" t="s">
        <v>44</v>
      </c>
      <c r="L2160" t="s">
        <v>16</v>
      </c>
      <c r="M2160">
        <v>-274.08999999999997</v>
      </c>
    </row>
    <row r="2161" spans="1:13" x14ac:dyDescent="0.25">
      <c r="A2161">
        <v>3159</v>
      </c>
      <c r="B2161" t="s">
        <v>2180</v>
      </c>
      <c r="C2161" t="s">
        <v>31</v>
      </c>
      <c r="D2161" t="s">
        <v>78</v>
      </c>
      <c r="E2161">
        <v>2</v>
      </c>
      <c r="G2161">
        <f t="shared" si="66"/>
        <v>0</v>
      </c>
      <c r="I2161">
        <f t="shared" si="67"/>
        <v>0</v>
      </c>
      <c r="J2161" s="1">
        <v>45728</v>
      </c>
      <c r="K2161" t="s">
        <v>15</v>
      </c>
      <c r="L2161" t="s">
        <v>23</v>
      </c>
      <c r="M2161">
        <v>1668.66</v>
      </c>
    </row>
    <row r="2162" spans="1:13" x14ac:dyDescent="0.25">
      <c r="A2162">
        <v>3160</v>
      </c>
      <c r="B2162" t="s">
        <v>2181</v>
      </c>
      <c r="C2162" t="s">
        <v>13</v>
      </c>
      <c r="D2162" t="s">
        <v>98</v>
      </c>
      <c r="E2162">
        <v>6</v>
      </c>
      <c r="F2162">
        <v>4976.8100000000004</v>
      </c>
      <c r="G2162">
        <f t="shared" si="66"/>
        <v>29860.86</v>
      </c>
      <c r="I2162">
        <f t="shared" si="67"/>
        <v>29860.86</v>
      </c>
      <c r="J2162" s="1">
        <v>45794</v>
      </c>
      <c r="K2162" t="s">
        <v>18</v>
      </c>
      <c r="L2162" t="s">
        <v>16</v>
      </c>
      <c r="M2162">
        <v>845.06</v>
      </c>
    </row>
    <row r="2163" spans="1:13" x14ac:dyDescent="0.25">
      <c r="A2163">
        <v>3161</v>
      </c>
      <c r="B2163" t="s">
        <v>2182</v>
      </c>
      <c r="C2163" t="s">
        <v>28</v>
      </c>
      <c r="D2163" t="s">
        <v>29</v>
      </c>
      <c r="E2163">
        <v>2</v>
      </c>
      <c r="G2163">
        <f t="shared" si="66"/>
        <v>0</v>
      </c>
      <c r="I2163">
        <f t="shared" si="67"/>
        <v>0</v>
      </c>
      <c r="J2163" s="1">
        <v>45422</v>
      </c>
      <c r="K2163" t="s">
        <v>22</v>
      </c>
      <c r="L2163" t="s">
        <v>16</v>
      </c>
      <c r="M2163">
        <v>1399.1</v>
      </c>
    </row>
    <row r="2164" spans="1:13" x14ac:dyDescent="0.25">
      <c r="A2164">
        <v>3162</v>
      </c>
      <c r="B2164" t="s">
        <v>2183</v>
      </c>
      <c r="C2164" t="s">
        <v>28</v>
      </c>
      <c r="D2164" t="s">
        <v>40</v>
      </c>
      <c r="E2164">
        <v>2</v>
      </c>
      <c r="G2164">
        <f t="shared" si="66"/>
        <v>0</v>
      </c>
      <c r="I2164">
        <f t="shared" si="67"/>
        <v>0</v>
      </c>
      <c r="J2164" s="1">
        <v>45655</v>
      </c>
      <c r="K2164" t="s">
        <v>38</v>
      </c>
      <c r="L2164" t="s">
        <v>16</v>
      </c>
      <c r="M2164">
        <v>344.06</v>
      </c>
    </row>
    <row r="2165" spans="1:13" x14ac:dyDescent="0.25">
      <c r="A2165">
        <v>3163</v>
      </c>
      <c r="B2165" t="s">
        <v>2184</v>
      </c>
      <c r="C2165" t="s">
        <v>13</v>
      </c>
      <c r="D2165" t="s">
        <v>98</v>
      </c>
      <c r="E2165">
        <v>2</v>
      </c>
      <c r="G2165">
        <f t="shared" si="66"/>
        <v>0</v>
      </c>
      <c r="I2165">
        <f t="shared" si="67"/>
        <v>0</v>
      </c>
      <c r="J2165" s="1">
        <v>45816</v>
      </c>
      <c r="K2165" t="s">
        <v>18</v>
      </c>
      <c r="L2165" t="s">
        <v>16</v>
      </c>
      <c r="M2165">
        <v>-13.76</v>
      </c>
    </row>
    <row r="2166" spans="1:13" x14ac:dyDescent="0.25">
      <c r="A2166">
        <v>3164</v>
      </c>
      <c r="B2166" t="s">
        <v>2185</v>
      </c>
      <c r="C2166" t="s">
        <v>20</v>
      </c>
      <c r="D2166" t="s">
        <v>76</v>
      </c>
      <c r="E2166">
        <v>3</v>
      </c>
      <c r="G2166">
        <f t="shared" si="66"/>
        <v>0</v>
      </c>
      <c r="H2166" s="3">
        <v>0.09</v>
      </c>
      <c r="I2166">
        <f t="shared" si="67"/>
        <v>0</v>
      </c>
      <c r="J2166" s="1">
        <v>45749</v>
      </c>
      <c r="K2166" t="s">
        <v>38</v>
      </c>
      <c r="L2166" t="s">
        <v>16</v>
      </c>
      <c r="M2166">
        <v>-750.61</v>
      </c>
    </row>
    <row r="2167" spans="1:13" x14ac:dyDescent="0.25">
      <c r="A2167">
        <v>3165</v>
      </c>
      <c r="B2167" t="s">
        <v>2186</v>
      </c>
      <c r="C2167" t="s">
        <v>36</v>
      </c>
      <c r="D2167" t="s">
        <v>87</v>
      </c>
      <c r="E2167">
        <v>2</v>
      </c>
      <c r="F2167">
        <v>2994.31</v>
      </c>
      <c r="G2167">
        <f t="shared" si="66"/>
        <v>5988.62</v>
      </c>
      <c r="I2167">
        <f t="shared" si="67"/>
        <v>5988.62</v>
      </c>
      <c r="K2167" t="s">
        <v>38</v>
      </c>
      <c r="L2167" t="s">
        <v>16</v>
      </c>
      <c r="M2167">
        <v>-990.57</v>
      </c>
    </row>
    <row r="2168" spans="1:13" x14ac:dyDescent="0.25">
      <c r="A2168">
        <v>3166</v>
      </c>
      <c r="B2168" t="s">
        <v>2187</v>
      </c>
      <c r="C2168" t="s">
        <v>36</v>
      </c>
      <c r="D2168" t="s">
        <v>87</v>
      </c>
      <c r="E2168">
        <v>-2</v>
      </c>
      <c r="G2168">
        <f t="shared" si="66"/>
        <v>0</v>
      </c>
      <c r="I2168">
        <f t="shared" si="67"/>
        <v>0</v>
      </c>
      <c r="J2168" s="1">
        <v>45674</v>
      </c>
      <c r="K2168" t="s">
        <v>44</v>
      </c>
      <c r="L2168" t="s">
        <v>23</v>
      </c>
      <c r="M2168">
        <v>1384.25</v>
      </c>
    </row>
    <row r="2169" spans="1:13" x14ac:dyDescent="0.25">
      <c r="A2169">
        <v>3167</v>
      </c>
      <c r="B2169" t="s">
        <v>2188</v>
      </c>
      <c r="C2169" t="s">
        <v>13</v>
      </c>
      <c r="D2169" t="s">
        <v>98</v>
      </c>
      <c r="E2169">
        <v>2</v>
      </c>
      <c r="G2169">
        <f t="shared" si="66"/>
        <v>0</v>
      </c>
      <c r="I2169">
        <f t="shared" si="67"/>
        <v>0</v>
      </c>
      <c r="J2169" s="1">
        <v>45558</v>
      </c>
      <c r="K2169" t="s">
        <v>22</v>
      </c>
      <c r="L2169" t="s">
        <v>23</v>
      </c>
      <c r="M2169">
        <v>1078.74</v>
      </c>
    </row>
    <row r="2170" spans="1:13" x14ac:dyDescent="0.25">
      <c r="A2170">
        <v>3168</v>
      </c>
      <c r="B2170" t="s">
        <v>2189</v>
      </c>
      <c r="C2170" t="s">
        <v>13</v>
      </c>
      <c r="D2170" t="s">
        <v>98</v>
      </c>
      <c r="E2170">
        <v>-1</v>
      </c>
      <c r="F2170">
        <v>1845.75</v>
      </c>
      <c r="G2170">
        <f t="shared" si="66"/>
        <v>-1845.75</v>
      </c>
      <c r="I2170">
        <f t="shared" si="67"/>
        <v>-1845.75</v>
      </c>
      <c r="J2170" s="1">
        <v>45814</v>
      </c>
      <c r="K2170" t="s">
        <v>38</v>
      </c>
      <c r="L2170" t="s">
        <v>23</v>
      </c>
      <c r="M2170">
        <v>268.45</v>
      </c>
    </row>
    <row r="2171" spans="1:13" x14ac:dyDescent="0.25">
      <c r="A2171">
        <v>3169</v>
      </c>
      <c r="B2171" t="s">
        <v>2190</v>
      </c>
      <c r="C2171" t="s">
        <v>20</v>
      </c>
      <c r="D2171" t="s">
        <v>21</v>
      </c>
      <c r="E2171">
        <v>-2</v>
      </c>
      <c r="G2171">
        <f t="shared" si="66"/>
        <v>0</v>
      </c>
      <c r="I2171">
        <f t="shared" si="67"/>
        <v>0</v>
      </c>
      <c r="J2171" s="1">
        <v>45380</v>
      </c>
      <c r="K2171" t="s">
        <v>2517</v>
      </c>
      <c r="L2171" t="s">
        <v>16</v>
      </c>
      <c r="M2171">
        <v>796.19</v>
      </c>
    </row>
    <row r="2172" spans="1:13" x14ac:dyDescent="0.25">
      <c r="A2172">
        <v>3170</v>
      </c>
      <c r="B2172" t="s">
        <v>2191</v>
      </c>
      <c r="C2172" t="s">
        <v>20</v>
      </c>
      <c r="D2172" t="s">
        <v>84</v>
      </c>
      <c r="E2172">
        <v>2</v>
      </c>
      <c r="F2172">
        <v>2229.77</v>
      </c>
      <c r="G2172">
        <f t="shared" si="66"/>
        <v>4459.54</v>
      </c>
      <c r="I2172">
        <f t="shared" si="67"/>
        <v>4459.54</v>
      </c>
      <c r="K2172" t="s">
        <v>18</v>
      </c>
      <c r="L2172" t="s">
        <v>16</v>
      </c>
      <c r="M2172">
        <v>2733.99</v>
      </c>
    </row>
    <row r="2173" spans="1:13" x14ac:dyDescent="0.25">
      <c r="A2173">
        <v>3171</v>
      </c>
      <c r="B2173" t="s">
        <v>2192</v>
      </c>
      <c r="C2173" t="s">
        <v>31</v>
      </c>
      <c r="D2173" t="s">
        <v>68</v>
      </c>
      <c r="E2173">
        <v>2</v>
      </c>
      <c r="F2173">
        <v>3618.17</v>
      </c>
      <c r="G2173">
        <f t="shared" si="66"/>
        <v>7236.34</v>
      </c>
      <c r="I2173">
        <f t="shared" si="67"/>
        <v>7236.34</v>
      </c>
      <c r="J2173" s="1">
        <v>45816</v>
      </c>
      <c r="K2173" t="s">
        <v>18</v>
      </c>
      <c r="L2173" t="s">
        <v>23</v>
      </c>
      <c r="M2173">
        <v>726.81</v>
      </c>
    </row>
    <row r="2174" spans="1:13" x14ac:dyDescent="0.25">
      <c r="A2174">
        <v>3172</v>
      </c>
      <c r="B2174" t="s">
        <v>2193</v>
      </c>
      <c r="C2174" t="s">
        <v>25</v>
      </c>
      <c r="D2174" t="s">
        <v>51</v>
      </c>
      <c r="E2174">
        <v>3</v>
      </c>
      <c r="F2174">
        <v>4433.3500000000004</v>
      </c>
      <c r="G2174">
        <f t="shared" si="66"/>
        <v>13300.050000000001</v>
      </c>
      <c r="I2174">
        <f t="shared" si="67"/>
        <v>13300.050000000001</v>
      </c>
      <c r="J2174" s="1">
        <v>45624</v>
      </c>
      <c r="K2174" t="s">
        <v>44</v>
      </c>
      <c r="L2174" t="s">
        <v>16</v>
      </c>
      <c r="M2174">
        <v>329.75</v>
      </c>
    </row>
    <row r="2175" spans="1:13" x14ac:dyDescent="0.25">
      <c r="A2175">
        <v>1050</v>
      </c>
      <c r="B2175" t="s">
        <v>2194</v>
      </c>
      <c r="C2175" t="s">
        <v>25</v>
      </c>
      <c r="D2175" t="s">
        <v>51</v>
      </c>
      <c r="E2175">
        <v>4</v>
      </c>
      <c r="F2175">
        <v>1205.98</v>
      </c>
      <c r="G2175">
        <f t="shared" si="66"/>
        <v>4823.92</v>
      </c>
      <c r="I2175">
        <f t="shared" si="67"/>
        <v>4823.92</v>
      </c>
      <c r="K2175" t="s">
        <v>15</v>
      </c>
      <c r="L2175" t="s">
        <v>16</v>
      </c>
      <c r="M2175">
        <v>-794.73</v>
      </c>
    </row>
    <row r="2176" spans="1:13" x14ac:dyDescent="0.25">
      <c r="A2176">
        <v>3174</v>
      </c>
      <c r="B2176" t="s">
        <v>2195</v>
      </c>
      <c r="C2176" t="s">
        <v>20</v>
      </c>
      <c r="D2176" t="s">
        <v>21</v>
      </c>
      <c r="E2176">
        <v>4</v>
      </c>
      <c r="F2176">
        <v>4345.79</v>
      </c>
      <c r="G2176">
        <f t="shared" si="66"/>
        <v>17383.16</v>
      </c>
      <c r="H2176" s="3">
        <v>1.1399999999999999</v>
      </c>
      <c r="I2176">
        <f t="shared" si="67"/>
        <v>-2433.6423999999984</v>
      </c>
      <c r="J2176" s="1">
        <v>45705</v>
      </c>
      <c r="K2176" t="s">
        <v>44</v>
      </c>
      <c r="L2176" t="s">
        <v>16</v>
      </c>
      <c r="M2176">
        <v>2747.47</v>
      </c>
    </row>
    <row r="2177" spans="1:13" x14ac:dyDescent="0.25">
      <c r="A2177">
        <v>3175</v>
      </c>
      <c r="B2177" t="s">
        <v>2196</v>
      </c>
      <c r="C2177" t="s">
        <v>13</v>
      </c>
      <c r="D2177" t="s">
        <v>47</v>
      </c>
      <c r="E2177">
        <v>3</v>
      </c>
      <c r="F2177">
        <v>2937.09</v>
      </c>
      <c r="G2177">
        <f t="shared" si="66"/>
        <v>8811.27</v>
      </c>
      <c r="I2177">
        <f t="shared" si="67"/>
        <v>8811.27</v>
      </c>
      <c r="J2177" s="1">
        <v>45378</v>
      </c>
      <c r="K2177" t="s">
        <v>44</v>
      </c>
      <c r="L2177" t="s">
        <v>16</v>
      </c>
      <c r="M2177">
        <v>2471.63</v>
      </c>
    </row>
    <row r="2178" spans="1:13" x14ac:dyDescent="0.25">
      <c r="A2178">
        <v>3176</v>
      </c>
      <c r="B2178" t="s">
        <v>2197</v>
      </c>
      <c r="C2178" t="s">
        <v>36</v>
      </c>
      <c r="D2178" t="s">
        <v>59</v>
      </c>
      <c r="E2178">
        <v>2</v>
      </c>
      <c r="F2178">
        <v>4473.84</v>
      </c>
      <c r="G2178">
        <f t="shared" si="66"/>
        <v>8947.68</v>
      </c>
      <c r="H2178" s="3">
        <v>0.3</v>
      </c>
      <c r="I2178">
        <f t="shared" si="67"/>
        <v>6263.3760000000002</v>
      </c>
      <c r="J2178" s="1">
        <v>45515</v>
      </c>
      <c r="K2178" t="s">
        <v>44</v>
      </c>
      <c r="L2178" t="s">
        <v>23</v>
      </c>
      <c r="M2178">
        <v>2874.33</v>
      </c>
    </row>
    <row r="2179" spans="1:13" x14ac:dyDescent="0.25">
      <c r="A2179">
        <v>3177</v>
      </c>
      <c r="B2179" t="s">
        <v>2198</v>
      </c>
      <c r="C2179" t="s">
        <v>13</v>
      </c>
      <c r="D2179" t="s">
        <v>14</v>
      </c>
      <c r="E2179">
        <v>-1</v>
      </c>
      <c r="G2179">
        <f t="shared" ref="G2179:G2242" si="68">F2179*E2179</f>
        <v>0</v>
      </c>
      <c r="I2179">
        <f t="shared" ref="I2179:I2242" si="69">G2179*(1-H2179)</f>
        <v>0</v>
      </c>
      <c r="J2179" s="1">
        <v>45697</v>
      </c>
      <c r="K2179" t="s">
        <v>18</v>
      </c>
      <c r="L2179" t="s">
        <v>16</v>
      </c>
      <c r="M2179">
        <v>2693.49</v>
      </c>
    </row>
    <row r="2180" spans="1:13" x14ac:dyDescent="0.25">
      <c r="A2180">
        <v>3178</v>
      </c>
      <c r="B2180" t="s">
        <v>2199</v>
      </c>
      <c r="C2180" t="s">
        <v>20</v>
      </c>
      <c r="D2180" t="s">
        <v>84</v>
      </c>
      <c r="E2180">
        <v>2</v>
      </c>
      <c r="G2180">
        <f t="shared" si="68"/>
        <v>0</v>
      </c>
      <c r="H2180" s="3">
        <v>0.66</v>
      </c>
      <c r="I2180">
        <f t="shared" si="69"/>
        <v>0</v>
      </c>
      <c r="K2180" t="s">
        <v>2517</v>
      </c>
      <c r="L2180" t="s">
        <v>16</v>
      </c>
      <c r="M2180">
        <v>-174.17</v>
      </c>
    </row>
    <row r="2181" spans="1:13" x14ac:dyDescent="0.25">
      <c r="A2181">
        <v>3179</v>
      </c>
      <c r="B2181" t="s">
        <v>1025</v>
      </c>
      <c r="C2181" t="s">
        <v>20</v>
      </c>
      <c r="D2181" t="s">
        <v>21</v>
      </c>
      <c r="E2181">
        <v>1</v>
      </c>
      <c r="F2181">
        <v>2057.88</v>
      </c>
      <c r="G2181">
        <f t="shared" si="68"/>
        <v>2057.88</v>
      </c>
      <c r="I2181">
        <f t="shared" si="69"/>
        <v>2057.88</v>
      </c>
      <c r="J2181" s="1">
        <v>45588</v>
      </c>
      <c r="K2181" t="s">
        <v>18</v>
      </c>
      <c r="L2181" t="s">
        <v>16</v>
      </c>
      <c r="M2181">
        <v>932.33</v>
      </c>
    </row>
    <row r="2182" spans="1:13" x14ac:dyDescent="0.25">
      <c r="A2182">
        <v>3180</v>
      </c>
      <c r="B2182" t="s">
        <v>2200</v>
      </c>
      <c r="C2182" t="s">
        <v>25</v>
      </c>
      <c r="D2182" t="s">
        <v>82</v>
      </c>
      <c r="E2182">
        <v>5</v>
      </c>
      <c r="F2182">
        <v>1981.32</v>
      </c>
      <c r="G2182">
        <f t="shared" si="68"/>
        <v>9906.6</v>
      </c>
      <c r="I2182">
        <f t="shared" si="69"/>
        <v>9906.6</v>
      </c>
      <c r="J2182" s="1">
        <v>45519</v>
      </c>
      <c r="K2182" t="s">
        <v>38</v>
      </c>
      <c r="L2182" t="s">
        <v>16</v>
      </c>
      <c r="M2182">
        <v>1113.19</v>
      </c>
    </row>
    <row r="2183" spans="1:13" x14ac:dyDescent="0.25">
      <c r="A2183">
        <v>3181</v>
      </c>
      <c r="B2183" t="s">
        <v>2201</v>
      </c>
      <c r="C2183" t="s">
        <v>25</v>
      </c>
      <c r="D2183" t="s">
        <v>26</v>
      </c>
      <c r="E2183">
        <v>2</v>
      </c>
      <c r="G2183">
        <f t="shared" si="68"/>
        <v>0</v>
      </c>
      <c r="I2183">
        <f t="shared" si="69"/>
        <v>0</v>
      </c>
      <c r="J2183" s="1">
        <v>45441</v>
      </c>
      <c r="K2183" t="s">
        <v>18</v>
      </c>
      <c r="L2183" t="s">
        <v>16</v>
      </c>
      <c r="M2183">
        <v>1727.03</v>
      </c>
    </row>
    <row r="2184" spans="1:13" x14ac:dyDescent="0.25">
      <c r="A2184">
        <v>3182</v>
      </c>
      <c r="B2184" t="s">
        <v>1074</v>
      </c>
      <c r="C2184" t="s">
        <v>36</v>
      </c>
      <c r="D2184" t="s">
        <v>59</v>
      </c>
      <c r="E2184">
        <v>2</v>
      </c>
      <c r="F2184">
        <v>3078.92</v>
      </c>
      <c r="G2184">
        <f t="shared" si="68"/>
        <v>6157.84</v>
      </c>
      <c r="I2184">
        <f t="shared" si="69"/>
        <v>6157.84</v>
      </c>
      <c r="K2184" t="s">
        <v>2517</v>
      </c>
      <c r="L2184" t="s">
        <v>23</v>
      </c>
      <c r="M2184">
        <v>1935.04</v>
      </c>
    </row>
    <row r="2185" spans="1:13" x14ac:dyDescent="0.25">
      <c r="A2185">
        <v>3183</v>
      </c>
      <c r="B2185" t="s">
        <v>2202</v>
      </c>
      <c r="C2185" t="s">
        <v>28</v>
      </c>
      <c r="D2185" t="s">
        <v>116</v>
      </c>
      <c r="E2185">
        <v>2</v>
      </c>
      <c r="G2185">
        <f t="shared" si="68"/>
        <v>0</v>
      </c>
      <c r="I2185">
        <f t="shared" si="69"/>
        <v>0</v>
      </c>
      <c r="J2185" s="1">
        <v>45444</v>
      </c>
      <c r="K2185" t="s">
        <v>38</v>
      </c>
      <c r="L2185" t="s">
        <v>16</v>
      </c>
      <c r="M2185">
        <v>2332.84</v>
      </c>
    </row>
    <row r="2186" spans="1:13" x14ac:dyDescent="0.25">
      <c r="A2186">
        <v>3184</v>
      </c>
      <c r="B2186" t="s">
        <v>2203</v>
      </c>
      <c r="C2186" t="s">
        <v>25</v>
      </c>
      <c r="D2186" t="s">
        <v>62</v>
      </c>
      <c r="E2186">
        <v>3</v>
      </c>
      <c r="G2186">
        <f t="shared" si="68"/>
        <v>0</v>
      </c>
      <c r="H2186" s="3">
        <v>1</v>
      </c>
      <c r="I2186">
        <f t="shared" si="69"/>
        <v>0</v>
      </c>
      <c r="J2186" s="1">
        <v>45135</v>
      </c>
      <c r="K2186" t="s">
        <v>44</v>
      </c>
      <c r="L2186" t="s">
        <v>16</v>
      </c>
      <c r="M2186">
        <v>386.15</v>
      </c>
    </row>
    <row r="2187" spans="1:13" x14ac:dyDescent="0.25">
      <c r="A2187">
        <v>3185</v>
      </c>
      <c r="B2187" t="s">
        <v>2204</v>
      </c>
      <c r="C2187" t="s">
        <v>13</v>
      </c>
      <c r="D2187" t="s">
        <v>98</v>
      </c>
      <c r="E2187">
        <v>2</v>
      </c>
      <c r="G2187">
        <f t="shared" si="68"/>
        <v>0</v>
      </c>
      <c r="I2187">
        <f t="shared" si="69"/>
        <v>0</v>
      </c>
      <c r="J2187" s="1">
        <v>45601</v>
      </c>
      <c r="K2187" t="s">
        <v>18</v>
      </c>
      <c r="L2187" t="s">
        <v>16</v>
      </c>
      <c r="M2187">
        <v>-726.08</v>
      </c>
    </row>
    <row r="2188" spans="1:13" x14ac:dyDescent="0.25">
      <c r="A2188">
        <v>3186</v>
      </c>
      <c r="B2188" t="s">
        <v>2205</v>
      </c>
      <c r="C2188" t="s">
        <v>13</v>
      </c>
      <c r="D2188" t="s">
        <v>98</v>
      </c>
      <c r="E2188">
        <v>5</v>
      </c>
      <c r="G2188">
        <f t="shared" si="68"/>
        <v>0</v>
      </c>
      <c r="I2188">
        <f t="shared" si="69"/>
        <v>0</v>
      </c>
      <c r="K2188" t="s">
        <v>2517</v>
      </c>
      <c r="L2188" t="s">
        <v>23</v>
      </c>
      <c r="M2188">
        <v>-637.71</v>
      </c>
    </row>
    <row r="2189" spans="1:13" x14ac:dyDescent="0.25">
      <c r="A2189">
        <v>3187</v>
      </c>
      <c r="B2189" t="s">
        <v>2206</v>
      </c>
      <c r="C2189" t="s">
        <v>36</v>
      </c>
      <c r="D2189" t="s">
        <v>55</v>
      </c>
      <c r="E2189">
        <v>6</v>
      </c>
      <c r="F2189">
        <v>3998.97</v>
      </c>
      <c r="G2189">
        <f t="shared" si="68"/>
        <v>23993.82</v>
      </c>
      <c r="I2189">
        <f t="shared" si="69"/>
        <v>23993.82</v>
      </c>
      <c r="J2189" s="1">
        <v>45321</v>
      </c>
      <c r="K2189" t="s">
        <v>22</v>
      </c>
      <c r="L2189" t="s">
        <v>16</v>
      </c>
      <c r="M2189">
        <v>716.49</v>
      </c>
    </row>
    <row r="2190" spans="1:13" x14ac:dyDescent="0.25">
      <c r="A2190">
        <v>3188</v>
      </c>
      <c r="B2190" t="s">
        <v>2207</v>
      </c>
      <c r="C2190" t="s">
        <v>28</v>
      </c>
      <c r="D2190" t="s">
        <v>29</v>
      </c>
      <c r="E2190">
        <v>2</v>
      </c>
      <c r="F2190">
        <v>936.76</v>
      </c>
      <c r="G2190">
        <f t="shared" si="68"/>
        <v>1873.52</v>
      </c>
      <c r="I2190">
        <f t="shared" si="69"/>
        <v>1873.52</v>
      </c>
      <c r="K2190" t="s">
        <v>2517</v>
      </c>
      <c r="L2190" t="s">
        <v>23</v>
      </c>
      <c r="M2190">
        <v>1308.49</v>
      </c>
    </row>
    <row r="2191" spans="1:13" x14ac:dyDescent="0.25">
      <c r="A2191">
        <v>3189</v>
      </c>
      <c r="B2191" t="s">
        <v>2208</v>
      </c>
      <c r="C2191" t="s">
        <v>25</v>
      </c>
      <c r="D2191" t="s">
        <v>82</v>
      </c>
      <c r="E2191">
        <v>2</v>
      </c>
      <c r="F2191">
        <v>1299.74</v>
      </c>
      <c r="G2191">
        <f t="shared" si="68"/>
        <v>2599.48</v>
      </c>
      <c r="H2191" s="3">
        <v>0.09</v>
      </c>
      <c r="I2191">
        <f t="shared" si="69"/>
        <v>2365.5268000000001</v>
      </c>
      <c r="J2191" s="1">
        <v>45644</v>
      </c>
      <c r="K2191" t="s">
        <v>38</v>
      </c>
      <c r="L2191" t="s">
        <v>16</v>
      </c>
      <c r="M2191">
        <v>1607.44</v>
      </c>
    </row>
    <row r="2192" spans="1:13" x14ac:dyDescent="0.25">
      <c r="A2192">
        <v>3190</v>
      </c>
      <c r="B2192" t="s">
        <v>2209</v>
      </c>
      <c r="C2192" t="s">
        <v>25</v>
      </c>
      <c r="D2192" t="s">
        <v>51</v>
      </c>
      <c r="E2192">
        <v>2</v>
      </c>
      <c r="G2192">
        <f t="shared" si="68"/>
        <v>0</v>
      </c>
      <c r="H2192" s="3">
        <v>0.44</v>
      </c>
      <c r="I2192">
        <f t="shared" si="69"/>
        <v>0</v>
      </c>
      <c r="K2192" t="s">
        <v>2517</v>
      </c>
      <c r="L2192" t="s">
        <v>23</v>
      </c>
      <c r="M2192">
        <v>620.19000000000005</v>
      </c>
    </row>
    <row r="2193" spans="1:13" x14ac:dyDescent="0.25">
      <c r="A2193">
        <v>3191</v>
      </c>
      <c r="B2193" t="s">
        <v>2210</v>
      </c>
      <c r="C2193" t="s">
        <v>20</v>
      </c>
      <c r="D2193" t="s">
        <v>84</v>
      </c>
      <c r="E2193">
        <v>2</v>
      </c>
      <c r="G2193">
        <f t="shared" si="68"/>
        <v>0</v>
      </c>
      <c r="I2193">
        <f t="shared" si="69"/>
        <v>0</v>
      </c>
      <c r="J2193" s="1">
        <v>45687</v>
      </c>
      <c r="K2193" t="s">
        <v>15</v>
      </c>
      <c r="L2193" t="s">
        <v>16</v>
      </c>
      <c r="M2193">
        <v>173.16</v>
      </c>
    </row>
    <row r="2194" spans="1:13" x14ac:dyDescent="0.25">
      <c r="A2194">
        <v>3192</v>
      </c>
      <c r="B2194" t="s">
        <v>2211</v>
      </c>
      <c r="C2194" t="s">
        <v>13</v>
      </c>
      <c r="D2194" t="s">
        <v>47</v>
      </c>
      <c r="E2194">
        <v>-2</v>
      </c>
      <c r="F2194">
        <v>3568.45</v>
      </c>
      <c r="G2194">
        <f t="shared" si="68"/>
        <v>-7136.9</v>
      </c>
      <c r="H2194" s="3">
        <v>0.37</v>
      </c>
      <c r="I2194">
        <f t="shared" si="69"/>
        <v>-4496.2469999999994</v>
      </c>
      <c r="J2194" s="1">
        <v>45136</v>
      </c>
      <c r="K2194" t="s">
        <v>15</v>
      </c>
      <c r="L2194" t="s">
        <v>16</v>
      </c>
      <c r="M2194">
        <v>1683.74</v>
      </c>
    </row>
    <row r="2195" spans="1:13" x14ac:dyDescent="0.25">
      <c r="A2195">
        <v>3193</v>
      </c>
      <c r="B2195" t="s">
        <v>2212</v>
      </c>
      <c r="C2195" t="s">
        <v>13</v>
      </c>
      <c r="D2195" t="s">
        <v>34</v>
      </c>
      <c r="E2195">
        <v>3</v>
      </c>
      <c r="G2195">
        <f t="shared" si="68"/>
        <v>0</v>
      </c>
      <c r="I2195">
        <f t="shared" si="69"/>
        <v>0</v>
      </c>
      <c r="J2195" s="1">
        <v>45465</v>
      </c>
      <c r="K2195" t="s">
        <v>18</v>
      </c>
      <c r="L2195" t="s">
        <v>16</v>
      </c>
      <c r="M2195">
        <v>1236.54</v>
      </c>
    </row>
    <row r="2196" spans="1:13" x14ac:dyDescent="0.25">
      <c r="A2196">
        <v>1022</v>
      </c>
      <c r="B2196" t="s">
        <v>2213</v>
      </c>
      <c r="C2196" t="s">
        <v>25</v>
      </c>
      <c r="D2196" t="s">
        <v>51</v>
      </c>
      <c r="E2196">
        <v>2</v>
      </c>
      <c r="F2196">
        <v>3611.35</v>
      </c>
      <c r="G2196">
        <f t="shared" si="68"/>
        <v>7222.7</v>
      </c>
      <c r="I2196">
        <f t="shared" si="69"/>
        <v>7222.7</v>
      </c>
      <c r="J2196" s="1">
        <v>45848</v>
      </c>
      <c r="K2196" t="s">
        <v>18</v>
      </c>
      <c r="L2196" t="s">
        <v>16</v>
      </c>
      <c r="M2196">
        <v>-200.64</v>
      </c>
    </row>
    <row r="2197" spans="1:13" x14ac:dyDescent="0.25">
      <c r="A2197">
        <v>3195</v>
      </c>
      <c r="B2197" t="s">
        <v>2214</v>
      </c>
      <c r="C2197" t="s">
        <v>20</v>
      </c>
      <c r="D2197" t="s">
        <v>84</v>
      </c>
      <c r="E2197">
        <v>2</v>
      </c>
      <c r="F2197">
        <v>958.16</v>
      </c>
      <c r="G2197">
        <f t="shared" si="68"/>
        <v>1916.32</v>
      </c>
      <c r="I2197">
        <f t="shared" si="69"/>
        <v>1916.32</v>
      </c>
      <c r="J2197" s="1">
        <v>45302</v>
      </c>
      <c r="K2197" t="s">
        <v>15</v>
      </c>
      <c r="L2197" t="s">
        <v>16</v>
      </c>
      <c r="M2197">
        <v>2567.6999999999998</v>
      </c>
    </row>
    <row r="2198" spans="1:13" x14ac:dyDescent="0.25">
      <c r="A2198">
        <v>3196</v>
      </c>
      <c r="B2198" t="s">
        <v>2215</v>
      </c>
      <c r="C2198" t="s">
        <v>36</v>
      </c>
      <c r="D2198" t="s">
        <v>59</v>
      </c>
      <c r="E2198">
        <v>2</v>
      </c>
      <c r="F2198">
        <v>4897.24</v>
      </c>
      <c r="G2198">
        <f t="shared" si="68"/>
        <v>9794.48</v>
      </c>
      <c r="I2198">
        <f t="shared" si="69"/>
        <v>9794.48</v>
      </c>
      <c r="J2198" s="1">
        <v>45518</v>
      </c>
      <c r="K2198" t="s">
        <v>44</v>
      </c>
      <c r="L2198" t="s">
        <v>23</v>
      </c>
      <c r="M2198">
        <v>2989.6</v>
      </c>
    </row>
    <row r="2199" spans="1:13" x14ac:dyDescent="0.25">
      <c r="A2199">
        <v>3197</v>
      </c>
      <c r="B2199" t="s">
        <v>2216</v>
      </c>
      <c r="C2199" t="s">
        <v>28</v>
      </c>
      <c r="D2199" t="s">
        <v>137</v>
      </c>
      <c r="E2199">
        <v>5</v>
      </c>
      <c r="G2199">
        <f t="shared" si="68"/>
        <v>0</v>
      </c>
      <c r="H2199" s="3">
        <v>1.1200000000000001</v>
      </c>
      <c r="I2199">
        <f t="shared" si="69"/>
        <v>0</v>
      </c>
      <c r="J2199" s="1">
        <v>45540</v>
      </c>
      <c r="K2199" t="s">
        <v>2517</v>
      </c>
      <c r="L2199" t="s">
        <v>16</v>
      </c>
      <c r="M2199">
        <v>2348.85</v>
      </c>
    </row>
    <row r="2200" spans="1:13" x14ac:dyDescent="0.25">
      <c r="A2200">
        <v>3198</v>
      </c>
      <c r="B2200" t="s">
        <v>2217</v>
      </c>
      <c r="C2200" t="s">
        <v>20</v>
      </c>
      <c r="D2200" t="s">
        <v>21</v>
      </c>
      <c r="E2200">
        <v>2</v>
      </c>
      <c r="G2200">
        <f t="shared" si="68"/>
        <v>0</v>
      </c>
      <c r="I2200">
        <f t="shared" si="69"/>
        <v>0</v>
      </c>
      <c r="J2200" s="1">
        <v>45748</v>
      </c>
      <c r="K2200" t="s">
        <v>44</v>
      </c>
      <c r="L2200" t="s">
        <v>16</v>
      </c>
      <c r="M2200">
        <v>816.72</v>
      </c>
    </row>
    <row r="2201" spans="1:13" x14ac:dyDescent="0.25">
      <c r="A2201">
        <v>1003</v>
      </c>
      <c r="B2201" t="s">
        <v>2218</v>
      </c>
      <c r="C2201" t="s">
        <v>13</v>
      </c>
      <c r="D2201" t="s">
        <v>14</v>
      </c>
      <c r="E2201">
        <v>2</v>
      </c>
      <c r="G2201">
        <f t="shared" si="68"/>
        <v>0</v>
      </c>
      <c r="I2201">
        <f t="shared" si="69"/>
        <v>0</v>
      </c>
      <c r="J2201" s="1">
        <v>45396</v>
      </c>
      <c r="K2201" t="s">
        <v>22</v>
      </c>
      <c r="L2201" t="s">
        <v>16</v>
      </c>
      <c r="M2201">
        <v>-756.14</v>
      </c>
    </row>
    <row r="2202" spans="1:13" x14ac:dyDescent="0.25">
      <c r="A2202">
        <v>3200</v>
      </c>
      <c r="B2202" t="s">
        <v>2219</v>
      </c>
      <c r="C2202" t="s">
        <v>28</v>
      </c>
      <c r="D2202" t="s">
        <v>137</v>
      </c>
      <c r="E2202">
        <v>2</v>
      </c>
      <c r="G2202">
        <f t="shared" si="68"/>
        <v>0</v>
      </c>
      <c r="I2202">
        <f t="shared" si="69"/>
        <v>0</v>
      </c>
      <c r="J2202" s="1">
        <v>45522</v>
      </c>
      <c r="K2202" t="s">
        <v>22</v>
      </c>
      <c r="L2202" t="s">
        <v>23</v>
      </c>
      <c r="M2202">
        <v>2779.48</v>
      </c>
    </row>
    <row r="2203" spans="1:13" x14ac:dyDescent="0.25">
      <c r="A2203">
        <v>3201</v>
      </c>
      <c r="B2203" t="s">
        <v>2220</v>
      </c>
      <c r="C2203" t="s">
        <v>25</v>
      </c>
      <c r="D2203" t="s">
        <v>51</v>
      </c>
      <c r="E2203">
        <v>2</v>
      </c>
      <c r="F2203">
        <v>3494.89</v>
      </c>
      <c r="G2203">
        <f t="shared" si="68"/>
        <v>6989.78</v>
      </c>
      <c r="I2203">
        <f t="shared" si="69"/>
        <v>6989.78</v>
      </c>
      <c r="J2203" s="1">
        <v>45546</v>
      </c>
      <c r="K2203" t="s">
        <v>2517</v>
      </c>
      <c r="L2203" t="s">
        <v>16</v>
      </c>
      <c r="M2203">
        <v>1036.32</v>
      </c>
    </row>
    <row r="2204" spans="1:13" x14ac:dyDescent="0.25">
      <c r="A2204">
        <v>1006</v>
      </c>
      <c r="B2204" t="s">
        <v>2221</v>
      </c>
      <c r="C2204" t="s">
        <v>25</v>
      </c>
      <c r="D2204" t="s">
        <v>26</v>
      </c>
      <c r="E2204">
        <v>2</v>
      </c>
      <c r="F2204">
        <v>2520.44</v>
      </c>
      <c r="G2204">
        <f t="shared" si="68"/>
        <v>5040.88</v>
      </c>
      <c r="H2204" s="3">
        <v>0.15</v>
      </c>
      <c r="I2204">
        <f t="shared" si="69"/>
        <v>4284.7479999999996</v>
      </c>
      <c r="J2204" s="1">
        <v>45698</v>
      </c>
      <c r="K2204" t="s">
        <v>38</v>
      </c>
      <c r="L2204" t="s">
        <v>16</v>
      </c>
      <c r="M2204">
        <v>2408.2800000000002</v>
      </c>
    </row>
    <row r="2205" spans="1:13" x14ac:dyDescent="0.25">
      <c r="A2205">
        <v>3203</v>
      </c>
      <c r="B2205" t="s">
        <v>2222</v>
      </c>
      <c r="C2205" t="s">
        <v>20</v>
      </c>
      <c r="D2205" t="s">
        <v>84</v>
      </c>
      <c r="E2205">
        <v>-1</v>
      </c>
      <c r="F2205">
        <v>4883.5200000000004</v>
      </c>
      <c r="G2205">
        <f t="shared" si="68"/>
        <v>-4883.5200000000004</v>
      </c>
      <c r="I2205">
        <f t="shared" si="69"/>
        <v>-4883.5200000000004</v>
      </c>
      <c r="K2205" t="s">
        <v>44</v>
      </c>
      <c r="L2205" t="s">
        <v>16</v>
      </c>
      <c r="M2205">
        <v>1510.55</v>
      </c>
    </row>
    <row r="2206" spans="1:13" x14ac:dyDescent="0.25">
      <c r="A2206">
        <v>3204</v>
      </c>
      <c r="B2206" t="s">
        <v>2223</v>
      </c>
      <c r="C2206" t="s">
        <v>28</v>
      </c>
      <c r="D2206" t="s">
        <v>40</v>
      </c>
      <c r="E2206">
        <v>0</v>
      </c>
      <c r="F2206">
        <v>781.13</v>
      </c>
      <c r="G2206">
        <f t="shared" si="68"/>
        <v>0</v>
      </c>
      <c r="I2206">
        <f t="shared" si="69"/>
        <v>0</v>
      </c>
      <c r="J2206" s="1">
        <v>45501</v>
      </c>
      <c r="K2206" t="s">
        <v>22</v>
      </c>
      <c r="L2206" t="s">
        <v>16</v>
      </c>
      <c r="M2206">
        <v>2822.85</v>
      </c>
    </row>
    <row r="2207" spans="1:13" x14ac:dyDescent="0.25">
      <c r="A2207">
        <v>3205</v>
      </c>
      <c r="B2207" t="s">
        <v>2224</v>
      </c>
      <c r="C2207" t="s">
        <v>25</v>
      </c>
      <c r="D2207" t="s">
        <v>51</v>
      </c>
      <c r="E2207">
        <v>2</v>
      </c>
      <c r="G2207">
        <f t="shared" si="68"/>
        <v>0</v>
      </c>
      <c r="I2207">
        <f t="shared" si="69"/>
        <v>0</v>
      </c>
      <c r="J2207" s="1">
        <v>45646</v>
      </c>
      <c r="K2207" t="s">
        <v>2517</v>
      </c>
      <c r="L2207" t="s">
        <v>16</v>
      </c>
      <c r="M2207">
        <v>1723.22</v>
      </c>
    </row>
    <row r="2208" spans="1:13" x14ac:dyDescent="0.25">
      <c r="A2208">
        <v>3206</v>
      </c>
      <c r="B2208" t="s">
        <v>2225</v>
      </c>
      <c r="C2208" t="s">
        <v>36</v>
      </c>
      <c r="D2208" t="s">
        <v>87</v>
      </c>
      <c r="E2208">
        <v>-1</v>
      </c>
      <c r="G2208">
        <f t="shared" si="68"/>
        <v>0</v>
      </c>
      <c r="H2208" s="3">
        <v>0.54</v>
      </c>
      <c r="I2208">
        <f t="shared" si="69"/>
        <v>0</v>
      </c>
      <c r="J2208" s="1">
        <v>45634</v>
      </c>
      <c r="K2208" t="s">
        <v>15</v>
      </c>
      <c r="L2208" t="s">
        <v>16</v>
      </c>
      <c r="M2208">
        <v>550.46</v>
      </c>
    </row>
    <row r="2209" spans="1:13" x14ac:dyDescent="0.25">
      <c r="A2209">
        <v>3207</v>
      </c>
      <c r="B2209" t="s">
        <v>2226</v>
      </c>
      <c r="C2209" t="s">
        <v>13</v>
      </c>
      <c r="D2209" t="s">
        <v>47</v>
      </c>
      <c r="E2209">
        <v>2</v>
      </c>
      <c r="G2209">
        <f t="shared" si="68"/>
        <v>0</v>
      </c>
      <c r="I2209">
        <f t="shared" si="69"/>
        <v>0</v>
      </c>
      <c r="K2209" t="s">
        <v>18</v>
      </c>
      <c r="L2209" t="s">
        <v>16</v>
      </c>
      <c r="M2209">
        <v>-547.29</v>
      </c>
    </row>
    <row r="2210" spans="1:13" x14ac:dyDescent="0.25">
      <c r="A2210">
        <v>3208</v>
      </c>
      <c r="B2210" t="s">
        <v>2227</v>
      </c>
      <c r="C2210" t="s">
        <v>28</v>
      </c>
      <c r="D2210" t="s">
        <v>116</v>
      </c>
      <c r="E2210">
        <v>4</v>
      </c>
      <c r="F2210">
        <v>4280.7</v>
      </c>
      <c r="G2210">
        <f t="shared" si="68"/>
        <v>17122.8</v>
      </c>
      <c r="I2210">
        <f t="shared" si="69"/>
        <v>17122.8</v>
      </c>
      <c r="J2210" s="1">
        <v>45554</v>
      </c>
      <c r="K2210" t="s">
        <v>44</v>
      </c>
      <c r="L2210" t="s">
        <v>23</v>
      </c>
      <c r="M2210">
        <v>68.36</v>
      </c>
    </row>
    <row r="2211" spans="1:13" x14ac:dyDescent="0.25">
      <c r="A2211">
        <v>3209</v>
      </c>
      <c r="B2211" t="s">
        <v>2228</v>
      </c>
      <c r="C2211" t="s">
        <v>25</v>
      </c>
      <c r="D2211" t="s">
        <v>82</v>
      </c>
      <c r="E2211">
        <v>2</v>
      </c>
      <c r="F2211">
        <v>3221.55</v>
      </c>
      <c r="G2211">
        <f t="shared" si="68"/>
        <v>6443.1</v>
      </c>
      <c r="I2211">
        <f t="shared" si="69"/>
        <v>6443.1</v>
      </c>
      <c r="J2211" s="1">
        <v>45279</v>
      </c>
      <c r="K2211" t="s">
        <v>18</v>
      </c>
      <c r="L2211" t="s">
        <v>23</v>
      </c>
      <c r="M2211">
        <v>1996.4</v>
      </c>
    </row>
    <row r="2212" spans="1:13" x14ac:dyDescent="0.25">
      <c r="A2212">
        <v>3210</v>
      </c>
      <c r="B2212" t="s">
        <v>2229</v>
      </c>
      <c r="C2212" t="s">
        <v>13</v>
      </c>
      <c r="D2212" t="s">
        <v>98</v>
      </c>
      <c r="E2212">
        <v>0</v>
      </c>
      <c r="G2212">
        <f t="shared" si="68"/>
        <v>0</v>
      </c>
      <c r="I2212">
        <f t="shared" si="69"/>
        <v>0</v>
      </c>
      <c r="J2212" s="1">
        <v>45676</v>
      </c>
      <c r="K2212" t="s">
        <v>22</v>
      </c>
      <c r="L2212" t="s">
        <v>23</v>
      </c>
      <c r="M2212">
        <v>1580.66</v>
      </c>
    </row>
    <row r="2213" spans="1:13" x14ac:dyDescent="0.25">
      <c r="A2213">
        <v>3211</v>
      </c>
      <c r="B2213" t="s">
        <v>2230</v>
      </c>
      <c r="C2213" t="s">
        <v>31</v>
      </c>
      <c r="D2213" t="s">
        <v>32</v>
      </c>
      <c r="E2213">
        <v>2</v>
      </c>
      <c r="F2213">
        <v>1624.28</v>
      </c>
      <c r="G2213">
        <f t="shared" si="68"/>
        <v>3248.56</v>
      </c>
      <c r="H2213" s="3">
        <v>1.29</v>
      </c>
      <c r="I2213">
        <f t="shared" si="69"/>
        <v>-942.08240000000012</v>
      </c>
      <c r="J2213" s="1">
        <v>45697</v>
      </c>
      <c r="K2213" t="s">
        <v>38</v>
      </c>
      <c r="L2213" t="s">
        <v>23</v>
      </c>
      <c r="M2213">
        <v>1863.17</v>
      </c>
    </row>
    <row r="2214" spans="1:13" x14ac:dyDescent="0.25">
      <c r="A2214">
        <v>3212</v>
      </c>
      <c r="B2214" t="s">
        <v>1931</v>
      </c>
      <c r="C2214" t="s">
        <v>20</v>
      </c>
      <c r="D2214" t="s">
        <v>21</v>
      </c>
      <c r="E2214">
        <v>2</v>
      </c>
      <c r="F2214">
        <v>4606.8500000000004</v>
      </c>
      <c r="G2214">
        <f t="shared" si="68"/>
        <v>9213.7000000000007</v>
      </c>
      <c r="H2214" s="3">
        <v>0.28000000000000003</v>
      </c>
      <c r="I2214">
        <f t="shared" si="69"/>
        <v>6633.8640000000005</v>
      </c>
      <c r="J2214" s="1">
        <v>45530</v>
      </c>
      <c r="K2214" t="s">
        <v>18</v>
      </c>
      <c r="L2214" t="s">
        <v>16</v>
      </c>
      <c r="M2214">
        <v>188.97</v>
      </c>
    </row>
    <row r="2215" spans="1:13" x14ac:dyDescent="0.25">
      <c r="A2215">
        <v>3213</v>
      </c>
      <c r="B2215" t="s">
        <v>2231</v>
      </c>
      <c r="C2215" t="s">
        <v>20</v>
      </c>
      <c r="D2215" t="s">
        <v>76</v>
      </c>
      <c r="E2215">
        <v>6</v>
      </c>
      <c r="F2215">
        <v>1213.25</v>
      </c>
      <c r="G2215">
        <f t="shared" si="68"/>
        <v>7279.5</v>
      </c>
      <c r="H2215" s="3">
        <v>1.1100000000000001</v>
      </c>
      <c r="I2215">
        <f t="shared" si="69"/>
        <v>-800.74500000000069</v>
      </c>
      <c r="J2215" s="1">
        <v>45592</v>
      </c>
      <c r="K2215" t="s">
        <v>18</v>
      </c>
      <c r="L2215" t="s">
        <v>16</v>
      </c>
      <c r="M2215">
        <v>-82.79</v>
      </c>
    </row>
    <row r="2216" spans="1:13" x14ac:dyDescent="0.25">
      <c r="A2216">
        <v>3214</v>
      </c>
      <c r="B2216" t="s">
        <v>1116</v>
      </c>
      <c r="C2216" t="s">
        <v>13</v>
      </c>
      <c r="D2216" t="s">
        <v>98</v>
      </c>
      <c r="E2216">
        <v>2</v>
      </c>
      <c r="G2216">
        <f t="shared" si="68"/>
        <v>0</v>
      </c>
      <c r="I2216">
        <f t="shared" si="69"/>
        <v>0</v>
      </c>
      <c r="J2216" s="1">
        <v>45774</v>
      </c>
      <c r="K2216" t="s">
        <v>22</v>
      </c>
      <c r="L2216" t="s">
        <v>16</v>
      </c>
      <c r="M2216">
        <v>1084.99</v>
      </c>
    </row>
    <row r="2217" spans="1:13" x14ac:dyDescent="0.25">
      <c r="A2217">
        <v>3215</v>
      </c>
      <c r="B2217" t="s">
        <v>2232</v>
      </c>
      <c r="C2217" t="s">
        <v>13</v>
      </c>
      <c r="D2217" t="s">
        <v>98</v>
      </c>
      <c r="E2217">
        <v>1</v>
      </c>
      <c r="F2217">
        <v>552.80999999999995</v>
      </c>
      <c r="G2217">
        <f t="shared" si="68"/>
        <v>552.80999999999995</v>
      </c>
      <c r="H2217" s="3">
        <v>0.56999999999999995</v>
      </c>
      <c r="I2217">
        <f t="shared" si="69"/>
        <v>237.70830000000001</v>
      </c>
      <c r="K2217" t="s">
        <v>15</v>
      </c>
      <c r="L2217" t="s">
        <v>16</v>
      </c>
      <c r="M2217">
        <v>206.75</v>
      </c>
    </row>
    <row r="2218" spans="1:13" x14ac:dyDescent="0.25">
      <c r="A2218">
        <v>3216</v>
      </c>
      <c r="B2218" t="s">
        <v>2233</v>
      </c>
      <c r="C2218" t="s">
        <v>25</v>
      </c>
      <c r="D2218" t="s">
        <v>51</v>
      </c>
      <c r="E2218">
        <v>0</v>
      </c>
      <c r="G2218">
        <f t="shared" si="68"/>
        <v>0</v>
      </c>
      <c r="H2218" s="3">
        <v>7.0000000000000007E-2</v>
      </c>
      <c r="I2218">
        <f t="shared" si="69"/>
        <v>0</v>
      </c>
      <c r="J2218" s="1">
        <v>45596</v>
      </c>
      <c r="K2218" t="s">
        <v>44</v>
      </c>
      <c r="L2218" t="s">
        <v>16</v>
      </c>
      <c r="M2218">
        <v>1989.05</v>
      </c>
    </row>
    <row r="2219" spans="1:13" x14ac:dyDescent="0.25">
      <c r="A2219">
        <v>3217</v>
      </c>
      <c r="B2219" t="s">
        <v>2234</v>
      </c>
      <c r="C2219" t="s">
        <v>36</v>
      </c>
      <c r="D2219" t="s">
        <v>59</v>
      </c>
      <c r="E2219">
        <v>2</v>
      </c>
      <c r="F2219">
        <v>1039.75</v>
      </c>
      <c r="G2219">
        <f t="shared" si="68"/>
        <v>2079.5</v>
      </c>
      <c r="I2219">
        <f t="shared" si="69"/>
        <v>2079.5</v>
      </c>
      <c r="J2219" s="1">
        <v>45136</v>
      </c>
      <c r="K2219" t="s">
        <v>44</v>
      </c>
      <c r="L2219" t="s">
        <v>16</v>
      </c>
      <c r="M2219">
        <v>902.04</v>
      </c>
    </row>
    <row r="2220" spans="1:13" x14ac:dyDescent="0.25">
      <c r="A2220">
        <v>3218</v>
      </c>
      <c r="B2220" t="s">
        <v>2235</v>
      </c>
      <c r="C2220" t="s">
        <v>31</v>
      </c>
      <c r="D2220" t="s">
        <v>32</v>
      </c>
      <c r="E2220">
        <v>0</v>
      </c>
      <c r="G2220">
        <f t="shared" si="68"/>
        <v>0</v>
      </c>
      <c r="H2220" s="3">
        <v>0.16</v>
      </c>
      <c r="I2220">
        <f t="shared" si="69"/>
        <v>0</v>
      </c>
      <c r="J2220" s="1">
        <v>45520</v>
      </c>
      <c r="K2220" t="s">
        <v>44</v>
      </c>
      <c r="L2220" t="s">
        <v>23</v>
      </c>
      <c r="M2220">
        <v>946.6</v>
      </c>
    </row>
    <row r="2221" spans="1:13" x14ac:dyDescent="0.25">
      <c r="A2221">
        <v>3219</v>
      </c>
      <c r="B2221" t="s">
        <v>2236</v>
      </c>
      <c r="C2221" t="s">
        <v>25</v>
      </c>
      <c r="D2221" t="s">
        <v>82</v>
      </c>
      <c r="E2221">
        <v>5</v>
      </c>
      <c r="G2221">
        <f t="shared" si="68"/>
        <v>0</v>
      </c>
      <c r="I2221">
        <f t="shared" si="69"/>
        <v>0</v>
      </c>
      <c r="J2221" s="1">
        <v>45375</v>
      </c>
      <c r="K2221" t="s">
        <v>38</v>
      </c>
      <c r="L2221" t="s">
        <v>16</v>
      </c>
      <c r="M2221">
        <v>908.45</v>
      </c>
    </row>
    <row r="2222" spans="1:13" x14ac:dyDescent="0.25">
      <c r="A2222">
        <v>1006</v>
      </c>
      <c r="B2222" t="s">
        <v>1588</v>
      </c>
      <c r="C2222" t="s">
        <v>13</v>
      </c>
      <c r="D2222" t="s">
        <v>98</v>
      </c>
      <c r="E2222">
        <v>2</v>
      </c>
      <c r="F2222">
        <v>732.96</v>
      </c>
      <c r="G2222">
        <f t="shared" si="68"/>
        <v>1465.92</v>
      </c>
      <c r="H2222" s="3">
        <v>0.21</v>
      </c>
      <c r="I2222">
        <f t="shared" si="69"/>
        <v>1158.0768</v>
      </c>
      <c r="K2222" t="s">
        <v>2517</v>
      </c>
      <c r="L2222" t="s">
        <v>23</v>
      </c>
      <c r="M2222">
        <v>-702.58</v>
      </c>
    </row>
    <row r="2223" spans="1:13" x14ac:dyDescent="0.25">
      <c r="A2223">
        <v>3221</v>
      </c>
      <c r="B2223" t="s">
        <v>2237</v>
      </c>
      <c r="C2223" t="s">
        <v>28</v>
      </c>
      <c r="D2223" t="s">
        <v>29</v>
      </c>
      <c r="E2223">
        <v>-2</v>
      </c>
      <c r="G2223">
        <f t="shared" si="68"/>
        <v>0</v>
      </c>
      <c r="I2223">
        <f t="shared" si="69"/>
        <v>0</v>
      </c>
      <c r="J2223" s="1">
        <v>45855</v>
      </c>
      <c r="K2223" t="s">
        <v>44</v>
      </c>
      <c r="L2223" t="s">
        <v>16</v>
      </c>
      <c r="M2223">
        <v>2141.34</v>
      </c>
    </row>
    <row r="2224" spans="1:13" x14ac:dyDescent="0.25">
      <c r="A2224">
        <v>3222</v>
      </c>
      <c r="B2224" t="s">
        <v>2238</v>
      </c>
      <c r="C2224" t="s">
        <v>36</v>
      </c>
      <c r="D2224" t="s">
        <v>87</v>
      </c>
      <c r="E2224">
        <v>-2</v>
      </c>
      <c r="G2224">
        <f t="shared" si="68"/>
        <v>0</v>
      </c>
      <c r="I2224">
        <f t="shared" si="69"/>
        <v>0</v>
      </c>
      <c r="J2224" s="1">
        <v>45703</v>
      </c>
      <c r="K2224" t="s">
        <v>44</v>
      </c>
      <c r="L2224" t="s">
        <v>23</v>
      </c>
      <c r="M2224">
        <v>-545.96</v>
      </c>
    </row>
    <row r="2225" spans="1:13" x14ac:dyDescent="0.25">
      <c r="A2225">
        <v>3223</v>
      </c>
      <c r="B2225" t="s">
        <v>2239</v>
      </c>
      <c r="C2225" t="s">
        <v>31</v>
      </c>
      <c r="D2225" t="s">
        <v>78</v>
      </c>
      <c r="E2225">
        <v>2</v>
      </c>
      <c r="G2225">
        <f t="shared" si="68"/>
        <v>0</v>
      </c>
      <c r="I2225">
        <f t="shared" si="69"/>
        <v>0</v>
      </c>
      <c r="J2225" s="1">
        <v>45356</v>
      </c>
      <c r="K2225" t="s">
        <v>22</v>
      </c>
      <c r="L2225" t="s">
        <v>16</v>
      </c>
      <c r="M2225">
        <v>1477.87</v>
      </c>
    </row>
    <row r="2226" spans="1:13" x14ac:dyDescent="0.25">
      <c r="A2226">
        <v>3224</v>
      </c>
      <c r="B2226" t="s">
        <v>2240</v>
      </c>
      <c r="C2226" t="s">
        <v>13</v>
      </c>
      <c r="D2226" t="s">
        <v>14</v>
      </c>
      <c r="E2226">
        <v>6</v>
      </c>
      <c r="F2226">
        <v>878.95</v>
      </c>
      <c r="G2226">
        <f t="shared" si="68"/>
        <v>5273.7000000000007</v>
      </c>
      <c r="H2226" s="3">
        <v>0.01</v>
      </c>
      <c r="I2226">
        <f t="shared" si="69"/>
        <v>5220.9630000000006</v>
      </c>
      <c r="J2226" s="1">
        <v>45769</v>
      </c>
      <c r="K2226" t="s">
        <v>22</v>
      </c>
      <c r="L2226" t="s">
        <v>16</v>
      </c>
      <c r="M2226">
        <v>2099.52</v>
      </c>
    </row>
    <row r="2227" spans="1:13" x14ac:dyDescent="0.25">
      <c r="A2227">
        <v>3225</v>
      </c>
      <c r="B2227" t="s">
        <v>2241</v>
      </c>
      <c r="C2227" t="s">
        <v>36</v>
      </c>
      <c r="D2227" t="s">
        <v>37</v>
      </c>
      <c r="E2227">
        <v>6</v>
      </c>
      <c r="G2227">
        <f t="shared" si="68"/>
        <v>0</v>
      </c>
      <c r="I2227">
        <f t="shared" si="69"/>
        <v>0</v>
      </c>
      <c r="K2227" t="s">
        <v>44</v>
      </c>
      <c r="L2227" t="s">
        <v>16</v>
      </c>
      <c r="M2227">
        <v>2666.58</v>
      </c>
    </row>
    <row r="2228" spans="1:13" x14ac:dyDescent="0.25">
      <c r="A2228">
        <v>3226</v>
      </c>
      <c r="B2228" t="s">
        <v>2242</v>
      </c>
      <c r="C2228" t="s">
        <v>36</v>
      </c>
      <c r="D2228" t="s">
        <v>59</v>
      </c>
      <c r="E2228">
        <v>2</v>
      </c>
      <c r="G2228">
        <f t="shared" si="68"/>
        <v>0</v>
      </c>
      <c r="I2228">
        <f t="shared" si="69"/>
        <v>0</v>
      </c>
      <c r="J2228" s="1">
        <v>45146</v>
      </c>
      <c r="K2228" t="s">
        <v>38</v>
      </c>
      <c r="L2228" t="s">
        <v>16</v>
      </c>
      <c r="M2228">
        <v>2715.65</v>
      </c>
    </row>
    <row r="2229" spans="1:13" x14ac:dyDescent="0.25">
      <c r="A2229">
        <v>3227</v>
      </c>
      <c r="B2229" t="s">
        <v>2243</v>
      </c>
      <c r="C2229" t="s">
        <v>28</v>
      </c>
      <c r="D2229" t="s">
        <v>29</v>
      </c>
      <c r="E2229">
        <v>2</v>
      </c>
      <c r="G2229">
        <f t="shared" si="68"/>
        <v>0</v>
      </c>
      <c r="I2229">
        <f t="shared" si="69"/>
        <v>0</v>
      </c>
      <c r="J2229" s="1">
        <v>45505</v>
      </c>
      <c r="K2229" t="s">
        <v>22</v>
      </c>
      <c r="L2229" t="s">
        <v>16</v>
      </c>
      <c r="M2229">
        <v>2498.2199999999998</v>
      </c>
    </row>
    <row r="2230" spans="1:13" x14ac:dyDescent="0.25">
      <c r="A2230">
        <v>3228</v>
      </c>
      <c r="B2230" t="s">
        <v>2244</v>
      </c>
      <c r="C2230" t="s">
        <v>31</v>
      </c>
      <c r="D2230" t="s">
        <v>78</v>
      </c>
      <c r="E2230">
        <v>2</v>
      </c>
      <c r="F2230">
        <v>2125.02</v>
      </c>
      <c r="G2230">
        <f t="shared" si="68"/>
        <v>4250.04</v>
      </c>
      <c r="I2230">
        <f t="shared" si="69"/>
        <v>4250.04</v>
      </c>
      <c r="J2230" s="1">
        <v>45563</v>
      </c>
      <c r="K2230" t="s">
        <v>2517</v>
      </c>
      <c r="L2230" t="s">
        <v>16</v>
      </c>
      <c r="M2230">
        <v>1154.25</v>
      </c>
    </row>
    <row r="2231" spans="1:13" x14ac:dyDescent="0.25">
      <c r="A2231">
        <v>3229</v>
      </c>
      <c r="B2231" t="s">
        <v>2245</v>
      </c>
      <c r="C2231" t="s">
        <v>28</v>
      </c>
      <c r="D2231" t="s">
        <v>137</v>
      </c>
      <c r="E2231">
        <v>-1</v>
      </c>
      <c r="G2231">
        <f t="shared" si="68"/>
        <v>0</v>
      </c>
      <c r="I2231">
        <f t="shared" si="69"/>
        <v>0</v>
      </c>
      <c r="K2231" t="s">
        <v>15</v>
      </c>
      <c r="L2231" t="s">
        <v>16</v>
      </c>
      <c r="M2231">
        <v>1178.45</v>
      </c>
    </row>
    <row r="2232" spans="1:13" x14ac:dyDescent="0.25">
      <c r="A2232">
        <v>3230</v>
      </c>
      <c r="B2232" t="s">
        <v>2246</v>
      </c>
      <c r="C2232" t="s">
        <v>20</v>
      </c>
      <c r="D2232" t="s">
        <v>21</v>
      </c>
      <c r="E2232">
        <v>3</v>
      </c>
      <c r="F2232">
        <v>4694.3100000000004</v>
      </c>
      <c r="G2232">
        <f t="shared" si="68"/>
        <v>14082.93</v>
      </c>
      <c r="H2232" s="3">
        <v>0.09</v>
      </c>
      <c r="I2232">
        <f t="shared" si="69"/>
        <v>12815.4663</v>
      </c>
      <c r="K2232" t="s">
        <v>38</v>
      </c>
      <c r="L2232" t="s">
        <v>23</v>
      </c>
      <c r="M2232">
        <v>-215.18</v>
      </c>
    </row>
    <row r="2233" spans="1:13" x14ac:dyDescent="0.25">
      <c r="A2233">
        <v>3231</v>
      </c>
      <c r="B2233" t="s">
        <v>2247</v>
      </c>
      <c r="C2233" t="s">
        <v>25</v>
      </c>
      <c r="D2233" t="s">
        <v>26</v>
      </c>
      <c r="E2233">
        <v>2</v>
      </c>
      <c r="G2233">
        <f t="shared" si="68"/>
        <v>0</v>
      </c>
      <c r="I2233">
        <f t="shared" si="69"/>
        <v>0</v>
      </c>
      <c r="J2233" s="1">
        <v>45345</v>
      </c>
      <c r="K2233" t="s">
        <v>44</v>
      </c>
      <c r="L2233" t="s">
        <v>23</v>
      </c>
      <c r="M2233">
        <v>2837.72</v>
      </c>
    </row>
    <row r="2234" spans="1:13" x14ac:dyDescent="0.25">
      <c r="A2234">
        <v>3232</v>
      </c>
      <c r="B2234" t="s">
        <v>2248</v>
      </c>
      <c r="C2234" t="s">
        <v>20</v>
      </c>
      <c r="D2234" t="s">
        <v>21</v>
      </c>
      <c r="E2234">
        <v>-2</v>
      </c>
      <c r="G2234">
        <f t="shared" si="68"/>
        <v>0</v>
      </c>
      <c r="H2234" s="3">
        <v>0.3</v>
      </c>
      <c r="I2234">
        <f t="shared" si="69"/>
        <v>0</v>
      </c>
      <c r="J2234" s="1">
        <v>45626</v>
      </c>
      <c r="K2234" t="s">
        <v>38</v>
      </c>
      <c r="L2234" t="s">
        <v>16</v>
      </c>
      <c r="M2234">
        <v>1045.42</v>
      </c>
    </row>
    <row r="2235" spans="1:13" x14ac:dyDescent="0.25">
      <c r="A2235">
        <v>3233</v>
      </c>
      <c r="B2235" t="s">
        <v>2249</v>
      </c>
      <c r="C2235" t="s">
        <v>31</v>
      </c>
      <c r="D2235" t="s">
        <v>32</v>
      </c>
      <c r="E2235">
        <v>2</v>
      </c>
      <c r="F2235">
        <v>2654.66</v>
      </c>
      <c r="G2235">
        <f t="shared" si="68"/>
        <v>5309.32</v>
      </c>
      <c r="I2235">
        <f t="shared" si="69"/>
        <v>5309.32</v>
      </c>
      <c r="J2235" s="1">
        <v>45491</v>
      </c>
      <c r="K2235" t="s">
        <v>38</v>
      </c>
      <c r="L2235" t="s">
        <v>23</v>
      </c>
      <c r="M2235">
        <v>2008.66</v>
      </c>
    </row>
    <row r="2236" spans="1:13" x14ac:dyDescent="0.25">
      <c r="A2236">
        <v>3234</v>
      </c>
      <c r="B2236" t="s">
        <v>2250</v>
      </c>
      <c r="C2236" t="s">
        <v>13</v>
      </c>
      <c r="D2236" t="s">
        <v>98</v>
      </c>
      <c r="E2236">
        <v>2</v>
      </c>
      <c r="F2236">
        <v>2068.3000000000002</v>
      </c>
      <c r="G2236">
        <f t="shared" si="68"/>
        <v>4136.6000000000004</v>
      </c>
      <c r="I2236">
        <f t="shared" si="69"/>
        <v>4136.6000000000004</v>
      </c>
      <c r="J2236" s="1">
        <v>45623</v>
      </c>
      <c r="K2236" t="s">
        <v>2517</v>
      </c>
      <c r="L2236" t="s">
        <v>16</v>
      </c>
      <c r="M2236">
        <v>-896.79</v>
      </c>
    </row>
    <row r="2237" spans="1:13" x14ac:dyDescent="0.25">
      <c r="A2237">
        <v>3235</v>
      </c>
      <c r="B2237" t="s">
        <v>2251</v>
      </c>
      <c r="C2237" t="s">
        <v>25</v>
      </c>
      <c r="D2237" t="s">
        <v>26</v>
      </c>
      <c r="E2237">
        <v>2</v>
      </c>
      <c r="F2237">
        <v>3466.1</v>
      </c>
      <c r="G2237">
        <f t="shared" si="68"/>
        <v>6932.2</v>
      </c>
      <c r="I2237">
        <f t="shared" si="69"/>
        <v>6932.2</v>
      </c>
      <c r="J2237" s="1">
        <v>45804</v>
      </c>
      <c r="K2237" t="s">
        <v>38</v>
      </c>
      <c r="L2237" t="s">
        <v>16</v>
      </c>
      <c r="M2237">
        <v>1011.48</v>
      </c>
    </row>
    <row r="2238" spans="1:13" x14ac:dyDescent="0.25">
      <c r="A2238">
        <v>3236</v>
      </c>
      <c r="B2238" t="s">
        <v>2252</v>
      </c>
      <c r="C2238" t="s">
        <v>20</v>
      </c>
      <c r="D2238" t="s">
        <v>118</v>
      </c>
      <c r="E2238">
        <v>2</v>
      </c>
      <c r="F2238">
        <v>3253.51</v>
      </c>
      <c r="G2238">
        <f t="shared" si="68"/>
        <v>6507.02</v>
      </c>
      <c r="H2238" s="3">
        <v>0.55000000000000004</v>
      </c>
      <c r="I2238">
        <f t="shared" si="69"/>
        <v>2928.1590000000001</v>
      </c>
      <c r="J2238" s="1">
        <v>45654</v>
      </c>
      <c r="K2238" t="s">
        <v>44</v>
      </c>
      <c r="L2238" t="s">
        <v>16</v>
      </c>
      <c r="M2238">
        <v>713.71</v>
      </c>
    </row>
    <row r="2239" spans="1:13" x14ac:dyDescent="0.25">
      <c r="A2239">
        <v>3237</v>
      </c>
      <c r="B2239" t="s">
        <v>2253</v>
      </c>
      <c r="C2239" t="s">
        <v>20</v>
      </c>
      <c r="D2239" t="s">
        <v>21</v>
      </c>
      <c r="E2239">
        <v>3</v>
      </c>
      <c r="G2239">
        <f t="shared" si="68"/>
        <v>0</v>
      </c>
      <c r="I2239">
        <f t="shared" si="69"/>
        <v>0</v>
      </c>
      <c r="J2239" s="1">
        <v>45562</v>
      </c>
      <c r="K2239" t="s">
        <v>18</v>
      </c>
      <c r="L2239" t="s">
        <v>16</v>
      </c>
      <c r="M2239">
        <v>1866.05</v>
      </c>
    </row>
    <row r="2240" spans="1:13" x14ac:dyDescent="0.25">
      <c r="A2240">
        <v>3238</v>
      </c>
      <c r="B2240" t="s">
        <v>2254</v>
      </c>
      <c r="C2240" t="s">
        <v>31</v>
      </c>
      <c r="D2240" t="s">
        <v>68</v>
      </c>
      <c r="E2240">
        <v>2</v>
      </c>
      <c r="G2240">
        <f t="shared" si="68"/>
        <v>0</v>
      </c>
      <c r="H2240" s="3">
        <v>0.87</v>
      </c>
      <c r="I2240">
        <f t="shared" si="69"/>
        <v>0</v>
      </c>
      <c r="J2240" s="1">
        <v>45560</v>
      </c>
      <c r="K2240" t="s">
        <v>15</v>
      </c>
      <c r="L2240" t="s">
        <v>16</v>
      </c>
      <c r="M2240">
        <v>744.17</v>
      </c>
    </row>
    <row r="2241" spans="1:13" x14ac:dyDescent="0.25">
      <c r="A2241">
        <v>3239</v>
      </c>
      <c r="B2241" t="s">
        <v>2255</v>
      </c>
      <c r="C2241" t="s">
        <v>13</v>
      </c>
      <c r="D2241" t="s">
        <v>47</v>
      </c>
      <c r="E2241">
        <v>1</v>
      </c>
      <c r="F2241">
        <v>4585.71</v>
      </c>
      <c r="G2241">
        <f t="shared" si="68"/>
        <v>4585.71</v>
      </c>
      <c r="I2241">
        <f t="shared" si="69"/>
        <v>4585.71</v>
      </c>
      <c r="J2241" s="1">
        <v>45795</v>
      </c>
      <c r="K2241" t="s">
        <v>18</v>
      </c>
      <c r="L2241" t="s">
        <v>23</v>
      </c>
      <c r="M2241">
        <v>1277.56</v>
      </c>
    </row>
    <row r="2242" spans="1:13" x14ac:dyDescent="0.25">
      <c r="A2242">
        <v>3240</v>
      </c>
      <c r="B2242" t="s">
        <v>2256</v>
      </c>
      <c r="C2242" t="s">
        <v>36</v>
      </c>
      <c r="D2242" t="s">
        <v>37</v>
      </c>
      <c r="E2242">
        <v>2</v>
      </c>
      <c r="G2242">
        <f t="shared" si="68"/>
        <v>0</v>
      </c>
      <c r="I2242">
        <f t="shared" si="69"/>
        <v>0</v>
      </c>
      <c r="J2242" s="1">
        <v>45575</v>
      </c>
      <c r="K2242" t="s">
        <v>38</v>
      </c>
      <c r="L2242" t="s">
        <v>23</v>
      </c>
      <c r="M2242">
        <v>940.05</v>
      </c>
    </row>
    <row r="2243" spans="1:13" x14ac:dyDescent="0.25">
      <c r="A2243">
        <v>1026</v>
      </c>
      <c r="B2243" t="s">
        <v>2257</v>
      </c>
      <c r="C2243" t="s">
        <v>31</v>
      </c>
      <c r="D2243" t="s">
        <v>32</v>
      </c>
      <c r="E2243">
        <v>0</v>
      </c>
      <c r="F2243">
        <v>3186.11</v>
      </c>
      <c r="G2243">
        <f t="shared" ref="G2243:G2306" si="70">F2243*E2243</f>
        <v>0</v>
      </c>
      <c r="H2243" s="3">
        <v>0.74</v>
      </c>
      <c r="I2243">
        <f t="shared" ref="I2243:I2306" si="71">G2243*(1-H2243)</f>
        <v>0</v>
      </c>
      <c r="J2243" s="1">
        <v>45583</v>
      </c>
      <c r="K2243" t="s">
        <v>18</v>
      </c>
      <c r="L2243" t="s">
        <v>16</v>
      </c>
      <c r="M2243">
        <v>2939.87</v>
      </c>
    </row>
    <row r="2244" spans="1:13" x14ac:dyDescent="0.25">
      <c r="A2244">
        <v>3242</v>
      </c>
      <c r="B2244" t="s">
        <v>2258</v>
      </c>
      <c r="C2244" t="s">
        <v>25</v>
      </c>
      <c r="D2244" t="s">
        <v>26</v>
      </c>
      <c r="E2244">
        <v>2</v>
      </c>
      <c r="G2244">
        <f t="shared" si="70"/>
        <v>0</v>
      </c>
      <c r="H2244" s="3">
        <v>0.16</v>
      </c>
      <c r="I2244">
        <f t="shared" si="71"/>
        <v>0</v>
      </c>
      <c r="J2244" s="1">
        <v>45367</v>
      </c>
      <c r="K2244" t="s">
        <v>22</v>
      </c>
      <c r="L2244" t="s">
        <v>23</v>
      </c>
      <c r="M2244">
        <v>2996.49</v>
      </c>
    </row>
    <row r="2245" spans="1:13" x14ac:dyDescent="0.25">
      <c r="A2245">
        <v>3243</v>
      </c>
      <c r="B2245" t="s">
        <v>2259</v>
      </c>
      <c r="C2245" t="s">
        <v>36</v>
      </c>
      <c r="D2245" t="s">
        <v>87</v>
      </c>
      <c r="E2245">
        <v>4</v>
      </c>
      <c r="G2245">
        <f t="shared" si="70"/>
        <v>0</v>
      </c>
      <c r="H2245" s="3">
        <v>0.87</v>
      </c>
      <c r="I2245">
        <f t="shared" si="71"/>
        <v>0</v>
      </c>
      <c r="K2245" t="s">
        <v>15</v>
      </c>
      <c r="L2245" t="s">
        <v>23</v>
      </c>
      <c r="M2245">
        <v>1345.46</v>
      </c>
    </row>
    <row r="2246" spans="1:13" x14ac:dyDescent="0.25">
      <c r="A2246">
        <v>3244</v>
      </c>
      <c r="B2246" t="s">
        <v>2260</v>
      </c>
      <c r="C2246" t="s">
        <v>28</v>
      </c>
      <c r="D2246" t="s">
        <v>116</v>
      </c>
      <c r="E2246">
        <v>-2</v>
      </c>
      <c r="G2246">
        <f t="shared" si="70"/>
        <v>0</v>
      </c>
      <c r="H2246" s="3">
        <v>0.47</v>
      </c>
      <c r="I2246">
        <f t="shared" si="71"/>
        <v>0</v>
      </c>
      <c r="J2246" s="1">
        <v>45714</v>
      </c>
      <c r="K2246" t="s">
        <v>18</v>
      </c>
      <c r="L2246" t="s">
        <v>23</v>
      </c>
      <c r="M2246">
        <v>2205.34</v>
      </c>
    </row>
    <row r="2247" spans="1:13" x14ac:dyDescent="0.25">
      <c r="A2247">
        <v>3245</v>
      </c>
      <c r="B2247" t="s">
        <v>2261</v>
      </c>
      <c r="C2247" t="s">
        <v>25</v>
      </c>
      <c r="D2247" t="s">
        <v>51</v>
      </c>
      <c r="E2247">
        <v>2</v>
      </c>
      <c r="G2247">
        <f t="shared" si="70"/>
        <v>0</v>
      </c>
      <c r="I2247">
        <f t="shared" si="71"/>
        <v>0</v>
      </c>
      <c r="J2247" s="1">
        <v>45282</v>
      </c>
      <c r="K2247" t="s">
        <v>2517</v>
      </c>
      <c r="L2247" t="s">
        <v>23</v>
      </c>
      <c r="M2247">
        <v>1403.98</v>
      </c>
    </row>
    <row r="2248" spans="1:13" x14ac:dyDescent="0.25">
      <c r="A2248">
        <v>3246</v>
      </c>
      <c r="B2248" t="s">
        <v>2262</v>
      </c>
      <c r="C2248" t="s">
        <v>13</v>
      </c>
      <c r="D2248" t="s">
        <v>34</v>
      </c>
      <c r="E2248">
        <v>2</v>
      </c>
      <c r="F2248">
        <v>4842.74</v>
      </c>
      <c r="G2248">
        <f t="shared" si="70"/>
        <v>9685.48</v>
      </c>
      <c r="I2248">
        <f t="shared" si="71"/>
        <v>9685.48</v>
      </c>
      <c r="K2248" t="s">
        <v>44</v>
      </c>
      <c r="L2248" t="s">
        <v>16</v>
      </c>
      <c r="M2248">
        <v>2628.24</v>
      </c>
    </row>
    <row r="2249" spans="1:13" x14ac:dyDescent="0.25">
      <c r="A2249">
        <v>3247</v>
      </c>
      <c r="B2249" t="s">
        <v>2263</v>
      </c>
      <c r="C2249" t="s">
        <v>36</v>
      </c>
      <c r="D2249" t="s">
        <v>37</v>
      </c>
      <c r="E2249">
        <v>2</v>
      </c>
      <c r="G2249">
        <f t="shared" si="70"/>
        <v>0</v>
      </c>
      <c r="I2249">
        <f t="shared" si="71"/>
        <v>0</v>
      </c>
      <c r="J2249" s="1">
        <v>45631</v>
      </c>
      <c r="K2249" t="s">
        <v>15</v>
      </c>
      <c r="L2249" t="s">
        <v>23</v>
      </c>
      <c r="M2249">
        <v>2182.4899999999998</v>
      </c>
    </row>
    <row r="2250" spans="1:13" x14ac:dyDescent="0.25">
      <c r="A2250">
        <v>3248</v>
      </c>
      <c r="B2250" t="s">
        <v>2264</v>
      </c>
      <c r="C2250" t="s">
        <v>36</v>
      </c>
      <c r="D2250" t="s">
        <v>37</v>
      </c>
      <c r="E2250">
        <v>2</v>
      </c>
      <c r="F2250">
        <v>2061.91</v>
      </c>
      <c r="G2250">
        <f t="shared" si="70"/>
        <v>4123.82</v>
      </c>
      <c r="I2250">
        <f t="shared" si="71"/>
        <v>4123.82</v>
      </c>
      <c r="J2250" s="1">
        <v>45800</v>
      </c>
      <c r="K2250" t="s">
        <v>18</v>
      </c>
      <c r="L2250" t="s">
        <v>16</v>
      </c>
      <c r="M2250">
        <v>-729.1</v>
      </c>
    </row>
    <row r="2251" spans="1:13" x14ac:dyDescent="0.25">
      <c r="A2251">
        <v>3249</v>
      </c>
      <c r="B2251" t="s">
        <v>2265</v>
      </c>
      <c r="C2251" t="s">
        <v>31</v>
      </c>
      <c r="D2251" t="s">
        <v>32</v>
      </c>
      <c r="E2251">
        <v>2</v>
      </c>
      <c r="G2251">
        <f t="shared" si="70"/>
        <v>0</v>
      </c>
      <c r="I2251">
        <f t="shared" si="71"/>
        <v>0</v>
      </c>
      <c r="K2251" t="s">
        <v>15</v>
      </c>
      <c r="L2251" t="s">
        <v>16</v>
      </c>
      <c r="M2251">
        <v>1787.82</v>
      </c>
    </row>
    <row r="2252" spans="1:13" x14ac:dyDescent="0.25">
      <c r="A2252">
        <v>3250</v>
      </c>
      <c r="B2252" t="s">
        <v>2266</v>
      </c>
      <c r="C2252" t="s">
        <v>31</v>
      </c>
      <c r="D2252" t="s">
        <v>32</v>
      </c>
      <c r="E2252">
        <v>2</v>
      </c>
      <c r="G2252">
        <f t="shared" si="70"/>
        <v>0</v>
      </c>
      <c r="I2252">
        <f t="shared" si="71"/>
        <v>0</v>
      </c>
      <c r="K2252" t="s">
        <v>38</v>
      </c>
      <c r="L2252" t="s">
        <v>16</v>
      </c>
      <c r="M2252">
        <v>2200.6</v>
      </c>
    </row>
    <row r="2253" spans="1:13" x14ac:dyDescent="0.25">
      <c r="A2253">
        <v>3251</v>
      </c>
      <c r="B2253" t="s">
        <v>2267</v>
      </c>
      <c r="C2253" t="s">
        <v>36</v>
      </c>
      <c r="D2253" t="s">
        <v>55</v>
      </c>
      <c r="E2253">
        <v>2</v>
      </c>
      <c r="G2253">
        <f t="shared" si="70"/>
        <v>0</v>
      </c>
      <c r="I2253">
        <f t="shared" si="71"/>
        <v>0</v>
      </c>
      <c r="J2253" s="1">
        <v>45672</v>
      </c>
      <c r="K2253" t="s">
        <v>15</v>
      </c>
      <c r="L2253" t="s">
        <v>16</v>
      </c>
      <c r="M2253">
        <v>2977.81</v>
      </c>
    </row>
    <row r="2254" spans="1:13" x14ac:dyDescent="0.25">
      <c r="A2254">
        <v>3252</v>
      </c>
      <c r="B2254" t="s">
        <v>2268</v>
      </c>
      <c r="C2254" t="s">
        <v>25</v>
      </c>
      <c r="D2254" t="s">
        <v>62</v>
      </c>
      <c r="E2254">
        <v>2</v>
      </c>
      <c r="G2254">
        <f t="shared" si="70"/>
        <v>0</v>
      </c>
      <c r="I2254">
        <f t="shared" si="71"/>
        <v>0</v>
      </c>
      <c r="J2254" s="1">
        <v>45700</v>
      </c>
      <c r="K2254" t="s">
        <v>18</v>
      </c>
      <c r="L2254" t="s">
        <v>23</v>
      </c>
      <c r="M2254">
        <v>-544.70000000000005</v>
      </c>
    </row>
    <row r="2255" spans="1:13" x14ac:dyDescent="0.25">
      <c r="A2255">
        <v>3253</v>
      </c>
      <c r="B2255" t="s">
        <v>2269</v>
      </c>
      <c r="C2255" t="s">
        <v>20</v>
      </c>
      <c r="D2255" t="s">
        <v>76</v>
      </c>
      <c r="E2255">
        <v>5</v>
      </c>
      <c r="F2255">
        <v>4429.95</v>
      </c>
      <c r="G2255">
        <f t="shared" si="70"/>
        <v>22149.75</v>
      </c>
      <c r="H2255" s="3">
        <v>0.35</v>
      </c>
      <c r="I2255">
        <f t="shared" si="71"/>
        <v>14397.3375</v>
      </c>
      <c r="J2255" s="1">
        <v>45727</v>
      </c>
      <c r="K2255" t="s">
        <v>2517</v>
      </c>
      <c r="L2255" t="s">
        <v>16</v>
      </c>
      <c r="M2255">
        <v>-746.94</v>
      </c>
    </row>
    <row r="2256" spans="1:13" x14ac:dyDescent="0.25">
      <c r="A2256">
        <v>3254</v>
      </c>
      <c r="B2256" t="s">
        <v>2270</v>
      </c>
      <c r="C2256" t="s">
        <v>20</v>
      </c>
      <c r="D2256" t="s">
        <v>76</v>
      </c>
      <c r="E2256">
        <v>-2</v>
      </c>
      <c r="G2256">
        <f t="shared" si="70"/>
        <v>0</v>
      </c>
      <c r="H2256" s="3">
        <v>1.02</v>
      </c>
      <c r="I2256">
        <f t="shared" si="71"/>
        <v>0</v>
      </c>
      <c r="J2256" s="1">
        <v>45815</v>
      </c>
      <c r="K2256" t="s">
        <v>44</v>
      </c>
      <c r="L2256" t="s">
        <v>16</v>
      </c>
      <c r="M2256">
        <v>2285.19</v>
      </c>
    </row>
    <row r="2257" spans="1:13" x14ac:dyDescent="0.25">
      <c r="A2257">
        <v>3255</v>
      </c>
      <c r="B2257" t="s">
        <v>2271</v>
      </c>
      <c r="C2257" t="s">
        <v>28</v>
      </c>
      <c r="D2257" t="s">
        <v>116</v>
      </c>
      <c r="E2257">
        <v>6</v>
      </c>
      <c r="F2257">
        <v>3904.86</v>
      </c>
      <c r="G2257">
        <f t="shared" si="70"/>
        <v>23429.16</v>
      </c>
      <c r="I2257">
        <f t="shared" si="71"/>
        <v>23429.16</v>
      </c>
      <c r="J2257" s="1">
        <v>45630</v>
      </c>
      <c r="K2257" t="s">
        <v>22</v>
      </c>
      <c r="L2257" t="s">
        <v>16</v>
      </c>
      <c r="M2257">
        <v>1504.25</v>
      </c>
    </row>
    <row r="2258" spans="1:13" x14ac:dyDescent="0.25">
      <c r="A2258">
        <v>3256</v>
      </c>
      <c r="B2258" t="s">
        <v>2272</v>
      </c>
      <c r="C2258" t="s">
        <v>31</v>
      </c>
      <c r="D2258" t="s">
        <v>32</v>
      </c>
      <c r="E2258">
        <v>2</v>
      </c>
      <c r="G2258">
        <f t="shared" si="70"/>
        <v>0</v>
      </c>
      <c r="I2258">
        <f t="shared" si="71"/>
        <v>0</v>
      </c>
      <c r="J2258" s="1">
        <v>45860</v>
      </c>
      <c r="K2258" t="s">
        <v>22</v>
      </c>
      <c r="L2258" t="s">
        <v>23</v>
      </c>
      <c r="M2258">
        <v>298.94</v>
      </c>
    </row>
    <row r="2259" spans="1:13" x14ac:dyDescent="0.25">
      <c r="A2259">
        <v>3257</v>
      </c>
      <c r="B2259" t="s">
        <v>422</v>
      </c>
      <c r="C2259" t="s">
        <v>31</v>
      </c>
      <c r="D2259" t="s">
        <v>78</v>
      </c>
      <c r="E2259">
        <v>-2</v>
      </c>
      <c r="G2259">
        <f t="shared" si="70"/>
        <v>0</v>
      </c>
      <c r="I2259">
        <f t="shared" si="71"/>
        <v>0</v>
      </c>
      <c r="J2259" s="1">
        <v>45734</v>
      </c>
      <c r="K2259" t="s">
        <v>2517</v>
      </c>
      <c r="L2259" t="s">
        <v>23</v>
      </c>
      <c r="M2259">
        <v>-271.48</v>
      </c>
    </row>
    <row r="2260" spans="1:13" x14ac:dyDescent="0.25">
      <c r="A2260">
        <v>3258</v>
      </c>
      <c r="B2260" t="s">
        <v>2273</v>
      </c>
      <c r="C2260" t="s">
        <v>25</v>
      </c>
      <c r="D2260" t="s">
        <v>26</v>
      </c>
      <c r="E2260">
        <v>2</v>
      </c>
      <c r="G2260">
        <f t="shared" si="70"/>
        <v>0</v>
      </c>
      <c r="I2260">
        <f t="shared" si="71"/>
        <v>0</v>
      </c>
      <c r="J2260" s="1">
        <v>45722</v>
      </c>
      <c r="K2260" t="s">
        <v>18</v>
      </c>
      <c r="L2260" t="s">
        <v>23</v>
      </c>
      <c r="M2260">
        <v>682.17</v>
      </c>
    </row>
    <row r="2261" spans="1:13" x14ac:dyDescent="0.25">
      <c r="A2261">
        <v>3259</v>
      </c>
      <c r="B2261" t="s">
        <v>2274</v>
      </c>
      <c r="C2261" t="s">
        <v>25</v>
      </c>
      <c r="D2261" t="s">
        <v>82</v>
      </c>
      <c r="E2261">
        <v>2</v>
      </c>
      <c r="G2261">
        <f t="shared" si="70"/>
        <v>0</v>
      </c>
      <c r="I2261">
        <f t="shared" si="71"/>
        <v>0</v>
      </c>
      <c r="J2261" s="1">
        <v>45766</v>
      </c>
      <c r="K2261" t="s">
        <v>22</v>
      </c>
      <c r="L2261" t="s">
        <v>23</v>
      </c>
      <c r="M2261">
        <v>2448.2199999999998</v>
      </c>
    </row>
    <row r="2262" spans="1:13" x14ac:dyDescent="0.25">
      <c r="A2262">
        <v>1024</v>
      </c>
      <c r="B2262" t="s">
        <v>2275</v>
      </c>
      <c r="C2262" t="s">
        <v>28</v>
      </c>
      <c r="D2262" t="s">
        <v>116</v>
      </c>
      <c r="E2262">
        <v>-2</v>
      </c>
      <c r="F2262">
        <v>940.64</v>
      </c>
      <c r="G2262">
        <f t="shared" si="70"/>
        <v>-1881.28</v>
      </c>
      <c r="H2262" s="3">
        <v>0.67</v>
      </c>
      <c r="I2262">
        <f t="shared" si="71"/>
        <v>-620.8223999999999</v>
      </c>
      <c r="J2262" s="1">
        <v>45667</v>
      </c>
      <c r="K2262" t="s">
        <v>22</v>
      </c>
      <c r="L2262" t="s">
        <v>16</v>
      </c>
      <c r="M2262">
        <v>1552.9</v>
      </c>
    </row>
    <row r="2263" spans="1:13" x14ac:dyDescent="0.25">
      <c r="A2263">
        <v>3261</v>
      </c>
      <c r="B2263" t="s">
        <v>2276</v>
      </c>
      <c r="C2263" t="s">
        <v>20</v>
      </c>
      <c r="D2263" t="s">
        <v>84</v>
      </c>
      <c r="E2263">
        <v>-1</v>
      </c>
      <c r="G2263">
        <f t="shared" si="70"/>
        <v>0</v>
      </c>
      <c r="I2263">
        <f t="shared" si="71"/>
        <v>0</v>
      </c>
      <c r="J2263" s="1">
        <v>45789</v>
      </c>
      <c r="K2263" t="s">
        <v>44</v>
      </c>
      <c r="L2263" t="s">
        <v>16</v>
      </c>
      <c r="M2263">
        <v>-602.39</v>
      </c>
    </row>
    <row r="2264" spans="1:13" x14ac:dyDescent="0.25">
      <c r="A2264">
        <v>3262</v>
      </c>
      <c r="B2264" t="s">
        <v>2277</v>
      </c>
      <c r="C2264" t="s">
        <v>28</v>
      </c>
      <c r="D2264" t="s">
        <v>137</v>
      </c>
      <c r="E2264">
        <v>2</v>
      </c>
      <c r="F2264">
        <v>3727.53</v>
      </c>
      <c r="G2264">
        <f t="shared" si="70"/>
        <v>7455.06</v>
      </c>
      <c r="I2264">
        <f t="shared" si="71"/>
        <v>7455.06</v>
      </c>
      <c r="K2264" t="s">
        <v>18</v>
      </c>
      <c r="L2264" t="s">
        <v>16</v>
      </c>
      <c r="M2264">
        <v>29.62</v>
      </c>
    </row>
    <row r="2265" spans="1:13" x14ac:dyDescent="0.25">
      <c r="A2265">
        <v>3263</v>
      </c>
      <c r="B2265" t="s">
        <v>2278</v>
      </c>
      <c r="C2265" t="s">
        <v>25</v>
      </c>
      <c r="D2265" t="s">
        <v>51</v>
      </c>
      <c r="E2265">
        <v>6</v>
      </c>
      <c r="F2265">
        <v>3121.49</v>
      </c>
      <c r="G2265">
        <f t="shared" si="70"/>
        <v>18728.939999999999</v>
      </c>
      <c r="I2265">
        <f t="shared" si="71"/>
        <v>18728.939999999999</v>
      </c>
      <c r="J2265" s="1">
        <v>45678</v>
      </c>
      <c r="K2265" t="s">
        <v>38</v>
      </c>
      <c r="L2265" t="s">
        <v>23</v>
      </c>
      <c r="M2265">
        <v>1156.27</v>
      </c>
    </row>
    <row r="2266" spans="1:13" x14ac:dyDescent="0.25">
      <c r="A2266">
        <v>3264</v>
      </c>
      <c r="B2266" t="s">
        <v>2279</v>
      </c>
      <c r="C2266" t="s">
        <v>36</v>
      </c>
      <c r="D2266" t="s">
        <v>59</v>
      </c>
      <c r="E2266">
        <v>2</v>
      </c>
      <c r="F2266">
        <v>944.36</v>
      </c>
      <c r="G2266">
        <f t="shared" si="70"/>
        <v>1888.72</v>
      </c>
      <c r="H2266" s="3">
        <v>7.0000000000000007E-2</v>
      </c>
      <c r="I2266">
        <f t="shared" si="71"/>
        <v>1756.5095999999999</v>
      </c>
      <c r="J2266" s="1">
        <v>45831</v>
      </c>
      <c r="K2266" t="s">
        <v>2517</v>
      </c>
      <c r="L2266" t="s">
        <v>16</v>
      </c>
      <c r="M2266">
        <v>1133.74</v>
      </c>
    </row>
    <row r="2267" spans="1:13" x14ac:dyDescent="0.25">
      <c r="A2267">
        <v>3265</v>
      </c>
      <c r="B2267" t="s">
        <v>2280</v>
      </c>
      <c r="C2267" t="s">
        <v>20</v>
      </c>
      <c r="D2267" t="s">
        <v>118</v>
      </c>
      <c r="E2267">
        <v>-1</v>
      </c>
      <c r="F2267">
        <v>1882.93</v>
      </c>
      <c r="G2267">
        <f t="shared" si="70"/>
        <v>-1882.93</v>
      </c>
      <c r="I2267">
        <f t="shared" si="71"/>
        <v>-1882.93</v>
      </c>
      <c r="J2267" s="1">
        <v>45835</v>
      </c>
      <c r="K2267" t="s">
        <v>38</v>
      </c>
      <c r="L2267" t="s">
        <v>23</v>
      </c>
      <c r="M2267">
        <v>520.85</v>
      </c>
    </row>
    <row r="2268" spans="1:13" x14ac:dyDescent="0.25">
      <c r="A2268">
        <v>3266</v>
      </c>
      <c r="B2268" t="s">
        <v>2281</v>
      </c>
      <c r="C2268" t="s">
        <v>31</v>
      </c>
      <c r="D2268" t="s">
        <v>68</v>
      </c>
      <c r="E2268">
        <v>2</v>
      </c>
      <c r="F2268">
        <v>3349.58</v>
      </c>
      <c r="G2268">
        <f t="shared" si="70"/>
        <v>6699.16</v>
      </c>
      <c r="I2268">
        <f t="shared" si="71"/>
        <v>6699.16</v>
      </c>
      <c r="K2268" t="s">
        <v>22</v>
      </c>
      <c r="L2268" t="s">
        <v>23</v>
      </c>
      <c r="M2268">
        <v>1085.2</v>
      </c>
    </row>
    <row r="2269" spans="1:13" x14ac:dyDescent="0.25">
      <c r="A2269">
        <v>3267</v>
      </c>
      <c r="B2269" t="s">
        <v>2282</v>
      </c>
      <c r="C2269" t="s">
        <v>36</v>
      </c>
      <c r="D2269" t="s">
        <v>55</v>
      </c>
      <c r="E2269">
        <v>1</v>
      </c>
      <c r="F2269">
        <v>3965.8</v>
      </c>
      <c r="G2269">
        <f t="shared" si="70"/>
        <v>3965.8</v>
      </c>
      <c r="H2269" s="3">
        <v>0.48</v>
      </c>
      <c r="I2269">
        <f t="shared" si="71"/>
        <v>2062.2160000000003</v>
      </c>
      <c r="J2269" s="1">
        <v>45587</v>
      </c>
      <c r="K2269" t="s">
        <v>38</v>
      </c>
      <c r="L2269" t="s">
        <v>23</v>
      </c>
      <c r="M2269">
        <v>1222.8499999999999</v>
      </c>
    </row>
    <row r="2270" spans="1:13" x14ac:dyDescent="0.25">
      <c r="A2270">
        <v>1045</v>
      </c>
      <c r="B2270" t="s">
        <v>2283</v>
      </c>
      <c r="C2270" t="s">
        <v>28</v>
      </c>
      <c r="D2270" t="s">
        <v>40</v>
      </c>
      <c r="E2270">
        <v>-2</v>
      </c>
      <c r="G2270">
        <f t="shared" si="70"/>
        <v>0</v>
      </c>
      <c r="I2270">
        <f t="shared" si="71"/>
        <v>0</v>
      </c>
      <c r="J2270" s="1">
        <v>45347</v>
      </c>
      <c r="K2270" t="s">
        <v>44</v>
      </c>
      <c r="L2270" t="s">
        <v>16</v>
      </c>
      <c r="M2270">
        <v>454.74</v>
      </c>
    </row>
    <row r="2271" spans="1:13" x14ac:dyDescent="0.25">
      <c r="A2271">
        <v>3269</v>
      </c>
      <c r="B2271" t="s">
        <v>2284</v>
      </c>
      <c r="C2271" t="s">
        <v>31</v>
      </c>
      <c r="D2271" t="s">
        <v>32</v>
      </c>
      <c r="E2271">
        <v>2</v>
      </c>
      <c r="F2271">
        <v>2998.25</v>
      </c>
      <c r="G2271">
        <f t="shared" si="70"/>
        <v>5996.5</v>
      </c>
      <c r="H2271" s="3">
        <v>1.19</v>
      </c>
      <c r="I2271">
        <f t="shared" si="71"/>
        <v>-1139.3349999999996</v>
      </c>
      <c r="J2271" s="1">
        <v>45380</v>
      </c>
      <c r="K2271" t="s">
        <v>18</v>
      </c>
      <c r="L2271" t="s">
        <v>16</v>
      </c>
      <c r="M2271">
        <v>-781.65</v>
      </c>
    </row>
    <row r="2272" spans="1:13" x14ac:dyDescent="0.25">
      <c r="A2272">
        <v>3270</v>
      </c>
      <c r="B2272" t="s">
        <v>2285</v>
      </c>
      <c r="C2272" t="s">
        <v>31</v>
      </c>
      <c r="D2272" t="s">
        <v>42</v>
      </c>
      <c r="E2272">
        <v>3</v>
      </c>
      <c r="F2272">
        <v>3190.74</v>
      </c>
      <c r="G2272">
        <f t="shared" si="70"/>
        <v>9572.2199999999993</v>
      </c>
      <c r="H2272" s="3">
        <v>0.96</v>
      </c>
      <c r="I2272">
        <f t="shared" si="71"/>
        <v>382.88880000000029</v>
      </c>
      <c r="K2272" t="s">
        <v>18</v>
      </c>
      <c r="L2272" t="s">
        <v>16</v>
      </c>
      <c r="M2272">
        <v>2195.96</v>
      </c>
    </row>
    <row r="2273" spans="1:13" x14ac:dyDescent="0.25">
      <c r="A2273">
        <v>3271</v>
      </c>
      <c r="B2273" t="s">
        <v>2286</v>
      </c>
      <c r="C2273" t="s">
        <v>28</v>
      </c>
      <c r="D2273" t="s">
        <v>116</v>
      </c>
      <c r="E2273">
        <v>0</v>
      </c>
      <c r="F2273">
        <v>2672.26</v>
      </c>
      <c r="G2273">
        <f t="shared" si="70"/>
        <v>0</v>
      </c>
      <c r="H2273" s="3">
        <v>0.28999999999999998</v>
      </c>
      <c r="I2273">
        <f t="shared" si="71"/>
        <v>0</v>
      </c>
      <c r="J2273" s="1">
        <v>45662</v>
      </c>
      <c r="K2273" t="s">
        <v>18</v>
      </c>
      <c r="L2273" t="s">
        <v>16</v>
      </c>
      <c r="M2273">
        <v>722.57</v>
      </c>
    </row>
    <row r="2274" spans="1:13" x14ac:dyDescent="0.25">
      <c r="A2274">
        <v>3272</v>
      </c>
      <c r="B2274" t="s">
        <v>1629</v>
      </c>
      <c r="C2274" t="s">
        <v>25</v>
      </c>
      <c r="D2274" t="s">
        <v>82</v>
      </c>
      <c r="E2274">
        <v>3</v>
      </c>
      <c r="F2274">
        <v>4236.45</v>
      </c>
      <c r="G2274">
        <f t="shared" si="70"/>
        <v>12709.349999999999</v>
      </c>
      <c r="I2274">
        <f t="shared" si="71"/>
        <v>12709.349999999999</v>
      </c>
      <c r="J2274" s="1">
        <v>45531</v>
      </c>
      <c r="K2274" t="s">
        <v>22</v>
      </c>
      <c r="L2274" t="s">
        <v>16</v>
      </c>
      <c r="M2274">
        <v>-849.83</v>
      </c>
    </row>
    <row r="2275" spans="1:13" x14ac:dyDescent="0.25">
      <c r="A2275">
        <v>3273</v>
      </c>
      <c r="B2275" t="s">
        <v>1297</v>
      </c>
      <c r="C2275" t="s">
        <v>25</v>
      </c>
      <c r="D2275" t="s">
        <v>82</v>
      </c>
      <c r="E2275">
        <v>2</v>
      </c>
      <c r="F2275">
        <v>4089.68</v>
      </c>
      <c r="G2275">
        <f t="shared" si="70"/>
        <v>8179.36</v>
      </c>
      <c r="I2275">
        <f t="shared" si="71"/>
        <v>8179.36</v>
      </c>
      <c r="J2275" s="1">
        <v>45516</v>
      </c>
      <c r="K2275" t="s">
        <v>38</v>
      </c>
      <c r="L2275" t="s">
        <v>23</v>
      </c>
      <c r="M2275">
        <v>-713.14</v>
      </c>
    </row>
    <row r="2276" spans="1:13" x14ac:dyDescent="0.25">
      <c r="A2276">
        <v>3274</v>
      </c>
      <c r="B2276" t="s">
        <v>2287</v>
      </c>
      <c r="C2276" t="s">
        <v>36</v>
      </c>
      <c r="D2276" t="s">
        <v>37</v>
      </c>
      <c r="E2276">
        <v>-2</v>
      </c>
      <c r="F2276">
        <v>4409.22</v>
      </c>
      <c r="G2276">
        <f t="shared" si="70"/>
        <v>-8818.44</v>
      </c>
      <c r="I2276">
        <f t="shared" si="71"/>
        <v>-8818.44</v>
      </c>
      <c r="J2276" s="1">
        <v>45534</v>
      </c>
      <c r="K2276" t="s">
        <v>15</v>
      </c>
      <c r="L2276" t="s">
        <v>16</v>
      </c>
      <c r="M2276">
        <v>2886.62</v>
      </c>
    </row>
    <row r="2277" spans="1:13" x14ac:dyDescent="0.25">
      <c r="A2277">
        <v>3275</v>
      </c>
      <c r="B2277" t="s">
        <v>2288</v>
      </c>
      <c r="C2277" t="s">
        <v>28</v>
      </c>
      <c r="D2277" t="s">
        <v>116</v>
      </c>
      <c r="E2277">
        <v>6</v>
      </c>
      <c r="G2277">
        <f t="shared" si="70"/>
        <v>0</v>
      </c>
      <c r="I2277">
        <f t="shared" si="71"/>
        <v>0</v>
      </c>
      <c r="J2277" s="1">
        <v>45520</v>
      </c>
      <c r="K2277" t="s">
        <v>18</v>
      </c>
      <c r="L2277" t="s">
        <v>16</v>
      </c>
      <c r="M2277">
        <v>-733.06</v>
      </c>
    </row>
    <row r="2278" spans="1:13" x14ac:dyDescent="0.25">
      <c r="A2278">
        <v>3276</v>
      </c>
      <c r="B2278" t="s">
        <v>2289</v>
      </c>
      <c r="C2278" t="s">
        <v>31</v>
      </c>
      <c r="D2278" t="s">
        <v>42</v>
      </c>
      <c r="E2278">
        <v>6</v>
      </c>
      <c r="G2278">
        <f t="shared" si="70"/>
        <v>0</v>
      </c>
      <c r="I2278">
        <f t="shared" si="71"/>
        <v>0</v>
      </c>
      <c r="J2278" s="1">
        <v>45664</v>
      </c>
      <c r="K2278" t="s">
        <v>44</v>
      </c>
      <c r="L2278" t="s">
        <v>16</v>
      </c>
      <c r="M2278">
        <v>-659.65</v>
      </c>
    </row>
    <row r="2279" spans="1:13" x14ac:dyDescent="0.25">
      <c r="A2279">
        <v>3277</v>
      </c>
      <c r="B2279" t="s">
        <v>2290</v>
      </c>
      <c r="C2279" t="s">
        <v>20</v>
      </c>
      <c r="D2279" t="s">
        <v>84</v>
      </c>
      <c r="E2279">
        <v>2</v>
      </c>
      <c r="F2279">
        <v>3583.06</v>
      </c>
      <c r="G2279">
        <f t="shared" si="70"/>
        <v>7166.12</v>
      </c>
      <c r="I2279">
        <f t="shared" si="71"/>
        <v>7166.12</v>
      </c>
      <c r="K2279" t="s">
        <v>18</v>
      </c>
      <c r="L2279" t="s">
        <v>16</v>
      </c>
      <c r="M2279">
        <v>2185.25</v>
      </c>
    </row>
    <row r="2280" spans="1:13" x14ac:dyDescent="0.25">
      <c r="A2280">
        <v>3278</v>
      </c>
      <c r="B2280" t="s">
        <v>2291</v>
      </c>
      <c r="C2280" t="s">
        <v>28</v>
      </c>
      <c r="D2280" t="s">
        <v>29</v>
      </c>
      <c r="E2280">
        <v>2</v>
      </c>
      <c r="F2280">
        <v>3767.69</v>
      </c>
      <c r="G2280">
        <f t="shared" si="70"/>
        <v>7535.38</v>
      </c>
      <c r="H2280" s="3">
        <v>0.46</v>
      </c>
      <c r="I2280">
        <f t="shared" si="71"/>
        <v>4069.1052000000004</v>
      </c>
      <c r="J2280" s="1">
        <v>45556</v>
      </c>
      <c r="K2280" t="s">
        <v>38</v>
      </c>
      <c r="L2280" t="s">
        <v>16</v>
      </c>
      <c r="M2280">
        <v>746.84</v>
      </c>
    </row>
    <row r="2281" spans="1:13" x14ac:dyDescent="0.25">
      <c r="A2281">
        <v>3279</v>
      </c>
      <c r="B2281" t="s">
        <v>2292</v>
      </c>
      <c r="C2281" t="s">
        <v>28</v>
      </c>
      <c r="D2281" t="s">
        <v>116</v>
      </c>
      <c r="E2281">
        <v>0</v>
      </c>
      <c r="F2281">
        <v>4643.96</v>
      </c>
      <c r="G2281">
        <f t="shared" si="70"/>
        <v>0</v>
      </c>
      <c r="H2281" s="3">
        <v>0.82</v>
      </c>
      <c r="I2281">
        <f t="shared" si="71"/>
        <v>0</v>
      </c>
      <c r="J2281" s="1">
        <v>45553</v>
      </c>
      <c r="K2281" t="s">
        <v>38</v>
      </c>
      <c r="L2281" t="s">
        <v>16</v>
      </c>
      <c r="M2281">
        <v>2569.86</v>
      </c>
    </row>
    <row r="2282" spans="1:13" x14ac:dyDescent="0.25">
      <c r="A2282">
        <v>3280</v>
      </c>
      <c r="B2282" t="s">
        <v>2293</v>
      </c>
      <c r="C2282" t="s">
        <v>36</v>
      </c>
      <c r="D2282" t="s">
        <v>59</v>
      </c>
      <c r="E2282">
        <v>2</v>
      </c>
      <c r="G2282">
        <f t="shared" si="70"/>
        <v>0</v>
      </c>
      <c r="I2282">
        <f t="shared" si="71"/>
        <v>0</v>
      </c>
      <c r="J2282" s="1">
        <v>45211</v>
      </c>
      <c r="K2282" t="s">
        <v>2517</v>
      </c>
      <c r="L2282" t="s">
        <v>16</v>
      </c>
      <c r="M2282">
        <v>601.65</v>
      </c>
    </row>
    <row r="2283" spans="1:13" x14ac:dyDescent="0.25">
      <c r="A2283">
        <v>3281</v>
      </c>
      <c r="B2283" t="s">
        <v>2294</v>
      </c>
      <c r="C2283" t="s">
        <v>20</v>
      </c>
      <c r="D2283" t="s">
        <v>76</v>
      </c>
      <c r="E2283">
        <v>2</v>
      </c>
      <c r="G2283">
        <f t="shared" si="70"/>
        <v>0</v>
      </c>
      <c r="H2283" s="3">
        <v>0.23</v>
      </c>
      <c r="I2283">
        <f t="shared" si="71"/>
        <v>0</v>
      </c>
      <c r="J2283" s="1">
        <v>45387</v>
      </c>
      <c r="K2283" t="s">
        <v>38</v>
      </c>
      <c r="L2283" t="s">
        <v>16</v>
      </c>
      <c r="M2283">
        <v>1469.72</v>
      </c>
    </row>
    <row r="2284" spans="1:13" x14ac:dyDescent="0.25">
      <c r="A2284">
        <v>3282</v>
      </c>
      <c r="B2284" t="s">
        <v>2295</v>
      </c>
      <c r="C2284" t="s">
        <v>13</v>
      </c>
      <c r="D2284" t="s">
        <v>98</v>
      </c>
      <c r="E2284">
        <v>2</v>
      </c>
      <c r="F2284">
        <v>4405.96</v>
      </c>
      <c r="G2284">
        <f t="shared" si="70"/>
        <v>8811.92</v>
      </c>
      <c r="H2284" s="3">
        <v>0.28000000000000003</v>
      </c>
      <c r="I2284">
        <f t="shared" si="71"/>
        <v>6344.5824000000002</v>
      </c>
      <c r="J2284" s="1">
        <v>45528</v>
      </c>
      <c r="K2284" t="s">
        <v>38</v>
      </c>
      <c r="L2284" t="s">
        <v>23</v>
      </c>
      <c r="M2284">
        <v>503.27</v>
      </c>
    </row>
    <row r="2285" spans="1:13" x14ac:dyDescent="0.25">
      <c r="A2285">
        <v>3283</v>
      </c>
      <c r="B2285" t="s">
        <v>2296</v>
      </c>
      <c r="C2285" t="s">
        <v>36</v>
      </c>
      <c r="D2285" t="s">
        <v>37</v>
      </c>
      <c r="E2285">
        <v>3</v>
      </c>
      <c r="G2285">
        <f t="shared" si="70"/>
        <v>0</v>
      </c>
      <c r="I2285">
        <f t="shared" si="71"/>
        <v>0</v>
      </c>
      <c r="K2285" t="s">
        <v>22</v>
      </c>
      <c r="L2285" t="s">
        <v>16</v>
      </c>
      <c r="M2285">
        <v>1653.09</v>
      </c>
    </row>
    <row r="2286" spans="1:13" x14ac:dyDescent="0.25">
      <c r="A2286">
        <v>3284</v>
      </c>
      <c r="B2286" t="s">
        <v>2297</v>
      </c>
      <c r="C2286" t="s">
        <v>28</v>
      </c>
      <c r="D2286" t="s">
        <v>40</v>
      </c>
      <c r="E2286">
        <v>2</v>
      </c>
      <c r="G2286">
        <f t="shared" si="70"/>
        <v>0</v>
      </c>
      <c r="I2286">
        <f t="shared" si="71"/>
        <v>0</v>
      </c>
      <c r="J2286" s="1">
        <v>45735</v>
      </c>
      <c r="K2286" t="s">
        <v>15</v>
      </c>
      <c r="L2286" t="s">
        <v>16</v>
      </c>
      <c r="M2286">
        <v>1560.64</v>
      </c>
    </row>
    <row r="2287" spans="1:13" x14ac:dyDescent="0.25">
      <c r="A2287">
        <v>3285</v>
      </c>
      <c r="B2287" t="s">
        <v>2298</v>
      </c>
      <c r="C2287" t="s">
        <v>31</v>
      </c>
      <c r="D2287" t="s">
        <v>78</v>
      </c>
      <c r="E2287">
        <v>0</v>
      </c>
      <c r="F2287">
        <v>4347.43</v>
      </c>
      <c r="G2287">
        <f t="shared" si="70"/>
        <v>0</v>
      </c>
      <c r="I2287">
        <f t="shared" si="71"/>
        <v>0</v>
      </c>
      <c r="J2287" s="1">
        <v>45709</v>
      </c>
      <c r="K2287" t="s">
        <v>15</v>
      </c>
      <c r="L2287" t="s">
        <v>16</v>
      </c>
      <c r="M2287">
        <v>1440.27</v>
      </c>
    </row>
    <row r="2288" spans="1:13" x14ac:dyDescent="0.25">
      <c r="A2288">
        <v>3286</v>
      </c>
      <c r="B2288" t="s">
        <v>2299</v>
      </c>
      <c r="C2288" t="s">
        <v>20</v>
      </c>
      <c r="D2288" t="s">
        <v>84</v>
      </c>
      <c r="E2288">
        <v>-2</v>
      </c>
      <c r="G2288">
        <f t="shared" si="70"/>
        <v>0</v>
      </c>
      <c r="I2288">
        <f t="shared" si="71"/>
        <v>0</v>
      </c>
      <c r="J2288" s="1">
        <v>45852</v>
      </c>
      <c r="K2288" t="s">
        <v>2517</v>
      </c>
      <c r="L2288" t="s">
        <v>16</v>
      </c>
      <c r="M2288">
        <v>2616.2800000000002</v>
      </c>
    </row>
    <row r="2289" spans="1:13" x14ac:dyDescent="0.25">
      <c r="A2289">
        <v>3287</v>
      </c>
      <c r="B2289" t="s">
        <v>214</v>
      </c>
      <c r="C2289" t="s">
        <v>20</v>
      </c>
      <c r="D2289" t="s">
        <v>118</v>
      </c>
      <c r="E2289">
        <v>2</v>
      </c>
      <c r="G2289">
        <f t="shared" si="70"/>
        <v>0</v>
      </c>
      <c r="H2289" s="3">
        <v>0.21</v>
      </c>
      <c r="I2289">
        <f t="shared" si="71"/>
        <v>0</v>
      </c>
      <c r="J2289" s="1">
        <v>45713</v>
      </c>
      <c r="K2289" t="s">
        <v>38</v>
      </c>
      <c r="L2289" t="s">
        <v>16</v>
      </c>
      <c r="M2289">
        <v>1684.69</v>
      </c>
    </row>
    <row r="2290" spans="1:13" x14ac:dyDescent="0.25">
      <c r="A2290">
        <v>3288</v>
      </c>
      <c r="B2290" t="s">
        <v>2300</v>
      </c>
      <c r="C2290" t="s">
        <v>20</v>
      </c>
      <c r="D2290" t="s">
        <v>76</v>
      </c>
      <c r="E2290">
        <v>5</v>
      </c>
      <c r="G2290">
        <f t="shared" si="70"/>
        <v>0</v>
      </c>
      <c r="I2290">
        <f t="shared" si="71"/>
        <v>0</v>
      </c>
      <c r="K2290" t="s">
        <v>38</v>
      </c>
      <c r="L2290" t="s">
        <v>16</v>
      </c>
      <c r="M2290">
        <v>1657.65</v>
      </c>
    </row>
    <row r="2291" spans="1:13" x14ac:dyDescent="0.25">
      <c r="A2291">
        <v>3289</v>
      </c>
      <c r="B2291" t="s">
        <v>2301</v>
      </c>
      <c r="C2291" t="s">
        <v>28</v>
      </c>
      <c r="D2291" t="s">
        <v>40</v>
      </c>
      <c r="E2291">
        <v>2</v>
      </c>
      <c r="G2291">
        <f t="shared" si="70"/>
        <v>0</v>
      </c>
      <c r="H2291" s="3">
        <v>1.08</v>
      </c>
      <c r="I2291">
        <f t="shared" si="71"/>
        <v>0</v>
      </c>
      <c r="K2291" t="s">
        <v>18</v>
      </c>
      <c r="L2291" t="s">
        <v>23</v>
      </c>
      <c r="M2291">
        <v>-272.83999999999997</v>
      </c>
    </row>
    <row r="2292" spans="1:13" x14ac:dyDescent="0.25">
      <c r="A2292">
        <v>3290</v>
      </c>
      <c r="B2292" t="s">
        <v>1287</v>
      </c>
      <c r="C2292" t="s">
        <v>20</v>
      </c>
      <c r="D2292" t="s">
        <v>21</v>
      </c>
      <c r="E2292">
        <v>2</v>
      </c>
      <c r="G2292">
        <f t="shared" si="70"/>
        <v>0</v>
      </c>
      <c r="I2292">
        <f t="shared" si="71"/>
        <v>0</v>
      </c>
      <c r="J2292" s="1">
        <v>45828</v>
      </c>
      <c r="K2292" t="s">
        <v>44</v>
      </c>
      <c r="L2292" t="s">
        <v>23</v>
      </c>
      <c r="M2292">
        <v>1001.31</v>
      </c>
    </row>
    <row r="2293" spans="1:13" x14ac:dyDescent="0.25">
      <c r="A2293">
        <v>3291</v>
      </c>
      <c r="B2293" t="s">
        <v>2302</v>
      </c>
      <c r="C2293" t="s">
        <v>28</v>
      </c>
      <c r="D2293" t="s">
        <v>29</v>
      </c>
      <c r="E2293">
        <v>3</v>
      </c>
      <c r="G2293">
        <f t="shared" si="70"/>
        <v>0</v>
      </c>
      <c r="H2293" s="3">
        <v>0.27</v>
      </c>
      <c r="I2293">
        <f t="shared" si="71"/>
        <v>0</v>
      </c>
      <c r="J2293" s="1">
        <v>45625</v>
      </c>
      <c r="K2293" t="s">
        <v>15</v>
      </c>
      <c r="L2293" t="s">
        <v>16</v>
      </c>
      <c r="M2293">
        <v>1907.94</v>
      </c>
    </row>
    <row r="2294" spans="1:13" x14ac:dyDescent="0.25">
      <c r="A2294">
        <v>3292</v>
      </c>
      <c r="B2294" t="s">
        <v>2303</v>
      </c>
      <c r="C2294" t="s">
        <v>31</v>
      </c>
      <c r="D2294" t="s">
        <v>42</v>
      </c>
      <c r="E2294">
        <v>2</v>
      </c>
      <c r="G2294">
        <f t="shared" si="70"/>
        <v>0</v>
      </c>
      <c r="H2294" s="3">
        <v>0.5</v>
      </c>
      <c r="I2294">
        <f t="shared" si="71"/>
        <v>0</v>
      </c>
      <c r="J2294" s="1">
        <v>45378</v>
      </c>
      <c r="K2294" t="s">
        <v>2517</v>
      </c>
      <c r="L2294" t="s">
        <v>23</v>
      </c>
      <c r="M2294">
        <v>-774.38</v>
      </c>
    </row>
    <row r="2295" spans="1:13" x14ac:dyDescent="0.25">
      <c r="A2295">
        <v>1045</v>
      </c>
      <c r="B2295" t="s">
        <v>2304</v>
      </c>
      <c r="C2295" t="s">
        <v>31</v>
      </c>
      <c r="D2295" t="s">
        <v>78</v>
      </c>
      <c r="E2295">
        <v>4</v>
      </c>
      <c r="G2295">
        <f t="shared" si="70"/>
        <v>0</v>
      </c>
      <c r="H2295" s="3">
        <v>0.98</v>
      </c>
      <c r="I2295">
        <f t="shared" si="71"/>
        <v>0</v>
      </c>
      <c r="J2295" s="1">
        <v>45762</v>
      </c>
      <c r="K2295" t="s">
        <v>44</v>
      </c>
      <c r="L2295" t="s">
        <v>16</v>
      </c>
      <c r="M2295">
        <v>1009.78</v>
      </c>
    </row>
    <row r="2296" spans="1:13" x14ac:dyDescent="0.25">
      <c r="A2296">
        <v>3294</v>
      </c>
      <c r="B2296" t="s">
        <v>2305</v>
      </c>
      <c r="C2296" t="s">
        <v>31</v>
      </c>
      <c r="D2296" t="s">
        <v>42</v>
      </c>
      <c r="E2296">
        <v>4</v>
      </c>
      <c r="F2296">
        <v>1316.9</v>
      </c>
      <c r="G2296">
        <f t="shared" si="70"/>
        <v>5267.6</v>
      </c>
      <c r="H2296" s="3">
        <v>0.11</v>
      </c>
      <c r="I2296">
        <f t="shared" si="71"/>
        <v>4688.1640000000007</v>
      </c>
      <c r="J2296" s="1">
        <v>45550</v>
      </c>
      <c r="K2296" t="s">
        <v>15</v>
      </c>
      <c r="L2296" t="s">
        <v>16</v>
      </c>
      <c r="M2296">
        <v>2743.65</v>
      </c>
    </row>
    <row r="2297" spans="1:13" x14ac:dyDescent="0.25">
      <c r="A2297">
        <v>3295</v>
      </c>
      <c r="B2297" t="s">
        <v>2306</v>
      </c>
      <c r="C2297" t="s">
        <v>31</v>
      </c>
      <c r="D2297" t="s">
        <v>32</v>
      </c>
      <c r="E2297">
        <v>2</v>
      </c>
      <c r="G2297">
        <f t="shared" si="70"/>
        <v>0</v>
      </c>
      <c r="I2297">
        <f t="shared" si="71"/>
        <v>0</v>
      </c>
      <c r="K2297" t="s">
        <v>2517</v>
      </c>
      <c r="L2297" t="s">
        <v>16</v>
      </c>
      <c r="M2297">
        <v>-623.54999999999995</v>
      </c>
    </row>
    <row r="2298" spans="1:13" x14ac:dyDescent="0.25">
      <c r="A2298">
        <v>1022</v>
      </c>
      <c r="B2298" t="s">
        <v>2307</v>
      </c>
      <c r="C2298" t="s">
        <v>31</v>
      </c>
      <c r="D2298" t="s">
        <v>32</v>
      </c>
      <c r="E2298">
        <v>5</v>
      </c>
      <c r="G2298">
        <f t="shared" si="70"/>
        <v>0</v>
      </c>
      <c r="H2298" s="3">
        <v>0.39</v>
      </c>
      <c r="I2298">
        <f t="shared" si="71"/>
        <v>0</v>
      </c>
      <c r="K2298" t="s">
        <v>18</v>
      </c>
      <c r="L2298" t="s">
        <v>23</v>
      </c>
      <c r="M2298">
        <v>-63</v>
      </c>
    </row>
    <row r="2299" spans="1:13" x14ac:dyDescent="0.25">
      <c r="A2299">
        <v>3297</v>
      </c>
      <c r="B2299" t="s">
        <v>2308</v>
      </c>
      <c r="C2299" t="s">
        <v>25</v>
      </c>
      <c r="D2299" t="s">
        <v>62</v>
      </c>
      <c r="E2299">
        <v>2</v>
      </c>
      <c r="G2299">
        <f t="shared" si="70"/>
        <v>0</v>
      </c>
      <c r="I2299">
        <f t="shared" si="71"/>
        <v>0</v>
      </c>
      <c r="J2299" s="1">
        <v>45678</v>
      </c>
      <c r="K2299" t="s">
        <v>15</v>
      </c>
      <c r="L2299" t="s">
        <v>16</v>
      </c>
      <c r="M2299">
        <v>1746.36</v>
      </c>
    </row>
    <row r="2300" spans="1:13" x14ac:dyDescent="0.25">
      <c r="A2300">
        <v>3298</v>
      </c>
      <c r="B2300" t="s">
        <v>2309</v>
      </c>
      <c r="C2300" t="s">
        <v>28</v>
      </c>
      <c r="D2300" t="s">
        <v>29</v>
      </c>
      <c r="E2300">
        <v>1</v>
      </c>
      <c r="F2300">
        <v>2124.13</v>
      </c>
      <c r="G2300">
        <f t="shared" si="70"/>
        <v>2124.13</v>
      </c>
      <c r="H2300" s="3">
        <v>0.85</v>
      </c>
      <c r="I2300">
        <f t="shared" si="71"/>
        <v>318.61950000000007</v>
      </c>
      <c r="J2300" s="1">
        <v>45507</v>
      </c>
      <c r="K2300" t="s">
        <v>2517</v>
      </c>
      <c r="L2300" t="s">
        <v>16</v>
      </c>
      <c r="M2300">
        <v>1126.81</v>
      </c>
    </row>
    <row r="2301" spans="1:13" x14ac:dyDescent="0.25">
      <c r="A2301">
        <v>3299</v>
      </c>
      <c r="B2301" t="s">
        <v>2310</v>
      </c>
      <c r="C2301" t="s">
        <v>20</v>
      </c>
      <c r="D2301" t="s">
        <v>118</v>
      </c>
      <c r="E2301">
        <v>-1</v>
      </c>
      <c r="F2301">
        <v>4090.34</v>
      </c>
      <c r="G2301">
        <f t="shared" si="70"/>
        <v>-4090.34</v>
      </c>
      <c r="H2301" s="3">
        <v>0.99</v>
      </c>
      <c r="I2301">
        <f t="shared" si="71"/>
        <v>-40.90340000000004</v>
      </c>
      <c r="J2301" s="1">
        <v>45809</v>
      </c>
      <c r="K2301" t="s">
        <v>22</v>
      </c>
      <c r="L2301" t="s">
        <v>23</v>
      </c>
      <c r="M2301">
        <v>1676.64</v>
      </c>
    </row>
    <row r="2302" spans="1:13" x14ac:dyDescent="0.25">
      <c r="A2302">
        <v>3300</v>
      </c>
      <c r="B2302" t="s">
        <v>2311</v>
      </c>
      <c r="C2302" t="s">
        <v>28</v>
      </c>
      <c r="D2302" t="s">
        <v>40</v>
      </c>
      <c r="E2302">
        <v>5</v>
      </c>
      <c r="G2302">
        <f t="shared" si="70"/>
        <v>0</v>
      </c>
      <c r="H2302" s="3">
        <v>1.06</v>
      </c>
      <c r="I2302">
        <f t="shared" si="71"/>
        <v>0</v>
      </c>
      <c r="K2302" t="s">
        <v>38</v>
      </c>
      <c r="L2302" t="s">
        <v>16</v>
      </c>
      <c r="M2302">
        <v>525.1</v>
      </c>
    </row>
    <row r="2303" spans="1:13" x14ac:dyDescent="0.25">
      <c r="A2303">
        <v>3301</v>
      </c>
      <c r="B2303" t="s">
        <v>2312</v>
      </c>
      <c r="C2303" t="s">
        <v>31</v>
      </c>
      <c r="D2303" t="s">
        <v>78</v>
      </c>
      <c r="E2303">
        <v>5</v>
      </c>
      <c r="F2303">
        <v>2590.44</v>
      </c>
      <c r="G2303">
        <f t="shared" si="70"/>
        <v>12952.2</v>
      </c>
      <c r="I2303">
        <f t="shared" si="71"/>
        <v>12952.2</v>
      </c>
      <c r="J2303" s="1">
        <v>45514</v>
      </c>
      <c r="K2303" t="s">
        <v>2517</v>
      </c>
      <c r="L2303" t="s">
        <v>16</v>
      </c>
      <c r="M2303">
        <v>-613.96</v>
      </c>
    </row>
    <row r="2304" spans="1:13" x14ac:dyDescent="0.25">
      <c r="A2304">
        <v>3302</v>
      </c>
      <c r="B2304" t="s">
        <v>2313</v>
      </c>
      <c r="C2304" t="s">
        <v>13</v>
      </c>
      <c r="D2304" t="s">
        <v>47</v>
      </c>
      <c r="E2304">
        <v>3</v>
      </c>
      <c r="G2304">
        <f t="shared" si="70"/>
        <v>0</v>
      </c>
      <c r="I2304">
        <f t="shared" si="71"/>
        <v>0</v>
      </c>
      <c r="J2304" s="1">
        <v>45804</v>
      </c>
      <c r="K2304" t="s">
        <v>15</v>
      </c>
      <c r="L2304" t="s">
        <v>23</v>
      </c>
      <c r="M2304">
        <v>2938.26</v>
      </c>
    </row>
    <row r="2305" spans="1:13" x14ac:dyDescent="0.25">
      <c r="A2305">
        <v>3303</v>
      </c>
      <c r="B2305" t="s">
        <v>2314</v>
      </c>
      <c r="C2305" t="s">
        <v>25</v>
      </c>
      <c r="D2305" t="s">
        <v>62</v>
      </c>
      <c r="E2305">
        <v>2</v>
      </c>
      <c r="G2305">
        <f t="shared" si="70"/>
        <v>0</v>
      </c>
      <c r="I2305">
        <f t="shared" si="71"/>
        <v>0</v>
      </c>
      <c r="J2305" s="1">
        <v>45622</v>
      </c>
      <c r="K2305" t="s">
        <v>2517</v>
      </c>
      <c r="L2305" t="s">
        <v>16</v>
      </c>
      <c r="M2305">
        <v>295.89</v>
      </c>
    </row>
    <row r="2306" spans="1:13" x14ac:dyDescent="0.25">
      <c r="A2306">
        <v>3304</v>
      </c>
      <c r="B2306" t="s">
        <v>2315</v>
      </c>
      <c r="C2306" t="s">
        <v>28</v>
      </c>
      <c r="D2306" t="s">
        <v>116</v>
      </c>
      <c r="E2306">
        <v>2</v>
      </c>
      <c r="F2306">
        <v>4452.04</v>
      </c>
      <c r="G2306">
        <f t="shared" si="70"/>
        <v>8904.08</v>
      </c>
      <c r="I2306">
        <f t="shared" si="71"/>
        <v>8904.08</v>
      </c>
      <c r="J2306" s="1">
        <v>45378</v>
      </c>
      <c r="K2306" t="s">
        <v>38</v>
      </c>
      <c r="L2306" t="s">
        <v>16</v>
      </c>
      <c r="M2306">
        <v>2932.37</v>
      </c>
    </row>
    <row r="2307" spans="1:13" x14ac:dyDescent="0.25">
      <c r="A2307">
        <v>3305</v>
      </c>
      <c r="B2307" t="s">
        <v>2316</v>
      </c>
      <c r="C2307" t="s">
        <v>13</v>
      </c>
      <c r="D2307" t="s">
        <v>34</v>
      </c>
      <c r="E2307">
        <v>2</v>
      </c>
      <c r="G2307">
        <f t="shared" ref="G2307:G2370" si="72">F2307*E2307</f>
        <v>0</v>
      </c>
      <c r="I2307">
        <f t="shared" ref="I2307:I2370" si="73">G2307*(1-H2307)</f>
        <v>0</v>
      </c>
      <c r="J2307" s="1">
        <v>45623</v>
      </c>
      <c r="K2307" t="s">
        <v>22</v>
      </c>
      <c r="L2307" t="s">
        <v>16</v>
      </c>
      <c r="M2307">
        <v>1362.42</v>
      </c>
    </row>
    <row r="2308" spans="1:13" x14ac:dyDescent="0.25">
      <c r="A2308">
        <v>3306</v>
      </c>
      <c r="B2308" t="s">
        <v>2317</v>
      </c>
      <c r="C2308" t="s">
        <v>31</v>
      </c>
      <c r="D2308" t="s">
        <v>42</v>
      </c>
      <c r="E2308">
        <v>2</v>
      </c>
      <c r="F2308">
        <v>4536.09</v>
      </c>
      <c r="G2308">
        <f t="shared" si="72"/>
        <v>9072.18</v>
      </c>
      <c r="I2308">
        <f t="shared" si="73"/>
        <v>9072.18</v>
      </c>
      <c r="K2308" t="s">
        <v>2517</v>
      </c>
      <c r="L2308" t="s">
        <v>16</v>
      </c>
      <c r="M2308">
        <v>1015.71</v>
      </c>
    </row>
    <row r="2309" spans="1:13" x14ac:dyDescent="0.25">
      <c r="A2309">
        <v>3307</v>
      </c>
      <c r="B2309" t="s">
        <v>2318</v>
      </c>
      <c r="C2309" t="s">
        <v>28</v>
      </c>
      <c r="D2309" t="s">
        <v>40</v>
      </c>
      <c r="E2309">
        <v>2</v>
      </c>
      <c r="F2309">
        <v>3896.07</v>
      </c>
      <c r="G2309">
        <f t="shared" si="72"/>
        <v>7792.14</v>
      </c>
      <c r="I2309">
        <f t="shared" si="73"/>
        <v>7792.14</v>
      </c>
      <c r="J2309" s="1">
        <v>45745</v>
      </c>
      <c r="K2309" t="s">
        <v>44</v>
      </c>
      <c r="L2309" t="s">
        <v>16</v>
      </c>
      <c r="M2309">
        <v>409.14</v>
      </c>
    </row>
    <row r="2310" spans="1:13" x14ac:dyDescent="0.25">
      <c r="A2310">
        <v>3308</v>
      </c>
      <c r="B2310" t="s">
        <v>2319</v>
      </c>
      <c r="C2310" t="s">
        <v>20</v>
      </c>
      <c r="D2310" t="s">
        <v>84</v>
      </c>
      <c r="E2310">
        <v>2</v>
      </c>
      <c r="G2310">
        <f t="shared" si="72"/>
        <v>0</v>
      </c>
      <c r="I2310">
        <f t="shared" si="73"/>
        <v>0</v>
      </c>
      <c r="J2310" s="1">
        <v>45304</v>
      </c>
      <c r="K2310" t="s">
        <v>18</v>
      </c>
      <c r="L2310" t="s">
        <v>16</v>
      </c>
      <c r="M2310">
        <v>1711.84</v>
      </c>
    </row>
    <row r="2311" spans="1:13" x14ac:dyDescent="0.25">
      <c r="A2311">
        <v>3309</v>
      </c>
      <c r="B2311" t="s">
        <v>2320</v>
      </c>
      <c r="C2311" t="s">
        <v>36</v>
      </c>
      <c r="D2311" t="s">
        <v>37</v>
      </c>
      <c r="E2311">
        <v>-2</v>
      </c>
      <c r="F2311">
        <v>3944.46</v>
      </c>
      <c r="G2311">
        <f t="shared" si="72"/>
        <v>-7888.92</v>
      </c>
      <c r="I2311">
        <f t="shared" si="73"/>
        <v>-7888.92</v>
      </c>
      <c r="J2311" s="1">
        <v>45201</v>
      </c>
      <c r="K2311" t="s">
        <v>18</v>
      </c>
      <c r="L2311" t="s">
        <v>16</v>
      </c>
      <c r="M2311">
        <v>1392.37</v>
      </c>
    </row>
    <row r="2312" spans="1:13" x14ac:dyDescent="0.25">
      <c r="A2312">
        <v>3310</v>
      </c>
      <c r="B2312" t="s">
        <v>2321</v>
      </c>
      <c r="C2312" t="s">
        <v>36</v>
      </c>
      <c r="D2312" t="s">
        <v>59</v>
      </c>
      <c r="E2312">
        <v>2</v>
      </c>
      <c r="G2312">
        <f t="shared" si="72"/>
        <v>0</v>
      </c>
      <c r="I2312">
        <f t="shared" si="73"/>
        <v>0</v>
      </c>
      <c r="J2312" s="1">
        <v>45163</v>
      </c>
      <c r="K2312" t="s">
        <v>44</v>
      </c>
      <c r="L2312" t="s">
        <v>16</v>
      </c>
      <c r="M2312">
        <v>463.6</v>
      </c>
    </row>
    <row r="2313" spans="1:13" x14ac:dyDescent="0.25">
      <c r="A2313">
        <v>3311</v>
      </c>
      <c r="B2313" t="s">
        <v>2322</v>
      </c>
      <c r="C2313" t="s">
        <v>36</v>
      </c>
      <c r="D2313" t="s">
        <v>55</v>
      </c>
      <c r="E2313">
        <v>-1</v>
      </c>
      <c r="F2313">
        <v>3108.69</v>
      </c>
      <c r="G2313">
        <f t="shared" si="72"/>
        <v>-3108.69</v>
      </c>
      <c r="I2313">
        <f t="shared" si="73"/>
        <v>-3108.69</v>
      </c>
      <c r="J2313" s="1">
        <v>45388</v>
      </c>
      <c r="K2313" t="s">
        <v>15</v>
      </c>
      <c r="L2313" t="s">
        <v>16</v>
      </c>
      <c r="M2313">
        <v>2986.53</v>
      </c>
    </row>
    <row r="2314" spans="1:13" x14ac:dyDescent="0.25">
      <c r="A2314">
        <v>3312</v>
      </c>
      <c r="B2314" t="s">
        <v>2323</v>
      </c>
      <c r="C2314" t="s">
        <v>31</v>
      </c>
      <c r="D2314" t="s">
        <v>68</v>
      </c>
      <c r="E2314">
        <v>2</v>
      </c>
      <c r="F2314">
        <v>4878.8100000000004</v>
      </c>
      <c r="G2314">
        <f t="shared" si="72"/>
        <v>9757.6200000000008</v>
      </c>
      <c r="I2314">
        <f t="shared" si="73"/>
        <v>9757.6200000000008</v>
      </c>
      <c r="J2314" s="1">
        <v>45537</v>
      </c>
      <c r="K2314" t="s">
        <v>38</v>
      </c>
      <c r="L2314" t="s">
        <v>16</v>
      </c>
      <c r="M2314">
        <v>327.38</v>
      </c>
    </row>
    <row r="2315" spans="1:13" x14ac:dyDescent="0.25">
      <c r="A2315">
        <v>3313</v>
      </c>
      <c r="B2315" t="s">
        <v>2324</v>
      </c>
      <c r="C2315" t="s">
        <v>36</v>
      </c>
      <c r="D2315" t="s">
        <v>87</v>
      </c>
      <c r="E2315">
        <v>5</v>
      </c>
      <c r="G2315">
        <f t="shared" si="72"/>
        <v>0</v>
      </c>
      <c r="H2315" s="3">
        <v>1.03</v>
      </c>
      <c r="I2315">
        <f t="shared" si="73"/>
        <v>0</v>
      </c>
      <c r="J2315" s="1">
        <v>45566</v>
      </c>
      <c r="K2315" t="s">
        <v>38</v>
      </c>
      <c r="L2315" t="s">
        <v>16</v>
      </c>
      <c r="M2315">
        <v>2022.75</v>
      </c>
    </row>
    <row r="2316" spans="1:13" x14ac:dyDescent="0.25">
      <c r="A2316">
        <v>3314</v>
      </c>
      <c r="B2316" t="s">
        <v>2325</v>
      </c>
      <c r="C2316" t="s">
        <v>20</v>
      </c>
      <c r="D2316" t="s">
        <v>84</v>
      </c>
      <c r="E2316">
        <v>2</v>
      </c>
      <c r="F2316">
        <v>2537.59</v>
      </c>
      <c r="G2316">
        <f t="shared" si="72"/>
        <v>5075.18</v>
      </c>
      <c r="I2316">
        <f t="shared" si="73"/>
        <v>5075.18</v>
      </c>
      <c r="J2316" s="1">
        <v>45561</v>
      </c>
      <c r="K2316" t="s">
        <v>44</v>
      </c>
      <c r="L2316" t="s">
        <v>23</v>
      </c>
      <c r="M2316">
        <v>2708.81</v>
      </c>
    </row>
    <row r="2317" spans="1:13" x14ac:dyDescent="0.25">
      <c r="A2317">
        <v>3315</v>
      </c>
      <c r="B2317" t="s">
        <v>2326</v>
      </c>
      <c r="C2317" t="s">
        <v>36</v>
      </c>
      <c r="D2317" t="s">
        <v>87</v>
      </c>
      <c r="E2317">
        <v>4</v>
      </c>
      <c r="G2317">
        <f t="shared" si="72"/>
        <v>0</v>
      </c>
      <c r="I2317">
        <f t="shared" si="73"/>
        <v>0</v>
      </c>
      <c r="K2317" t="s">
        <v>2517</v>
      </c>
      <c r="L2317" t="s">
        <v>16</v>
      </c>
      <c r="M2317">
        <v>2293.04</v>
      </c>
    </row>
    <row r="2318" spans="1:13" x14ac:dyDescent="0.25">
      <c r="A2318">
        <v>3316</v>
      </c>
      <c r="B2318" t="s">
        <v>2327</v>
      </c>
      <c r="C2318" t="s">
        <v>13</v>
      </c>
      <c r="D2318" t="s">
        <v>14</v>
      </c>
      <c r="E2318">
        <v>2</v>
      </c>
      <c r="G2318">
        <f t="shared" si="72"/>
        <v>0</v>
      </c>
      <c r="I2318">
        <f t="shared" si="73"/>
        <v>0</v>
      </c>
      <c r="J2318" s="1">
        <v>45808</v>
      </c>
      <c r="K2318" t="s">
        <v>22</v>
      </c>
      <c r="L2318" t="s">
        <v>16</v>
      </c>
      <c r="M2318">
        <v>1628.03</v>
      </c>
    </row>
    <row r="2319" spans="1:13" x14ac:dyDescent="0.25">
      <c r="A2319">
        <v>3317</v>
      </c>
      <c r="B2319" t="s">
        <v>2328</v>
      </c>
      <c r="C2319" t="s">
        <v>20</v>
      </c>
      <c r="D2319" t="s">
        <v>118</v>
      </c>
      <c r="E2319">
        <v>2</v>
      </c>
      <c r="F2319">
        <v>2140.2199999999998</v>
      </c>
      <c r="G2319">
        <f t="shared" si="72"/>
        <v>4280.4399999999996</v>
      </c>
      <c r="I2319">
        <f t="shared" si="73"/>
        <v>4280.4399999999996</v>
      </c>
      <c r="J2319" s="1">
        <v>45598</v>
      </c>
      <c r="K2319" t="s">
        <v>18</v>
      </c>
      <c r="L2319" t="s">
        <v>23</v>
      </c>
      <c r="M2319">
        <v>-415.92</v>
      </c>
    </row>
    <row r="2320" spans="1:13" x14ac:dyDescent="0.25">
      <c r="A2320">
        <v>3318</v>
      </c>
      <c r="B2320" t="s">
        <v>2329</v>
      </c>
      <c r="C2320" t="s">
        <v>28</v>
      </c>
      <c r="D2320" t="s">
        <v>116</v>
      </c>
      <c r="E2320">
        <v>2</v>
      </c>
      <c r="F2320">
        <v>2912.6</v>
      </c>
      <c r="G2320">
        <f t="shared" si="72"/>
        <v>5825.2</v>
      </c>
      <c r="I2320">
        <f t="shared" si="73"/>
        <v>5825.2</v>
      </c>
      <c r="J2320" s="1">
        <v>45745</v>
      </c>
      <c r="K2320" t="s">
        <v>15</v>
      </c>
      <c r="L2320" t="s">
        <v>16</v>
      </c>
      <c r="M2320">
        <v>1847.45</v>
      </c>
    </row>
    <row r="2321" spans="1:13" x14ac:dyDescent="0.25">
      <c r="A2321">
        <v>3319</v>
      </c>
      <c r="B2321" t="s">
        <v>2330</v>
      </c>
      <c r="C2321" t="s">
        <v>25</v>
      </c>
      <c r="D2321" t="s">
        <v>26</v>
      </c>
      <c r="E2321">
        <v>2</v>
      </c>
      <c r="G2321">
        <f t="shared" si="72"/>
        <v>0</v>
      </c>
      <c r="I2321">
        <f t="shared" si="73"/>
        <v>0</v>
      </c>
      <c r="J2321" s="1">
        <v>45284</v>
      </c>
      <c r="K2321" t="s">
        <v>18</v>
      </c>
      <c r="L2321" t="s">
        <v>16</v>
      </c>
      <c r="M2321">
        <v>1419.51</v>
      </c>
    </row>
    <row r="2322" spans="1:13" x14ac:dyDescent="0.25">
      <c r="A2322">
        <v>3320</v>
      </c>
      <c r="B2322" t="s">
        <v>2331</v>
      </c>
      <c r="C2322" t="s">
        <v>25</v>
      </c>
      <c r="D2322" t="s">
        <v>62</v>
      </c>
      <c r="E2322">
        <v>2</v>
      </c>
      <c r="G2322">
        <f t="shared" si="72"/>
        <v>0</v>
      </c>
      <c r="I2322">
        <f t="shared" si="73"/>
        <v>0</v>
      </c>
      <c r="J2322" s="1">
        <v>45579</v>
      </c>
      <c r="K2322" t="s">
        <v>44</v>
      </c>
      <c r="L2322" t="s">
        <v>16</v>
      </c>
      <c r="M2322">
        <v>-251.71</v>
      </c>
    </row>
    <row r="2323" spans="1:13" x14ac:dyDescent="0.25">
      <c r="A2323">
        <v>3321</v>
      </c>
      <c r="B2323" t="s">
        <v>2332</v>
      </c>
      <c r="C2323" t="s">
        <v>20</v>
      </c>
      <c r="D2323" t="s">
        <v>76</v>
      </c>
      <c r="E2323">
        <v>5</v>
      </c>
      <c r="F2323">
        <v>1804.56</v>
      </c>
      <c r="G2323">
        <f t="shared" si="72"/>
        <v>9022.7999999999993</v>
      </c>
      <c r="I2323">
        <f t="shared" si="73"/>
        <v>9022.7999999999993</v>
      </c>
      <c r="J2323" s="1">
        <v>45254</v>
      </c>
      <c r="K2323" t="s">
        <v>2517</v>
      </c>
      <c r="L2323" t="s">
        <v>16</v>
      </c>
      <c r="M2323">
        <v>2534.37</v>
      </c>
    </row>
    <row r="2324" spans="1:13" x14ac:dyDescent="0.25">
      <c r="A2324">
        <v>3322</v>
      </c>
      <c r="B2324" t="s">
        <v>2333</v>
      </c>
      <c r="C2324" t="s">
        <v>31</v>
      </c>
      <c r="D2324" t="s">
        <v>42</v>
      </c>
      <c r="E2324">
        <v>2</v>
      </c>
      <c r="F2324">
        <v>4480.24</v>
      </c>
      <c r="G2324">
        <f t="shared" si="72"/>
        <v>8960.48</v>
      </c>
      <c r="I2324">
        <f t="shared" si="73"/>
        <v>8960.48</v>
      </c>
      <c r="J2324" s="1">
        <v>45544</v>
      </c>
      <c r="K2324" t="s">
        <v>15</v>
      </c>
      <c r="L2324" t="s">
        <v>16</v>
      </c>
      <c r="M2324">
        <v>397.15</v>
      </c>
    </row>
    <row r="2325" spans="1:13" x14ac:dyDescent="0.25">
      <c r="A2325">
        <v>3323</v>
      </c>
      <c r="B2325" t="s">
        <v>2334</v>
      </c>
      <c r="C2325" t="s">
        <v>25</v>
      </c>
      <c r="D2325" t="s">
        <v>82</v>
      </c>
      <c r="E2325">
        <v>3</v>
      </c>
      <c r="F2325">
        <v>4009.45</v>
      </c>
      <c r="G2325">
        <f t="shared" si="72"/>
        <v>12028.349999999999</v>
      </c>
      <c r="I2325">
        <f t="shared" si="73"/>
        <v>12028.349999999999</v>
      </c>
      <c r="K2325" t="s">
        <v>2517</v>
      </c>
      <c r="L2325" t="s">
        <v>16</v>
      </c>
      <c r="M2325">
        <v>-495.81</v>
      </c>
    </row>
    <row r="2326" spans="1:13" x14ac:dyDescent="0.25">
      <c r="A2326">
        <v>3324</v>
      </c>
      <c r="B2326" t="s">
        <v>2335</v>
      </c>
      <c r="C2326" t="s">
        <v>36</v>
      </c>
      <c r="D2326" t="s">
        <v>37</v>
      </c>
      <c r="E2326">
        <v>2</v>
      </c>
      <c r="G2326">
        <f t="shared" si="72"/>
        <v>0</v>
      </c>
      <c r="H2326" s="3">
        <v>0.51</v>
      </c>
      <c r="I2326">
        <f t="shared" si="73"/>
        <v>0</v>
      </c>
      <c r="K2326" t="s">
        <v>18</v>
      </c>
      <c r="L2326" t="s">
        <v>16</v>
      </c>
      <c r="M2326">
        <v>-214.24</v>
      </c>
    </row>
    <row r="2327" spans="1:13" x14ac:dyDescent="0.25">
      <c r="A2327">
        <v>3325</v>
      </c>
      <c r="B2327" t="s">
        <v>2336</v>
      </c>
      <c r="C2327" t="s">
        <v>36</v>
      </c>
      <c r="D2327" t="s">
        <v>55</v>
      </c>
      <c r="E2327">
        <v>6</v>
      </c>
      <c r="G2327">
        <f t="shared" si="72"/>
        <v>0</v>
      </c>
      <c r="H2327" s="3">
        <v>0.61</v>
      </c>
      <c r="I2327">
        <f t="shared" si="73"/>
        <v>0</v>
      </c>
      <c r="J2327" s="1">
        <v>45833</v>
      </c>
      <c r="K2327" t="s">
        <v>38</v>
      </c>
      <c r="L2327" t="s">
        <v>16</v>
      </c>
      <c r="M2327">
        <v>686.84</v>
      </c>
    </row>
    <row r="2328" spans="1:13" x14ac:dyDescent="0.25">
      <c r="A2328">
        <v>3326</v>
      </c>
      <c r="B2328" t="s">
        <v>2337</v>
      </c>
      <c r="C2328" t="s">
        <v>25</v>
      </c>
      <c r="D2328" t="s">
        <v>82</v>
      </c>
      <c r="E2328">
        <v>-2</v>
      </c>
      <c r="F2328">
        <v>3047.68</v>
      </c>
      <c r="G2328">
        <f t="shared" si="72"/>
        <v>-6095.36</v>
      </c>
      <c r="I2328">
        <f t="shared" si="73"/>
        <v>-6095.36</v>
      </c>
      <c r="J2328" s="1">
        <v>45526</v>
      </c>
      <c r="K2328" t="s">
        <v>38</v>
      </c>
      <c r="L2328" t="s">
        <v>16</v>
      </c>
      <c r="M2328">
        <v>827.95</v>
      </c>
    </row>
    <row r="2329" spans="1:13" x14ac:dyDescent="0.25">
      <c r="A2329">
        <v>3327</v>
      </c>
      <c r="B2329" t="s">
        <v>2338</v>
      </c>
      <c r="C2329" t="s">
        <v>13</v>
      </c>
      <c r="D2329" t="s">
        <v>47</v>
      </c>
      <c r="E2329">
        <v>2</v>
      </c>
      <c r="G2329">
        <f t="shared" si="72"/>
        <v>0</v>
      </c>
      <c r="H2329" s="3">
        <v>0.96</v>
      </c>
      <c r="I2329">
        <f t="shared" si="73"/>
        <v>0</v>
      </c>
      <c r="K2329" t="s">
        <v>38</v>
      </c>
      <c r="L2329" t="s">
        <v>16</v>
      </c>
      <c r="M2329">
        <v>-361.79</v>
      </c>
    </row>
    <row r="2330" spans="1:13" x14ac:dyDescent="0.25">
      <c r="A2330">
        <v>3328</v>
      </c>
      <c r="B2330" t="s">
        <v>2339</v>
      </c>
      <c r="C2330" t="s">
        <v>13</v>
      </c>
      <c r="D2330" t="s">
        <v>34</v>
      </c>
      <c r="E2330">
        <v>1</v>
      </c>
      <c r="F2330">
        <v>4390.32</v>
      </c>
      <c r="G2330">
        <f t="shared" si="72"/>
        <v>4390.32</v>
      </c>
      <c r="I2330">
        <f t="shared" si="73"/>
        <v>4390.32</v>
      </c>
      <c r="J2330" s="1">
        <v>45733</v>
      </c>
      <c r="K2330" t="s">
        <v>38</v>
      </c>
      <c r="L2330" t="s">
        <v>16</v>
      </c>
      <c r="M2330">
        <v>2785.75</v>
      </c>
    </row>
    <row r="2331" spans="1:13" x14ac:dyDescent="0.25">
      <c r="A2331">
        <v>3329</v>
      </c>
      <c r="B2331" t="s">
        <v>2340</v>
      </c>
      <c r="C2331" t="s">
        <v>20</v>
      </c>
      <c r="D2331" t="s">
        <v>21</v>
      </c>
      <c r="E2331">
        <v>0</v>
      </c>
      <c r="G2331">
        <f t="shared" si="72"/>
        <v>0</v>
      </c>
      <c r="I2331">
        <f t="shared" si="73"/>
        <v>0</v>
      </c>
      <c r="J2331" s="1">
        <v>45440</v>
      </c>
      <c r="K2331" t="s">
        <v>15</v>
      </c>
      <c r="L2331" t="s">
        <v>16</v>
      </c>
      <c r="M2331">
        <v>1954.02</v>
      </c>
    </row>
    <row r="2332" spans="1:13" x14ac:dyDescent="0.25">
      <c r="A2332">
        <v>3330</v>
      </c>
      <c r="B2332" t="s">
        <v>2341</v>
      </c>
      <c r="C2332" t="s">
        <v>25</v>
      </c>
      <c r="D2332" t="s">
        <v>26</v>
      </c>
      <c r="E2332">
        <v>6</v>
      </c>
      <c r="F2332">
        <v>2217.9499999999998</v>
      </c>
      <c r="G2332">
        <f t="shared" si="72"/>
        <v>13307.699999999999</v>
      </c>
      <c r="I2332">
        <f t="shared" si="73"/>
        <v>13307.699999999999</v>
      </c>
      <c r="J2332" s="1">
        <v>45826</v>
      </c>
      <c r="K2332" t="s">
        <v>2517</v>
      </c>
      <c r="L2332" t="s">
        <v>16</v>
      </c>
      <c r="M2332">
        <v>146.52000000000001</v>
      </c>
    </row>
    <row r="2333" spans="1:13" x14ac:dyDescent="0.25">
      <c r="A2333">
        <v>1012</v>
      </c>
      <c r="B2333" t="s">
        <v>2342</v>
      </c>
      <c r="C2333" t="s">
        <v>20</v>
      </c>
      <c r="D2333" t="s">
        <v>84</v>
      </c>
      <c r="E2333">
        <v>2</v>
      </c>
      <c r="F2333">
        <v>1364.73</v>
      </c>
      <c r="G2333">
        <f t="shared" si="72"/>
        <v>2729.46</v>
      </c>
      <c r="H2333" s="3">
        <v>0.71</v>
      </c>
      <c r="I2333">
        <f t="shared" si="73"/>
        <v>791.54340000000013</v>
      </c>
      <c r="J2333" s="1">
        <v>45726</v>
      </c>
      <c r="K2333" t="s">
        <v>22</v>
      </c>
      <c r="L2333" t="s">
        <v>16</v>
      </c>
      <c r="M2333">
        <v>-909.85</v>
      </c>
    </row>
    <row r="2334" spans="1:13" x14ac:dyDescent="0.25">
      <c r="A2334">
        <v>3332</v>
      </c>
      <c r="B2334" t="s">
        <v>2343</v>
      </c>
      <c r="C2334" t="s">
        <v>25</v>
      </c>
      <c r="D2334" t="s">
        <v>26</v>
      </c>
      <c r="E2334">
        <v>5</v>
      </c>
      <c r="F2334">
        <v>1297.04</v>
      </c>
      <c r="G2334">
        <f t="shared" si="72"/>
        <v>6485.2</v>
      </c>
      <c r="H2334" s="3">
        <v>0.3</v>
      </c>
      <c r="I2334">
        <f t="shared" si="73"/>
        <v>4539.6399999999994</v>
      </c>
      <c r="K2334" t="s">
        <v>2517</v>
      </c>
      <c r="L2334" t="s">
        <v>16</v>
      </c>
      <c r="M2334">
        <v>2887.23</v>
      </c>
    </row>
    <row r="2335" spans="1:13" x14ac:dyDescent="0.25">
      <c r="A2335">
        <v>3333</v>
      </c>
      <c r="B2335" t="s">
        <v>2344</v>
      </c>
      <c r="C2335" t="s">
        <v>20</v>
      </c>
      <c r="D2335" t="s">
        <v>118</v>
      </c>
      <c r="E2335">
        <v>-2</v>
      </c>
      <c r="G2335">
        <f t="shared" si="72"/>
        <v>0</v>
      </c>
      <c r="I2335">
        <f t="shared" si="73"/>
        <v>0</v>
      </c>
      <c r="J2335" s="1">
        <v>45150</v>
      </c>
      <c r="K2335" t="s">
        <v>22</v>
      </c>
      <c r="L2335" t="s">
        <v>16</v>
      </c>
      <c r="M2335">
        <v>617.99</v>
      </c>
    </row>
    <row r="2336" spans="1:13" x14ac:dyDescent="0.25">
      <c r="A2336">
        <v>3334</v>
      </c>
      <c r="B2336" t="s">
        <v>2345</v>
      </c>
      <c r="C2336" t="s">
        <v>13</v>
      </c>
      <c r="D2336" t="s">
        <v>34</v>
      </c>
      <c r="E2336">
        <v>2</v>
      </c>
      <c r="G2336">
        <f t="shared" si="72"/>
        <v>0</v>
      </c>
      <c r="I2336">
        <f t="shared" si="73"/>
        <v>0</v>
      </c>
      <c r="J2336" s="1">
        <v>45822</v>
      </c>
      <c r="K2336" t="s">
        <v>2517</v>
      </c>
      <c r="L2336" t="s">
        <v>23</v>
      </c>
      <c r="M2336">
        <v>-933.34</v>
      </c>
    </row>
    <row r="2337" spans="1:13" x14ac:dyDescent="0.25">
      <c r="A2337">
        <v>3335</v>
      </c>
      <c r="B2337" t="s">
        <v>2346</v>
      </c>
      <c r="C2337" t="s">
        <v>20</v>
      </c>
      <c r="D2337" t="s">
        <v>76</v>
      </c>
      <c r="E2337">
        <v>5</v>
      </c>
      <c r="F2337">
        <v>4289.91</v>
      </c>
      <c r="G2337">
        <f t="shared" si="72"/>
        <v>21449.55</v>
      </c>
      <c r="H2337" s="3">
        <v>1.23</v>
      </c>
      <c r="I2337">
        <f t="shared" si="73"/>
        <v>-4933.3964999999998</v>
      </c>
      <c r="J2337" s="1">
        <v>45584</v>
      </c>
      <c r="K2337" t="s">
        <v>44</v>
      </c>
      <c r="L2337" t="s">
        <v>16</v>
      </c>
      <c r="M2337">
        <v>533.83000000000004</v>
      </c>
    </row>
    <row r="2338" spans="1:13" x14ac:dyDescent="0.25">
      <c r="A2338">
        <v>3336</v>
      </c>
      <c r="B2338" t="s">
        <v>2347</v>
      </c>
      <c r="C2338" t="s">
        <v>20</v>
      </c>
      <c r="D2338" t="s">
        <v>84</v>
      </c>
      <c r="E2338">
        <v>2</v>
      </c>
      <c r="G2338">
        <f t="shared" si="72"/>
        <v>0</v>
      </c>
      <c r="I2338">
        <f t="shared" si="73"/>
        <v>0</v>
      </c>
      <c r="J2338" s="1">
        <v>45826</v>
      </c>
      <c r="K2338" t="s">
        <v>18</v>
      </c>
      <c r="L2338" t="s">
        <v>16</v>
      </c>
      <c r="M2338">
        <v>1872.26</v>
      </c>
    </row>
    <row r="2339" spans="1:13" x14ac:dyDescent="0.25">
      <c r="A2339">
        <v>1018</v>
      </c>
      <c r="B2339" t="s">
        <v>2348</v>
      </c>
      <c r="C2339" t="s">
        <v>36</v>
      </c>
      <c r="D2339" t="s">
        <v>55</v>
      </c>
      <c r="E2339">
        <v>1</v>
      </c>
      <c r="F2339">
        <v>2847.86</v>
      </c>
      <c r="G2339">
        <f t="shared" si="72"/>
        <v>2847.86</v>
      </c>
      <c r="H2339" s="3">
        <v>0.7</v>
      </c>
      <c r="I2339">
        <f t="shared" si="73"/>
        <v>854.35800000000017</v>
      </c>
      <c r="J2339" s="1">
        <v>45360</v>
      </c>
      <c r="K2339" t="s">
        <v>15</v>
      </c>
      <c r="L2339" t="s">
        <v>16</v>
      </c>
      <c r="M2339">
        <v>2190.67</v>
      </c>
    </row>
    <row r="2340" spans="1:13" x14ac:dyDescent="0.25">
      <c r="A2340">
        <v>3338</v>
      </c>
      <c r="B2340" t="s">
        <v>2349</v>
      </c>
      <c r="C2340" t="s">
        <v>36</v>
      </c>
      <c r="D2340" t="s">
        <v>59</v>
      </c>
      <c r="E2340">
        <v>2</v>
      </c>
      <c r="G2340">
        <f t="shared" si="72"/>
        <v>0</v>
      </c>
      <c r="H2340" s="3">
        <v>0.06</v>
      </c>
      <c r="I2340">
        <f t="shared" si="73"/>
        <v>0</v>
      </c>
      <c r="J2340" s="1">
        <v>45856</v>
      </c>
      <c r="K2340" t="s">
        <v>44</v>
      </c>
      <c r="L2340" t="s">
        <v>16</v>
      </c>
      <c r="M2340">
        <v>1067.6600000000001</v>
      </c>
    </row>
    <row r="2341" spans="1:13" x14ac:dyDescent="0.25">
      <c r="A2341">
        <v>3339</v>
      </c>
      <c r="B2341" t="s">
        <v>2350</v>
      </c>
      <c r="C2341" t="s">
        <v>28</v>
      </c>
      <c r="D2341" t="s">
        <v>116</v>
      </c>
      <c r="E2341">
        <v>2</v>
      </c>
      <c r="G2341">
        <f t="shared" si="72"/>
        <v>0</v>
      </c>
      <c r="I2341">
        <f t="shared" si="73"/>
        <v>0</v>
      </c>
      <c r="J2341" s="1">
        <v>45367</v>
      </c>
      <c r="K2341" t="s">
        <v>15</v>
      </c>
      <c r="L2341" t="s">
        <v>16</v>
      </c>
      <c r="M2341">
        <v>-735.83</v>
      </c>
    </row>
    <row r="2342" spans="1:13" x14ac:dyDescent="0.25">
      <c r="A2342">
        <v>3340</v>
      </c>
      <c r="B2342" t="s">
        <v>2351</v>
      </c>
      <c r="C2342" t="s">
        <v>25</v>
      </c>
      <c r="D2342" t="s">
        <v>51</v>
      </c>
      <c r="E2342">
        <v>6</v>
      </c>
      <c r="F2342">
        <v>3924.28</v>
      </c>
      <c r="G2342">
        <f t="shared" si="72"/>
        <v>23545.68</v>
      </c>
      <c r="H2342" s="3">
        <v>0.15</v>
      </c>
      <c r="I2342">
        <f t="shared" si="73"/>
        <v>20013.828000000001</v>
      </c>
      <c r="J2342" s="1">
        <v>45532</v>
      </c>
      <c r="K2342" t="s">
        <v>38</v>
      </c>
      <c r="L2342" t="s">
        <v>16</v>
      </c>
      <c r="M2342">
        <v>-831.93</v>
      </c>
    </row>
    <row r="2343" spans="1:13" x14ac:dyDescent="0.25">
      <c r="A2343">
        <v>3341</v>
      </c>
      <c r="B2343" t="s">
        <v>2352</v>
      </c>
      <c r="C2343" t="s">
        <v>28</v>
      </c>
      <c r="D2343" t="s">
        <v>116</v>
      </c>
      <c r="E2343">
        <v>2</v>
      </c>
      <c r="F2343">
        <v>2080.09</v>
      </c>
      <c r="G2343">
        <f t="shared" si="72"/>
        <v>4160.18</v>
      </c>
      <c r="I2343">
        <f t="shared" si="73"/>
        <v>4160.18</v>
      </c>
      <c r="K2343" t="s">
        <v>2517</v>
      </c>
      <c r="L2343" t="s">
        <v>16</v>
      </c>
      <c r="M2343">
        <v>1818.51</v>
      </c>
    </row>
    <row r="2344" spans="1:13" x14ac:dyDescent="0.25">
      <c r="A2344">
        <v>3342</v>
      </c>
      <c r="B2344" t="s">
        <v>2353</v>
      </c>
      <c r="C2344" t="s">
        <v>25</v>
      </c>
      <c r="D2344" t="s">
        <v>26</v>
      </c>
      <c r="E2344">
        <v>2</v>
      </c>
      <c r="F2344">
        <v>2109.83</v>
      </c>
      <c r="G2344">
        <f t="shared" si="72"/>
        <v>4219.66</v>
      </c>
      <c r="I2344">
        <f t="shared" si="73"/>
        <v>4219.66</v>
      </c>
      <c r="K2344" t="s">
        <v>44</v>
      </c>
      <c r="L2344" t="s">
        <v>23</v>
      </c>
      <c r="M2344">
        <v>546.26</v>
      </c>
    </row>
    <row r="2345" spans="1:13" x14ac:dyDescent="0.25">
      <c r="A2345">
        <v>3343</v>
      </c>
      <c r="B2345" t="s">
        <v>2354</v>
      </c>
      <c r="C2345" t="s">
        <v>31</v>
      </c>
      <c r="D2345" t="s">
        <v>78</v>
      </c>
      <c r="E2345">
        <v>2</v>
      </c>
      <c r="F2345">
        <v>3677.95</v>
      </c>
      <c r="G2345">
        <f t="shared" si="72"/>
        <v>7355.9</v>
      </c>
      <c r="H2345" s="3">
        <v>0.42</v>
      </c>
      <c r="I2345">
        <f t="shared" si="73"/>
        <v>4266.4220000000005</v>
      </c>
      <c r="J2345" s="1">
        <v>45713</v>
      </c>
      <c r="K2345" t="s">
        <v>22</v>
      </c>
      <c r="L2345" t="s">
        <v>16</v>
      </c>
      <c r="M2345">
        <v>958.93</v>
      </c>
    </row>
    <row r="2346" spans="1:13" x14ac:dyDescent="0.25">
      <c r="A2346">
        <v>3344</v>
      </c>
      <c r="B2346" t="s">
        <v>2355</v>
      </c>
      <c r="C2346" t="s">
        <v>20</v>
      </c>
      <c r="D2346" t="s">
        <v>21</v>
      </c>
      <c r="E2346">
        <v>2</v>
      </c>
      <c r="G2346">
        <f t="shared" si="72"/>
        <v>0</v>
      </c>
      <c r="I2346">
        <f t="shared" si="73"/>
        <v>0</v>
      </c>
      <c r="J2346" s="1">
        <v>45811</v>
      </c>
      <c r="K2346" t="s">
        <v>18</v>
      </c>
      <c r="L2346" t="s">
        <v>23</v>
      </c>
      <c r="M2346">
        <v>1933.51</v>
      </c>
    </row>
    <row r="2347" spans="1:13" x14ac:dyDescent="0.25">
      <c r="A2347">
        <v>3345</v>
      </c>
      <c r="B2347" t="s">
        <v>2356</v>
      </c>
      <c r="C2347" t="s">
        <v>36</v>
      </c>
      <c r="D2347" t="s">
        <v>59</v>
      </c>
      <c r="E2347">
        <v>0</v>
      </c>
      <c r="G2347">
        <f t="shared" si="72"/>
        <v>0</v>
      </c>
      <c r="I2347">
        <f t="shared" si="73"/>
        <v>0</v>
      </c>
      <c r="J2347" s="1">
        <v>45679</v>
      </c>
      <c r="K2347" t="s">
        <v>38</v>
      </c>
      <c r="L2347" t="s">
        <v>16</v>
      </c>
      <c r="M2347">
        <v>461.25</v>
      </c>
    </row>
    <row r="2348" spans="1:13" x14ac:dyDescent="0.25">
      <c r="A2348">
        <v>3346</v>
      </c>
      <c r="B2348" t="s">
        <v>2357</v>
      </c>
      <c r="C2348" t="s">
        <v>25</v>
      </c>
      <c r="D2348" t="s">
        <v>51</v>
      </c>
      <c r="E2348">
        <v>2</v>
      </c>
      <c r="F2348">
        <v>1266.23</v>
      </c>
      <c r="G2348">
        <f t="shared" si="72"/>
        <v>2532.46</v>
      </c>
      <c r="H2348" s="3">
        <v>0.81</v>
      </c>
      <c r="I2348">
        <f t="shared" si="73"/>
        <v>481.16739999999987</v>
      </c>
      <c r="J2348" s="1">
        <v>45651</v>
      </c>
      <c r="K2348" t="s">
        <v>18</v>
      </c>
      <c r="L2348" t="s">
        <v>23</v>
      </c>
      <c r="M2348">
        <v>416.5</v>
      </c>
    </row>
    <row r="2349" spans="1:13" x14ac:dyDescent="0.25">
      <c r="A2349">
        <v>3347</v>
      </c>
      <c r="B2349" t="s">
        <v>2358</v>
      </c>
      <c r="C2349" t="s">
        <v>20</v>
      </c>
      <c r="D2349" t="s">
        <v>84</v>
      </c>
      <c r="E2349">
        <v>2</v>
      </c>
      <c r="F2349">
        <v>3873.27</v>
      </c>
      <c r="G2349">
        <f t="shared" si="72"/>
        <v>7746.54</v>
      </c>
      <c r="I2349">
        <f t="shared" si="73"/>
        <v>7746.54</v>
      </c>
      <c r="J2349" s="1">
        <v>45656</v>
      </c>
      <c r="K2349" t="s">
        <v>22</v>
      </c>
      <c r="L2349" t="s">
        <v>16</v>
      </c>
      <c r="M2349">
        <v>212.7</v>
      </c>
    </row>
    <row r="2350" spans="1:13" x14ac:dyDescent="0.25">
      <c r="A2350">
        <v>3348</v>
      </c>
      <c r="B2350" t="s">
        <v>2359</v>
      </c>
      <c r="C2350" t="s">
        <v>20</v>
      </c>
      <c r="D2350" t="s">
        <v>118</v>
      </c>
      <c r="E2350">
        <v>2</v>
      </c>
      <c r="G2350">
        <f t="shared" si="72"/>
        <v>0</v>
      </c>
      <c r="H2350" s="3">
        <v>0.98</v>
      </c>
      <c r="I2350">
        <f t="shared" si="73"/>
        <v>0</v>
      </c>
      <c r="J2350" s="1">
        <v>45592</v>
      </c>
      <c r="K2350" t="s">
        <v>2517</v>
      </c>
      <c r="L2350" t="s">
        <v>23</v>
      </c>
      <c r="M2350">
        <v>1023.68</v>
      </c>
    </row>
    <row r="2351" spans="1:13" x14ac:dyDescent="0.25">
      <c r="A2351">
        <v>3349</v>
      </c>
      <c r="B2351" t="s">
        <v>2360</v>
      </c>
      <c r="C2351" t="s">
        <v>20</v>
      </c>
      <c r="D2351" t="s">
        <v>76</v>
      </c>
      <c r="E2351">
        <v>2</v>
      </c>
      <c r="F2351">
        <v>1866.28</v>
      </c>
      <c r="G2351">
        <f t="shared" si="72"/>
        <v>3732.56</v>
      </c>
      <c r="I2351">
        <f t="shared" si="73"/>
        <v>3732.56</v>
      </c>
      <c r="J2351" s="1">
        <v>45840</v>
      </c>
      <c r="K2351" t="s">
        <v>44</v>
      </c>
      <c r="L2351" t="s">
        <v>16</v>
      </c>
      <c r="M2351">
        <v>1605.37</v>
      </c>
    </row>
    <row r="2352" spans="1:13" x14ac:dyDescent="0.25">
      <c r="A2352">
        <v>3350</v>
      </c>
      <c r="B2352" t="s">
        <v>2361</v>
      </c>
      <c r="C2352" t="s">
        <v>25</v>
      </c>
      <c r="D2352" t="s">
        <v>62</v>
      </c>
      <c r="E2352">
        <v>2</v>
      </c>
      <c r="G2352">
        <f t="shared" si="72"/>
        <v>0</v>
      </c>
      <c r="I2352">
        <f t="shared" si="73"/>
        <v>0</v>
      </c>
      <c r="J2352" s="1">
        <v>45337</v>
      </c>
      <c r="K2352" t="s">
        <v>22</v>
      </c>
      <c r="L2352" t="s">
        <v>16</v>
      </c>
      <c r="M2352">
        <v>14.57</v>
      </c>
    </row>
    <row r="2353" spans="1:13" x14ac:dyDescent="0.25">
      <c r="A2353">
        <v>3351</v>
      </c>
      <c r="B2353" t="s">
        <v>2362</v>
      </c>
      <c r="C2353" t="s">
        <v>13</v>
      </c>
      <c r="D2353" t="s">
        <v>34</v>
      </c>
      <c r="E2353">
        <v>0</v>
      </c>
      <c r="G2353">
        <f t="shared" si="72"/>
        <v>0</v>
      </c>
      <c r="H2353" s="3">
        <v>0.56999999999999995</v>
      </c>
      <c r="I2353">
        <f t="shared" si="73"/>
        <v>0</v>
      </c>
      <c r="J2353" s="1">
        <v>45620</v>
      </c>
      <c r="K2353" t="s">
        <v>44</v>
      </c>
      <c r="L2353" t="s">
        <v>16</v>
      </c>
      <c r="M2353">
        <v>211.03</v>
      </c>
    </row>
    <row r="2354" spans="1:13" x14ac:dyDescent="0.25">
      <c r="A2354">
        <v>3352</v>
      </c>
      <c r="B2354" t="s">
        <v>2363</v>
      </c>
      <c r="C2354" t="s">
        <v>28</v>
      </c>
      <c r="D2354" t="s">
        <v>29</v>
      </c>
      <c r="E2354">
        <v>2</v>
      </c>
      <c r="F2354">
        <v>2559.35</v>
      </c>
      <c r="G2354">
        <f t="shared" si="72"/>
        <v>5118.7</v>
      </c>
      <c r="I2354">
        <f t="shared" si="73"/>
        <v>5118.7</v>
      </c>
      <c r="J2354" s="1">
        <v>45207</v>
      </c>
      <c r="K2354" t="s">
        <v>18</v>
      </c>
      <c r="L2354" t="s">
        <v>16</v>
      </c>
      <c r="M2354">
        <v>1386.39</v>
      </c>
    </row>
    <row r="2355" spans="1:13" x14ac:dyDescent="0.25">
      <c r="A2355">
        <v>3353</v>
      </c>
      <c r="B2355" t="s">
        <v>811</v>
      </c>
      <c r="C2355" t="s">
        <v>20</v>
      </c>
      <c r="D2355" t="s">
        <v>118</v>
      </c>
      <c r="E2355">
        <v>0</v>
      </c>
      <c r="G2355">
        <f t="shared" si="72"/>
        <v>0</v>
      </c>
      <c r="I2355">
        <f t="shared" si="73"/>
        <v>0</v>
      </c>
      <c r="J2355" s="1">
        <v>45617</v>
      </c>
      <c r="K2355" t="s">
        <v>22</v>
      </c>
      <c r="L2355" t="s">
        <v>16</v>
      </c>
      <c r="M2355">
        <v>-766.44</v>
      </c>
    </row>
    <row r="2356" spans="1:13" x14ac:dyDescent="0.25">
      <c r="A2356">
        <v>3354</v>
      </c>
      <c r="B2356" t="s">
        <v>2364</v>
      </c>
      <c r="C2356" t="s">
        <v>20</v>
      </c>
      <c r="D2356" t="s">
        <v>118</v>
      </c>
      <c r="E2356">
        <v>2</v>
      </c>
      <c r="G2356">
        <f t="shared" si="72"/>
        <v>0</v>
      </c>
      <c r="H2356" s="3">
        <v>0.74</v>
      </c>
      <c r="I2356">
        <f t="shared" si="73"/>
        <v>0</v>
      </c>
      <c r="J2356" s="1">
        <v>45764</v>
      </c>
      <c r="K2356" t="s">
        <v>22</v>
      </c>
      <c r="L2356" t="s">
        <v>16</v>
      </c>
      <c r="M2356">
        <v>2840.37</v>
      </c>
    </row>
    <row r="2357" spans="1:13" x14ac:dyDescent="0.25">
      <c r="A2357">
        <v>3355</v>
      </c>
      <c r="B2357" t="s">
        <v>2365</v>
      </c>
      <c r="C2357" t="s">
        <v>28</v>
      </c>
      <c r="D2357" t="s">
        <v>29</v>
      </c>
      <c r="E2357">
        <v>2</v>
      </c>
      <c r="F2357">
        <v>3111.18</v>
      </c>
      <c r="G2357">
        <f t="shared" si="72"/>
        <v>6222.36</v>
      </c>
      <c r="H2357" s="3">
        <v>0.03</v>
      </c>
      <c r="I2357">
        <f t="shared" si="73"/>
        <v>6035.6891999999998</v>
      </c>
      <c r="K2357" t="s">
        <v>18</v>
      </c>
      <c r="L2357" t="s">
        <v>16</v>
      </c>
      <c r="M2357">
        <v>1851.74</v>
      </c>
    </row>
    <row r="2358" spans="1:13" x14ac:dyDescent="0.25">
      <c r="A2358">
        <v>3356</v>
      </c>
      <c r="B2358" t="s">
        <v>2366</v>
      </c>
      <c r="C2358" t="s">
        <v>25</v>
      </c>
      <c r="D2358" t="s">
        <v>62</v>
      </c>
      <c r="E2358">
        <v>1</v>
      </c>
      <c r="F2358">
        <v>966.41</v>
      </c>
      <c r="G2358">
        <f t="shared" si="72"/>
        <v>966.41</v>
      </c>
      <c r="I2358">
        <f t="shared" si="73"/>
        <v>966.41</v>
      </c>
      <c r="J2358" s="1">
        <v>45499</v>
      </c>
      <c r="K2358" t="s">
        <v>38</v>
      </c>
      <c r="L2358" t="s">
        <v>16</v>
      </c>
      <c r="M2358">
        <v>924.69</v>
      </c>
    </row>
    <row r="2359" spans="1:13" x14ac:dyDescent="0.25">
      <c r="A2359">
        <v>3357</v>
      </c>
      <c r="B2359" t="s">
        <v>2367</v>
      </c>
      <c r="C2359" t="s">
        <v>36</v>
      </c>
      <c r="D2359" t="s">
        <v>55</v>
      </c>
      <c r="E2359">
        <v>2</v>
      </c>
      <c r="F2359">
        <v>4909.58</v>
      </c>
      <c r="G2359">
        <f t="shared" si="72"/>
        <v>9819.16</v>
      </c>
      <c r="I2359">
        <f t="shared" si="73"/>
        <v>9819.16</v>
      </c>
      <c r="J2359" s="1">
        <v>45213</v>
      </c>
      <c r="K2359" t="s">
        <v>44</v>
      </c>
      <c r="L2359" t="s">
        <v>16</v>
      </c>
      <c r="M2359">
        <v>-500.19</v>
      </c>
    </row>
    <row r="2360" spans="1:13" x14ac:dyDescent="0.25">
      <c r="A2360">
        <v>3358</v>
      </c>
      <c r="B2360" t="s">
        <v>2368</v>
      </c>
      <c r="C2360" t="s">
        <v>36</v>
      </c>
      <c r="D2360" t="s">
        <v>59</v>
      </c>
      <c r="E2360">
        <v>-2</v>
      </c>
      <c r="G2360">
        <f t="shared" si="72"/>
        <v>0</v>
      </c>
      <c r="I2360">
        <f t="shared" si="73"/>
        <v>0</v>
      </c>
      <c r="J2360" s="1">
        <v>45618</v>
      </c>
      <c r="K2360" t="s">
        <v>15</v>
      </c>
      <c r="L2360" t="s">
        <v>16</v>
      </c>
      <c r="M2360">
        <v>1541.97</v>
      </c>
    </row>
    <row r="2361" spans="1:13" x14ac:dyDescent="0.25">
      <c r="A2361">
        <v>3359</v>
      </c>
      <c r="B2361" t="s">
        <v>2369</v>
      </c>
      <c r="C2361" t="s">
        <v>36</v>
      </c>
      <c r="D2361" t="s">
        <v>55</v>
      </c>
      <c r="E2361">
        <v>-2</v>
      </c>
      <c r="F2361">
        <v>1380.44</v>
      </c>
      <c r="G2361">
        <f t="shared" si="72"/>
        <v>-2760.88</v>
      </c>
      <c r="I2361">
        <f t="shared" si="73"/>
        <v>-2760.88</v>
      </c>
      <c r="K2361" t="s">
        <v>22</v>
      </c>
      <c r="L2361" t="s">
        <v>23</v>
      </c>
      <c r="M2361">
        <v>-329.81</v>
      </c>
    </row>
    <row r="2362" spans="1:13" x14ac:dyDescent="0.25">
      <c r="A2362">
        <v>3360</v>
      </c>
      <c r="B2362" t="s">
        <v>2370</v>
      </c>
      <c r="C2362" t="s">
        <v>13</v>
      </c>
      <c r="D2362" t="s">
        <v>14</v>
      </c>
      <c r="E2362">
        <v>5</v>
      </c>
      <c r="G2362">
        <f t="shared" si="72"/>
        <v>0</v>
      </c>
      <c r="I2362">
        <f t="shared" si="73"/>
        <v>0</v>
      </c>
      <c r="J2362" s="1">
        <v>45699</v>
      </c>
      <c r="K2362" t="s">
        <v>2517</v>
      </c>
      <c r="L2362" t="s">
        <v>23</v>
      </c>
      <c r="M2362">
        <v>2229.54</v>
      </c>
    </row>
    <row r="2363" spans="1:13" x14ac:dyDescent="0.25">
      <c r="A2363">
        <v>3361</v>
      </c>
      <c r="B2363" t="s">
        <v>2371</v>
      </c>
      <c r="C2363" t="s">
        <v>28</v>
      </c>
      <c r="D2363" t="s">
        <v>137</v>
      </c>
      <c r="E2363">
        <v>2</v>
      </c>
      <c r="G2363">
        <f t="shared" si="72"/>
        <v>0</v>
      </c>
      <c r="I2363">
        <f t="shared" si="73"/>
        <v>0</v>
      </c>
      <c r="K2363" t="s">
        <v>38</v>
      </c>
      <c r="L2363" t="s">
        <v>16</v>
      </c>
      <c r="M2363">
        <v>1648.42</v>
      </c>
    </row>
    <row r="2364" spans="1:13" x14ac:dyDescent="0.25">
      <c r="A2364">
        <v>3362</v>
      </c>
      <c r="B2364" t="s">
        <v>2372</v>
      </c>
      <c r="C2364" t="s">
        <v>28</v>
      </c>
      <c r="D2364" t="s">
        <v>29</v>
      </c>
      <c r="E2364">
        <v>2</v>
      </c>
      <c r="G2364">
        <f t="shared" si="72"/>
        <v>0</v>
      </c>
      <c r="I2364">
        <f t="shared" si="73"/>
        <v>0</v>
      </c>
      <c r="J2364" s="1">
        <v>45802</v>
      </c>
      <c r="K2364" t="s">
        <v>2517</v>
      </c>
      <c r="L2364" t="s">
        <v>16</v>
      </c>
      <c r="M2364">
        <v>1445.86</v>
      </c>
    </row>
    <row r="2365" spans="1:13" x14ac:dyDescent="0.25">
      <c r="A2365">
        <v>3363</v>
      </c>
      <c r="B2365" t="s">
        <v>2373</v>
      </c>
      <c r="C2365" t="s">
        <v>20</v>
      </c>
      <c r="D2365" t="s">
        <v>21</v>
      </c>
      <c r="E2365">
        <v>2</v>
      </c>
      <c r="F2365">
        <v>3754.24</v>
      </c>
      <c r="G2365">
        <f t="shared" si="72"/>
        <v>7508.48</v>
      </c>
      <c r="I2365">
        <f t="shared" si="73"/>
        <v>7508.48</v>
      </c>
      <c r="K2365" t="s">
        <v>15</v>
      </c>
      <c r="L2365" t="s">
        <v>23</v>
      </c>
      <c r="M2365">
        <v>461.46</v>
      </c>
    </row>
    <row r="2366" spans="1:13" x14ac:dyDescent="0.25">
      <c r="A2366">
        <v>3364</v>
      </c>
      <c r="B2366" t="s">
        <v>2374</v>
      </c>
      <c r="C2366" t="s">
        <v>20</v>
      </c>
      <c r="D2366" t="s">
        <v>118</v>
      </c>
      <c r="E2366">
        <v>2</v>
      </c>
      <c r="G2366">
        <f t="shared" si="72"/>
        <v>0</v>
      </c>
      <c r="I2366">
        <f t="shared" si="73"/>
        <v>0</v>
      </c>
      <c r="J2366" s="1">
        <v>45846</v>
      </c>
      <c r="K2366" t="s">
        <v>18</v>
      </c>
      <c r="L2366" t="s">
        <v>16</v>
      </c>
      <c r="M2366">
        <v>-552.42999999999995</v>
      </c>
    </row>
    <row r="2367" spans="1:13" x14ac:dyDescent="0.25">
      <c r="A2367">
        <v>3365</v>
      </c>
      <c r="B2367" t="s">
        <v>2375</v>
      </c>
      <c r="C2367" t="s">
        <v>25</v>
      </c>
      <c r="D2367" t="s">
        <v>26</v>
      </c>
      <c r="E2367">
        <v>2</v>
      </c>
      <c r="F2367">
        <v>2414.9299999999998</v>
      </c>
      <c r="G2367">
        <f t="shared" si="72"/>
        <v>4829.8599999999997</v>
      </c>
      <c r="I2367">
        <f t="shared" si="73"/>
        <v>4829.8599999999997</v>
      </c>
      <c r="J2367" s="1">
        <v>45771</v>
      </c>
      <c r="K2367" t="s">
        <v>38</v>
      </c>
      <c r="L2367" t="s">
        <v>16</v>
      </c>
      <c r="M2367">
        <v>2493.6</v>
      </c>
    </row>
    <row r="2368" spans="1:13" x14ac:dyDescent="0.25">
      <c r="A2368">
        <v>3366</v>
      </c>
      <c r="B2368" t="s">
        <v>1440</v>
      </c>
      <c r="C2368" t="s">
        <v>20</v>
      </c>
      <c r="D2368" t="s">
        <v>118</v>
      </c>
      <c r="E2368">
        <v>5</v>
      </c>
      <c r="F2368">
        <v>636.53</v>
      </c>
      <c r="G2368">
        <f t="shared" si="72"/>
        <v>3182.6499999999996</v>
      </c>
      <c r="I2368">
        <f t="shared" si="73"/>
        <v>3182.6499999999996</v>
      </c>
      <c r="J2368" s="1">
        <v>45748</v>
      </c>
      <c r="K2368" t="s">
        <v>22</v>
      </c>
      <c r="L2368" t="s">
        <v>23</v>
      </c>
      <c r="M2368">
        <v>-513.44000000000005</v>
      </c>
    </row>
    <row r="2369" spans="1:13" x14ac:dyDescent="0.25">
      <c r="A2369">
        <v>3367</v>
      </c>
      <c r="B2369" t="s">
        <v>2376</v>
      </c>
      <c r="C2369" t="s">
        <v>28</v>
      </c>
      <c r="D2369" t="s">
        <v>116</v>
      </c>
      <c r="E2369">
        <v>2</v>
      </c>
      <c r="F2369">
        <v>4206.91</v>
      </c>
      <c r="G2369">
        <f t="shared" si="72"/>
        <v>8413.82</v>
      </c>
      <c r="I2369">
        <f t="shared" si="73"/>
        <v>8413.82</v>
      </c>
      <c r="J2369" s="1">
        <v>45493</v>
      </c>
      <c r="K2369" t="s">
        <v>38</v>
      </c>
      <c r="L2369" t="s">
        <v>16</v>
      </c>
      <c r="M2369">
        <v>818.99</v>
      </c>
    </row>
    <row r="2370" spans="1:13" x14ac:dyDescent="0.25">
      <c r="A2370">
        <v>3368</v>
      </c>
      <c r="B2370" t="s">
        <v>2377</v>
      </c>
      <c r="C2370" t="s">
        <v>28</v>
      </c>
      <c r="D2370" t="s">
        <v>40</v>
      </c>
      <c r="E2370">
        <v>4</v>
      </c>
      <c r="G2370">
        <f t="shared" si="72"/>
        <v>0</v>
      </c>
      <c r="I2370">
        <f t="shared" si="73"/>
        <v>0</v>
      </c>
      <c r="K2370" t="s">
        <v>18</v>
      </c>
      <c r="L2370" t="s">
        <v>16</v>
      </c>
      <c r="M2370">
        <v>-862.24</v>
      </c>
    </row>
    <row r="2371" spans="1:13" x14ac:dyDescent="0.25">
      <c r="A2371">
        <v>3369</v>
      </c>
      <c r="B2371" t="s">
        <v>2378</v>
      </c>
      <c r="C2371" t="s">
        <v>13</v>
      </c>
      <c r="D2371" t="s">
        <v>34</v>
      </c>
      <c r="E2371">
        <v>2</v>
      </c>
      <c r="G2371">
        <f t="shared" ref="G2371:G2434" si="74">F2371*E2371</f>
        <v>0</v>
      </c>
      <c r="I2371">
        <f t="shared" ref="I2371:I2434" si="75">G2371*(1-H2371)</f>
        <v>0</v>
      </c>
      <c r="J2371" s="1">
        <v>45678</v>
      </c>
      <c r="K2371" t="s">
        <v>38</v>
      </c>
      <c r="L2371" t="s">
        <v>23</v>
      </c>
      <c r="M2371">
        <v>245.55</v>
      </c>
    </row>
    <row r="2372" spans="1:13" x14ac:dyDescent="0.25">
      <c r="A2372">
        <v>3370</v>
      </c>
      <c r="B2372" t="s">
        <v>2379</v>
      </c>
      <c r="C2372" t="s">
        <v>20</v>
      </c>
      <c r="D2372" t="s">
        <v>84</v>
      </c>
      <c r="E2372">
        <v>2</v>
      </c>
      <c r="G2372">
        <f t="shared" si="74"/>
        <v>0</v>
      </c>
      <c r="I2372">
        <f t="shared" si="75"/>
        <v>0</v>
      </c>
      <c r="J2372" s="1">
        <v>45347</v>
      </c>
      <c r="K2372" t="s">
        <v>38</v>
      </c>
      <c r="L2372" t="s">
        <v>23</v>
      </c>
      <c r="M2372">
        <v>1069.18</v>
      </c>
    </row>
    <row r="2373" spans="1:13" x14ac:dyDescent="0.25">
      <c r="A2373">
        <v>3371</v>
      </c>
      <c r="B2373" t="s">
        <v>2380</v>
      </c>
      <c r="C2373" t="s">
        <v>13</v>
      </c>
      <c r="D2373" t="s">
        <v>47</v>
      </c>
      <c r="E2373">
        <v>5</v>
      </c>
      <c r="G2373">
        <f t="shared" si="74"/>
        <v>0</v>
      </c>
      <c r="I2373">
        <f t="shared" si="75"/>
        <v>0</v>
      </c>
      <c r="J2373" s="1">
        <v>45630</v>
      </c>
      <c r="K2373" t="s">
        <v>15</v>
      </c>
      <c r="L2373" t="s">
        <v>16</v>
      </c>
      <c r="M2373">
        <v>-276.12</v>
      </c>
    </row>
    <row r="2374" spans="1:13" x14ac:dyDescent="0.25">
      <c r="A2374">
        <v>3372</v>
      </c>
      <c r="B2374" t="s">
        <v>2381</v>
      </c>
      <c r="C2374" t="s">
        <v>13</v>
      </c>
      <c r="D2374" t="s">
        <v>14</v>
      </c>
      <c r="E2374">
        <v>2</v>
      </c>
      <c r="F2374">
        <v>2291.31</v>
      </c>
      <c r="G2374">
        <f t="shared" si="74"/>
        <v>4582.62</v>
      </c>
      <c r="I2374">
        <f t="shared" si="75"/>
        <v>4582.62</v>
      </c>
      <c r="J2374" s="1">
        <v>45157</v>
      </c>
      <c r="K2374" t="s">
        <v>2517</v>
      </c>
      <c r="L2374" t="s">
        <v>23</v>
      </c>
      <c r="M2374">
        <v>-169.68</v>
      </c>
    </row>
    <row r="2375" spans="1:13" x14ac:dyDescent="0.25">
      <c r="A2375">
        <v>3373</v>
      </c>
      <c r="B2375" t="s">
        <v>2382</v>
      </c>
      <c r="C2375" t="s">
        <v>25</v>
      </c>
      <c r="D2375" t="s">
        <v>62</v>
      </c>
      <c r="E2375">
        <v>2</v>
      </c>
      <c r="F2375">
        <v>3507.48</v>
      </c>
      <c r="G2375">
        <f t="shared" si="74"/>
        <v>7014.96</v>
      </c>
      <c r="I2375">
        <f t="shared" si="75"/>
        <v>7014.96</v>
      </c>
      <c r="J2375" s="1">
        <v>45642</v>
      </c>
      <c r="K2375" t="s">
        <v>22</v>
      </c>
      <c r="L2375" t="s">
        <v>16</v>
      </c>
      <c r="M2375">
        <v>2821.27</v>
      </c>
    </row>
    <row r="2376" spans="1:13" x14ac:dyDescent="0.25">
      <c r="A2376">
        <v>3374</v>
      </c>
      <c r="B2376" t="s">
        <v>2383</v>
      </c>
      <c r="C2376" t="s">
        <v>36</v>
      </c>
      <c r="D2376" t="s">
        <v>59</v>
      </c>
      <c r="E2376">
        <v>2</v>
      </c>
      <c r="F2376">
        <v>2489.23</v>
      </c>
      <c r="G2376">
        <f t="shared" si="74"/>
        <v>4978.46</v>
      </c>
      <c r="I2376">
        <f t="shared" si="75"/>
        <v>4978.46</v>
      </c>
      <c r="J2376" s="1">
        <v>45666</v>
      </c>
      <c r="K2376" t="s">
        <v>2517</v>
      </c>
      <c r="L2376" t="s">
        <v>16</v>
      </c>
      <c r="M2376">
        <v>2977.05</v>
      </c>
    </row>
    <row r="2377" spans="1:13" x14ac:dyDescent="0.25">
      <c r="A2377">
        <v>3375</v>
      </c>
      <c r="B2377" t="s">
        <v>2384</v>
      </c>
      <c r="C2377" t="s">
        <v>20</v>
      </c>
      <c r="D2377" t="s">
        <v>84</v>
      </c>
      <c r="E2377">
        <v>2</v>
      </c>
      <c r="F2377">
        <v>442.08</v>
      </c>
      <c r="G2377">
        <f t="shared" si="74"/>
        <v>884.16</v>
      </c>
      <c r="I2377">
        <f t="shared" si="75"/>
        <v>884.16</v>
      </c>
      <c r="J2377" s="1">
        <v>45672</v>
      </c>
      <c r="K2377" t="s">
        <v>2517</v>
      </c>
      <c r="L2377" t="s">
        <v>16</v>
      </c>
      <c r="M2377">
        <v>944.55</v>
      </c>
    </row>
    <row r="2378" spans="1:13" x14ac:dyDescent="0.25">
      <c r="A2378">
        <v>3376</v>
      </c>
      <c r="B2378" t="s">
        <v>2385</v>
      </c>
      <c r="C2378" t="s">
        <v>13</v>
      </c>
      <c r="D2378" t="s">
        <v>98</v>
      </c>
      <c r="E2378">
        <v>2</v>
      </c>
      <c r="G2378">
        <f t="shared" si="74"/>
        <v>0</v>
      </c>
      <c r="I2378">
        <f t="shared" si="75"/>
        <v>0</v>
      </c>
      <c r="J2378" s="1">
        <v>45269</v>
      </c>
      <c r="K2378" t="s">
        <v>15</v>
      </c>
      <c r="L2378" t="s">
        <v>23</v>
      </c>
      <c r="M2378">
        <v>1936.25</v>
      </c>
    </row>
    <row r="2379" spans="1:13" x14ac:dyDescent="0.25">
      <c r="A2379">
        <v>3377</v>
      </c>
      <c r="B2379" t="s">
        <v>2386</v>
      </c>
      <c r="C2379" t="s">
        <v>36</v>
      </c>
      <c r="D2379" t="s">
        <v>59</v>
      </c>
      <c r="E2379">
        <v>2</v>
      </c>
      <c r="F2379">
        <v>1064.3699999999999</v>
      </c>
      <c r="G2379">
        <f t="shared" si="74"/>
        <v>2128.7399999999998</v>
      </c>
      <c r="I2379">
        <f t="shared" si="75"/>
        <v>2128.7399999999998</v>
      </c>
      <c r="J2379" s="1">
        <v>45816</v>
      </c>
      <c r="K2379" t="s">
        <v>15</v>
      </c>
      <c r="L2379" t="s">
        <v>16</v>
      </c>
      <c r="M2379">
        <v>-671.09</v>
      </c>
    </row>
    <row r="2380" spans="1:13" x14ac:dyDescent="0.25">
      <c r="A2380">
        <v>3378</v>
      </c>
      <c r="B2380" t="s">
        <v>2387</v>
      </c>
      <c r="C2380" t="s">
        <v>20</v>
      </c>
      <c r="D2380" t="s">
        <v>118</v>
      </c>
      <c r="E2380">
        <v>2</v>
      </c>
      <c r="F2380">
        <v>3675</v>
      </c>
      <c r="G2380">
        <f t="shared" si="74"/>
        <v>7350</v>
      </c>
      <c r="I2380">
        <f t="shared" si="75"/>
        <v>7350</v>
      </c>
      <c r="K2380" t="s">
        <v>44</v>
      </c>
      <c r="L2380" t="s">
        <v>16</v>
      </c>
      <c r="M2380">
        <v>2641.65</v>
      </c>
    </row>
    <row r="2381" spans="1:13" x14ac:dyDescent="0.25">
      <c r="A2381">
        <v>3379</v>
      </c>
      <c r="B2381" t="s">
        <v>2388</v>
      </c>
      <c r="C2381" t="s">
        <v>28</v>
      </c>
      <c r="D2381" t="s">
        <v>137</v>
      </c>
      <c r="E2381">
        <v>-2</v>
      </c>
      <c r="G2381">
        <f t="shared" si="74"/>
        <v>0</v>
      </c>
      <c r="I2381">
        <f t="shared" si="75"/>
        <v>0</v>
      </c>
      <c r="J2381" s="1">
        <v>45445</v>
      </c>
      <c r="K2381" t="s">
        <v>44</v>
      </c>
      <c r="L2381" t="s">
        <v>16</v>
      </c>
      <c r="M2381">
        <v>-861.83</v>
      </c>
    </row>
    <row r="2382" spans="1:13" x14ac:dyDescent="0.25">
      <c r="A2382">
        <v>3380</v>
      </c>
      <c r="B2382" t="s">
        <v>2389</v>
      </c>
      <c r="C2382" t="s">
        <v>36</v>
      </c>
      <c r="D2382" t="s">
        <v>87</v>
      </c>
      <c r="E2382">
        <v>2</v>
      </c>
      <c r="F2382">
        <v>4166.34</v>
      </c>
      <c r="G2382">
        <f t="shared" si="74"/>
        <v>8332.68</v>
      </c>
      <c r="I2382">
        <f t="shared" si="75"/>
        <v>8332.68</v>
      </c>
      <c r="J2382" s="1">
        <v>45579</v>
      </c>
      <c r="K2382" t="s">
        <v>2517</v>
      </c>
      <c r="L2382" t="s">
        <v>23</v>
      </c>
      <c r="M2382">
        <v>317.31</v>
      </c>
    </row>
    <row r="2383" spans="1:13" x14ac:dyDescent="0.25">
      <c r="A2383">
        <v>3381</v>
      </c>
      <c r="B2383" t="s">
        <v>2390</v>
      </c>
      <c r="C2383" t="s">
        <v>25</v>
      </c>
      <c r="D2383" t="s">
        <v>62</v>
      </c>
      <c r="E2383">
        <v>-1</v>
      </c>
      <c r="G2383">
        <f t="shared" si="74"/>
        <v>0</v>
      </c>
      <c r="H2383" s="3">
        <v>0.1</v>
      </c>
      <c r="I2383">
        <f t="shared" si="75"/>
        <v>0</v>
      </c>
      <c r="J2383" s="1">
        <v>45563</v>
      </c>
      <c r="K2383" t="s">
        <v>18</v>
      </c>
      <c r="L2383" t="s">
        <v>16</v>
      </c>
      <c r="M2383">
        <v>2205.09</v>
      </c>
    </row>
    <row r="2384" spans="1:13" x14ac:dyDescent="0.25">
      <c r="A2384">
        <v>3382</v>
      </c>
      <c r="B2384" t="s">
        <v>2391</v>
      </c>
      <c r="C2384" t="s">
        <v>25</v>
      </c>
      <c r="D2384" t="s">
        <v>82</v>
      </c>
      <c r="E2384">
        <v>1</v>
      </c>
      <c r="G2384">
        <f t="shared" si="74"/>
        <v>0</v>
      </c>
      <c r="I2384">
        <f t="shared" si="75"/>
        <v>0</v>
      </c>
      <c r="J2384" s="1">
        <v>45755</v>
      </c>
      <c r="K2384" t="s">
        <v>2517</v>
      </c>
      <c r="L2384" t="s">
        <v>16</v>
      </c>
      <c r="M2384">
        <v>1711.89</v>
      </c>
    </row>
    <row r="2385" spans="1:13" x14ac:dyDescent="0.25">
      <c r="A2385">
        <v>3383</v>
      </c>
      <c r="B2385" t="s">
        <v>2392</v>
      </c>
      <c r="C2385" t="s">
        <v>13</v>
      </c>
      <c r="D2385" t="s">
        <v>34</v>
      </c>
      <c r="E2385">
        <v>2</v>
      </c>
      <c r="G2385">
        <f t="shared" si="74"/>
        <v>0</v>
      </c>
      <c r="H2385" s="3">
        <v>0.64</v>
      </c>
      <c r="I2385">
        <f t="shared" si="75"/>
        <v>0</v>
      </c>
      <c r="J2385" s="1">
        <v>45133</v>
      </c>
      <c r="K2385" t="s">
        <v>18</v>
      </c>
      <c r="L2385" t="s">
        <v>23</v>
      </c>
      <c r="M2385">
        <v>1101.95</v>
      </c>
    </row>
    <row r="2386" spans="1:13" x14ac:dyDescent="0.25">
      <c r="A2386">
        <v>3384</v>
      </c>
      <c r="B2386" t="s">
        <v>2393</v>
      </c>
      <c r="C2386" t="s">
        <v>36</v>
      </c>
      <c r="D2386" t="s">
        <v>59</v>
      </c>
      <c r="E2386">
        <v>1</v>
      </c>
      <c r="F2386">
        <v>2282.7600000000002</v>
      </c>
      <c r="G2386">
        <f t="shared" si="74"/>
        <v>2282.7600000000002</v>
      </c>
      <c r="H2386" s="3">
        <v>0.57999999999999996</v>
      </c>
      <c r="I2386">
        <f t="shared" si="75"/>
        <v>958.75920000000019</v>
      </c>
      <c r="J2386" s="1">
        <v>45600</v>
      </c>
      <c r="K2386" t="s">
        <v>38</v>
      </c>
      <c r="L2386" t="s">
        <v>16</v>
      </c>
      <c r="M2386">
        <v>1133.68</v>
      </c>
    </row>
    <row r="2387" spans="1:13" x14ac:dyDescent="0.25">
      <c r="A2387">
        <v>3385</v>
      </c>
      <c r="B2387" t="s">
        <v>2394</v>
      </c>
      <c r="C2387" t="s">
        <v>36</v>
      </c>
      <c r="D2387" t="s">
        <v>87</v>
      </c>
      <c r="E2387">
        <v>2</v>
      </c>
      <c r="F2387">
        <v>2394.84</v>
      </c>
      <c r="G2387">
        <f t="shared" si="74"/>
        <v>4789.68</v>
      </c>
      <c r="I2387">
        <f t="shared" si="75"/>
        <v>4789.68</v>
      </c>
      <c r="J2387" s="1">
        <v>45564</v>
      </c>
      <c r="K2387" t="s">
        <v>18</v>
      </c>
      <c r="L2387" t="s">
        <v>23</v>
      </c>
      <c r="M2387">
        <v>1007.9</v>
      </c>
    </row>
    <row r="2388" spans="1:13" x14ac:dyDescent="0.25">
      <c r="A2388">
        <v>3386</v>
      </c>
      <c r="B2388" t="s">
        <v>2395</v>
      </c>
      <c r="C2388" t="s">
        <v>31</v>
      </c>
      <c r="D2388" t="s">
        <v>68</v>
      </c>
      <c r="E2388">
        <v>1</v>
      </c>
      <c r="G2388">
        <f t="shared" si="74"/>
        <v>0</v>
      </c>
      <c r="H2388" s="3">
        <v>1.18</v>
      </c>
      <c r="I2388">
        <f t="shared" si="75"/>
        <v>0</v>
      </c>
      <c r="J2388" s="1">
        <v>45811</v>
      </c>
      <c r="K2388" t="s">
        <v>22</v>
      </c>
      <c r="L2388" t="s">
        <v>16</v>
      </c>
      <c r="M2388">
        <v>21.39</v>
      </c>
    </row>
    <row r="2389" spans="1:13" x14ac:dyDescent="0.25">
      <c r="A2389">
        <v>3387</v>
      </c>
      <c r="B2389" t="s">
        <v>2396</v>
      </c>
      <c r="C2389" t="s">
        <v>13</v>
      </c>
      <c r="D2389" t="s">
        <v>98</v>
      </c>
      <c r="E2389">
        <v>2</v>
      </c>
      <c r="G2389">
        <f t="shared" si="74"/>
        <v>0</v>
      </c>
      <c r="I2389">
        <f t="shared" si="75"/>
        <v>0</v>
      </c>
      <c r="J2389" s="1">
        <v>45848</v>
      </c>
      <c r="K2389" t="s">
        <v>38</v>
      </c>
      <c r="L2389" t="s">
        <v>16</v>
      </c>
      <c r="M2389">
        <v>-48.14</v>
      </c>
    </row>
    <row r="2390" spans="1:13" x14ac:dyDescent="0.25">
      <c r="A2390">
        <v>1011</v>
      </c>
      <c r="B2390" t="s">
        <v>2397</v>
      </c>
      <c r="C2390" t="s">
        <v>36</v>
      </c>
      <c r="D2390" t="s">
        <v>37</v>
      </c>
      <c r="E2390">
        <v>2</v>
      </c>
      <c r="F2390">
        <v>2842.91</v>
      </c>
      <c r="G2390">
        <f t="shared" si="74"/>
        <v>5685.82</v>
      </c>
      <c r="I2390">
        <f t="shared" si="75"/>
        <v>5685.82</v>
      </c>
      <c r="J2390" s="1">
        <v>45828</v>
      </c>
      <c r="K2390" t="s">
        <v>22</v>
      </c>
      <c r="L2390" t="s">
        <v>16</v>
      </c>
      <c r="M2390">
        <v>-835.65</v>
      </c>
    </row>
    <row r="2391" spans="1:13" x14ac:dyDescent="0.25">
      <c r="A2391">
        <v>3389</v>
      </c>
      <c r="B2391" t="s">
        <v>2398</v>
      </c>
      <c r="C2391" t="s">
        <v>28</v>
      </c>
      <c r="D2391" t="s">
        <v>116</v>
      </c>
      <c r="E2391">
        <v>-1</v>
      </c>
      <c r="G2391">
        <f t="shared" si="74"/>
        <v>0</v>
      </c>
      <c r="H2391" s="3">
        <v>0.85</v>
      </c>
      <c r="I2391">
        <f t="shared" si="75"/>
        <v>0</v>
      </c>
      <c r="K2391" t="s">
        <v>18</v>
      </c>
      <c r="L2391" t="s">
        <v>16</v>
      </c>
      <c r="M2391">
        <v>146.53</v>
      </c>
    </row>
    <row r="2392" spans="1:13" x14ac:dyDescent="0.25">
      <c r="A2392">
        <v>3390</v>
      </c>
      <c r="B2392" t="s">
        <v>2399</v>
      </c>
      <c r="C2392" t="s">
        <v>25</v>
      </c>
      <c r="D2392" t="s">
        <v>82</v>
      </c>
      <c r="E2392">
        <v>1</v>
      </c>
      <c r="F2392">
        <v>1280.52</v>
      </c>
      <c r="G2392">
        <f t="shared" si="74"/>
        <v>1280.52</v>
      </c>
      <c r="H2392" s="3">
        <v>0.94</v>
      </c>
      <c r="I2392">
        <f t="shared" si="75"/>
        <v>76.831200000000067</v>
      </c>
      <c r="K2392" t="s">
        <v>38</v>
      </c>
      <c r="L2392" t="s">
        <v>23</v>
      </c>
      <c r="M2392">
        <v>1626.42</v>
      </c>
    </row>
    <row r="2393" spans="1:13" x14ac:dyDescent="0.25">
      <c r="A2393">
        <v>3391</v>
      </c>
      <c r="B2393" t="s">
        <v>2400</v>
      </c>
      <c r="C2393" t="s">
        <v>20</v>
      </c>
      <c r="D2393" t="s">
        <v>76</v>
      </c>
      <c r="E2393">
        <v>3</v>
      </c>
      <c r="F2393">
        <v>1730.64</v>
      </c>
      <c r="G2393">
        <f t="shared" si="74"/>
        <v>5191.92</v>
      </c>
      <c r="H2393" s="3">
        <v>0.7</v>
      </c>
      <c r="I2393">
        <f t="shared" si="75"/>
        <v>1557.5760000000002</v>
      </c>
      <c r="K2393" t="s">
        <v>15</v>
      </c>
      <c r="L2393" t="s">
        <v>16</v>
      </c>
      <c r="M2393">
        <v>719.69</v>
      </c>
    </row>
    <row r="2394" spans="1:13" x14ac:dyDescent="0.25">
      <c r="A2394">
        <v>3392</v>
      </c>
      <c r="B2394" t="s">
        <v>2401</v>
      </c>
      <c r="C2394" t="s">
        <v>20</v>
      </c>
      <c r="D2394" t="s">
        <v>21</v>
      </c>
      <c r="E2394">
        <v>0</v>
      </c>
      <c r="G2394">
        <f t="shared" si="74"/>
        <v>0</v>
      </c>
      <c r="H2394" s="3">
        <v>0.38</v>
      </c>
      <c r="I2394">
        <f t="shared" si="75"/>
        <v>0</v>
      </c>
      <c r="J2394" s="1">
        <v>45552</v>
      </c>
      <c r="K2394" t="s">
        <v>2517</v>
      </c>
      <c r="L2394" t="s">
        <v>23</v>
      </c>
      <c r="M2394">
        <v>1036.57</v>
      </c>
    </row>
    <row r="2395" spans="1:13" x14ac:dyDescent="0.25">
      <c r="A2395">
        <v>3393</v>
      </c>
      <c r="B2395" t="s">
        <v>2402</v>
      </c>
      <c r="C2395" t="s">
        <v>28</v>
      </c>
      <c r="D2395" t="s">
        <v>40</v>
      </c>
      <c r="E2395">
        <v>5</v>
      </c>
      <c r="G2395">
        <f t="shared" si="74"/>
        <v>0</v>
      </c>
      <c r="H2395" s="3">
        <v>7.0000000000000007E-2</v>
      </c>
      <c r="I2395">
        <f t="shared" si="75"/>
        <v>0</v>
      </c>
      <c r="K2395" t="s">
        <v>22</v>
      </c>
      <c r="L2395" t="s">
        <v>16</v>
      </c>
      <c r="M2395">
        <v>560.09</v>
      </c>
    </row>
    <row r="2396" spans="1:13" x14ac:dyDescent="0.25">
      <c r="A2396">
        <v>3394</v>
      </c>
      <c r="B2396" t="s">
        <v>2403</v>
      </c>
      <c r="C2396" t="s">
        <v>13</v>
      </c>
      <c r="D2396" t="s">
        <v>34</v>
      </c>
      <c r="E2396">
        <v>2</v>
      </c>
      <c r="F2396">
        <v>1509.34</v>
      </c>
      <c r="G2396">
        <f t="shared" si="74"/>
        <v>3018.68</v>
      </c>
      <c r="I2396">
        <f t="shared" si="75"/>
        <v>3018.68</v>
      </c>
      <c r="J2396" s="1">
        <v>45692</v>
      </c>
      <c r="K2396" t="s">
        <v>22</v>
      </c>
      <c r="L2396" t="s">
        <v>16</v>
      </c>
      <c r="M2396">
        <v>1037.8499999999999</v>
      </c>
    </row>
    <row r="2397" spans="1:13" x14ac:dyDescent="0.25">
      <c r="A2397">
        <v>3395</v>
      </c>
      <c r="B2397" t="s">
        <v>2404</v>
      </c>
      <c r="C2397" t="s">
        <v>25</v>
      </c>
      <c r="D2397" t="s">
        <v>62</v>
      </c>
      <c r="E2397">
        <v>2</v>
      </c>
      <c r="G2397">
        <f t="shared" si="74"/>
        <v>0</v>
      </c>
      <c r="I2397">
        <f t="shared" si="75"/>
        <v>0</v>
      </c>
      <c r="J2397" s="1">
        <v>45597</v>
      </c>
      <c r="K2397" t="s">
        <v>44</v>
      </c>
      <c r="L2397" t="s">
        <v>23</v>
      </c>
      <c r="M2397">
        <v>-23.94</v>
      </c>
    </row>
    <row r="2398" spans="1:13" x14ac:dyDescent="0.25">
      <c r="A2398">
        <v>3396</v>
      </c>
      <c r="B2398" t="s">
        <v>2405</v>
      </c>
      <c r="C2398" t="s">
        <v>20</v>
      </c>
      <c r="D2398" t="s">
        <v>118</v>
      </c>
      <c r="E2398">
        <v>2</v>
      </c>
      <c r="F2398">
        <v>3760.09</v>
      </c>
      <c r="G2398">
        <f t="shared" si="74"/>
        <v>7520.18</v>
      </c>
      <c r="I2398">
        <f t="shared" si="75"/>
        <v>7520.18</v>
      </c>
      <c r="J2398" s="1">
        <v>45638</v>
      </c>
      <c r="K2398" t="s">
        <v>2517</v>
      </c>
      <c r="L2398" t="s">
        <v>16</v>
      </c>
      <c r="M2398">
        <v>-871.94</v>
      </c>
    </row>
    <row r="2399" spans="1:13" x14ac:dyDescent="0.25">
      <c r="A2399">
        <v>3397</v>
      </c>
      <c r="B2399" t="s">
        <v>2406</v>
      </c>
      <c r="C2399" t="s">
        <v>13</v>
      </c>
      <c r="D2399" t="s">
        <v>47</v>
      </c>
      <c r="E2399">
        <v>2</v>
      </c>
      <c r="G2399">
        <f t="shared" si="74"/>
        <v>0</v>
      </c>
      <c r="I2399">
        <f t="shared" si="75"/>
        <v>0</v>
      </c>
      <c r="K2399" t="s">
        <v>18</v>
      </c>
      <c r="L2399" t="s">
        <v>16</v>
      </c>
      <c r="M2399">
        <v>477.59</v>
      </c>
    </row>
    <row r="2400" spans="1:13" x14ac:dyDescent="0.25">
      <c r="A2400">
        <v>3398</v>
      </c>
      <c r="B2400" t="s">
        <v>2407</v>
      </c>
      <c r="C2400" t="s">
        <v>36</v>
      </c>
      <c r="D2400" t="s">
        <v>55</v>
      </c>
      <c r="E2400">
        <v>2</v>
      </c>
      <c r="F2400">
        <v>2784.25</v>
      </c>
      <c r="G2400">
        <f t="shared" si="74"/>
        <v>5568.5</v>
      </c>
      <c r="I2400">
        <f t="shared" si="75"/>
        <v>5568.5</v>
      </c>
      <c r="K2400" t="s">
        <v>2517</v>
      </c>
      <c r="L2400" t="s">
        <v>23</v>
      </c>
      <c r="M2400">
        <v>-348.84</v>
      </c>
    </row>
    <row r="2401" spans="1:13" x14ac:dyDescent="0.25">
      <c r="A2401">
        <v>3399</v>
      </c>
      <c r="B2401" t="s">
        <v>2408</v>
      </c>
      <c r="C2401" t="s">
        <v>13</v>
      </c>
      <c r="D2401" t="s">
        <v>98</v>
      </c>
      <c r="E2401">
        <v>5</v>
      </c>
      <c r="F2401">
        <v>3111.73</v>
      </c>
      <c r="G2401">
        <f t="shared" si="74"/>
        <v>15558.65</v>
      </c>
      <c r="I2401">
        <f t="shared" si="75"/>
        <v>15558.65</v>
      </c>
      <c r="J2401" s="1">
        <v>45484</v>
      </c>
      <c r="K2401" t="s">
        <v>38</v>
      </c>
      <c r="L2401" t="s">
        <v>16</v>
      </c>
      <c r="M2401">
        <v>800.89</v>
      </c>
    </row>
    <row r="2402" spans="1:13" x14ac:dyDescent="0.25">
      <c r="A2402">
        <v>3400</v>
      </c>
      <c r="B2402" t="s">
        <v>2409</v>
      </c>
      <c r="C2402" t="s">
        <v>20</v>
      </c>
      <c r="D2402" t="s">
        <v>21</v>
      </c>
      <c r="E2402">
        <v>0</v>
      </c>
      <c r="F2402">
        <v>1249.6400000000001</v>
      </c>
      <c r="G2402">
        <f t="shared" si="74"/>
        <v>0</v>
      </c>
      <c r="I2402">
        <f t="shared" si="75"/>
        <v>0</v>
      </c>
      <c r="J2402" s="1">
        <v>45830</v>
      </c>
      <c r="K2402" t="s">
        <v>44</v>
      </c>
      <c r="L2402" t="s">
        <v>16</v>
      </c>
      <c r="M2402">
        <v>-646.04</v>
      </c>
    </row>
    <row r="2403" spans="1:13" x14ac:dyDescent="0.25">
      <c r="A2403">
        <v>3401</v>
      </c>
      <c r="B2403" t="s">
        <v>2410</v>
      </c>
      <c r="C2403" t="s">
        <v>20</v>
      </c>
      <c r="D2403" t="s">
        <v>21</v>
      </c>
      <c r="E2403">
        <v>2</v>
      </c>
      <c r="F2403">
        <v>1960.15</v>
      </c>
      <c r="G2403">
        <f t="shared" si="74"/>
        <v>3920.3</v>
      </c>
      <c r="I2403">
        <f t="shared" si="75"/>
        <v>3920.3</v>
      </c>
      <c r="J2403" s="1">
        <v>45570</v>
      </c>
      <c r="K2403" t="s">
        <v>2517</v>
      </c>
      <c r="L2403" t="s">
        <v>23</v>
      </c>
      <c r="M2403">
        <v>1816.17</v>
      </c>
    </row>
    <row r="2404" spans="1:13" x14ac:dyDescent="0.25">
      <c r="A2404">
        <v>3402</v>
      </c>
      <c r="B2404" t="s">
        <v>2411</v>
      </c>
      <c r="C2404" t="s">
        <v>36</v>
      </c>
      <c r="D2404" t="s">
        <v>55</v>
      </c>
      <c r="E2404">
        <v>2</v>
      </c>
      <c r="G2404">
        <f t="shared" si="74"/>
        <v>0</v>
      </c>
      <c r="H2404" s="3">
        <v>0.02</v>
      </c>
      <c r="I2404">
        <f t="shared" si="75"/>
        <v>0</v>
      </c>
      <c r="J2404" s="1">
        <v>45657</v>
      </c>
      <c r="K2404" t="s">
        <v>22</v>
      </c>
      <c r="L2404" t="s">
        <v>16</v>
      </c>
      <c r="M2404">
        <v>619.20000000000005</v>
      </c>
    </row>
    <row r="2405" spans="1:13" x14ac:dyDescent="0.25">
      <c r="A2405">
        <v>3403</v>
      </c>
      <c r="B2405" t="s">
        <v>2412</v>
      </c>
      <c r="C2405" t="s">
        <v>31</v>
      </c>
      <c r="D2405" t="s">
        <v>78</v>
      </c>
      <c r="E2405">
        <v>2</v>
      </c>
      <c r="F2405">
        <v>2609.06</v>
      </c>
      <c r="G2405">
        <f t="shared" si="74"/>
        <v>5218.12</v>
      </c>
      <c r="H2405" s="3">
        <v>0.65</v>
      </c>
      <c r="I2405">
        <f t="shared" si="75"/>
        <v>1826.3419999999999</v>
      </c>
      <c r="J2405" s="1">
        <v>45775</v>
      </c>
      <c r="K2405" t="s">
        <v>2517</v>
      </c>
      <c r="L2405" t="s">
        <v>16</v>
      </c>
      <c r="M2405">
        <v>2036.75</v>
      </c>
    </row>
    <row r="2406" spans="1:13" x14ac:dyDescent="0.25">
      <c r="A2406">
        <v>3404</v>
      </c>
      <c r="B2406" t="s">
        <v>2413</v>
      </c>
      <c r="C2406" t="s">
        <v>28</v>
      </c>
      <c r="D2406" t="s">
        <v>137</v>
      </c>
      <c r="E2406">
        <v>5</v>
      </c>
      <c r="G2406">
        <f t="shared" si="74"/>
        <v>0</v>
      </c>
      <c r="H2406" s="3">
        <v>0.81</v>
      </c>
      <c r="I2406">
        <f t="shared" si="75"/>
        <v>0</v>
      </c>
      <c r="J2406" s="1">
        <v>45782</v>
      </c>
      <c r="K2406" t="s">
        <v>44</v>
      </c>
      <c r="L2406" t="s">
        <v>23</v>
      </c>
      <c r="M2406">
        <v>1283.58</v>
      </c>
    </row>
    <row r="2407" spans="1:13" x14ac:dyDescent="0.25">
      <c r="A2407">
        <v>3405</v>
      </c>
      <c r="B2407" t="s">
        <v>2414</v>
      </c>
      <c r="C2407" t="s">
        <v>31</v>
      </c>
      <c r="D2407" t="s">
        <v>78</v>
      </c>
      <c r="E2407">
        <v>2</v>
      </c>
      <c r="F2407">
        <v>2310.4699999999998</v>
      </c>
      <c r="G2407">
        <f t="shared" si="74"/>
        <v>4620.9399999999996</v>
      </c>
      <c r="I2407">
        <f t="shared" si="75"/>
        <v>4620.9399999999996</v>
      </c>
      <c r="K2407" t="s">
        <v>22</v>
      </c>
      <c r="L2407" t="s">
        <v>16</v>
      </c>
      <c r="M2407">
        <v>393.88</v>
      </c>
    </row>
    <row r="2408" spans="1:13" x14ac:dyDescent="0.25">
      <c r="A2408">
        <v>3406</v>
      </c>
      <c r="B2408" t="s">
        <v>2415</v>
      </c>
      <c r="C2408" t="s">
        <v>36</v>
      </c>
      <c r="D2408" t="s">
        <v>55</v>
      </c>
      <c r="E2408">
        <v>2</v>
      </c>
      <c r="G2408">
        <f t="shared" si="74"/>
        <v>0</v>
      </c>
      <c r="I2408">
        <f t="shared" si="75"/>
        <v>0</v>
      </c>
      <c r="J2408" s="1">
        <v>45384</v>
      </c>
      <c r="K2408" t="s">
        <v>22</v>
      </c>
      <c r="L2408" t="s">
        <v>16</v>
      </c>
      <c r="M2408">
        <v>-513.37</v>
      </c>
    </row>
    <row r="2409" spans="1:13" x14ac:dyDescent="0.25">
      <c r="A2409">
        <v>3407</v>
      </c>
      <c r="B2409" t="s">
        <v>2416</v>
      </c>
      <c r="C2409" t="s">
        <v>13</v>
      </c>
      <c r="D2409" t="s">
        <v>98</v>
      </c>
      <c r="E2409">
        <v>1</v>
      </c>
      <c r="G2409">
        <f t="shared" si="74"/>
        <v>0</v>
      </c>
      <c r="H2409" s="3">
        <v>0.67</v>
      </c>
      <c r="I2409">
        <f t="shared" si="75"/>
        <v>0</v>
      </c>
      <c r="J2409" s="1">
        <v>45166</v>
      </c>
      <c r="K2409" t="s">
        <v>18</v>
      </c>
      <c r="L2409" t="s">
        <v>16</v>
      </c>
      <c r="M2409">
        <v>-540.69000000000005</v>
      </c>
    </row>
    <row r="2410" spans="1:13" x14ac:dyDescent="0.25">
      <c r="A2410">
        <v>3408</v>
      </c>
      <c r="B2410" t="s">
        <v>2417</v>
      </c>
      <c r="C2410" t="s">
        <v>28</v>
      </c>
      <c r="D2410" t="s">
        <v>116</v>
      </c>
      <c r="E2410">
        <v>2</v>
      </c>
      <c r="F2410">
        <v>4003.66</v>
      </c>
      <c r="G2410">
        <f t="shared" si="74"/>
        <v>8007.32</v>
      </c>
      <c r="I2410">
        <f t="shared" si="75"/>
        <v>8007.32</v>
      </c>
      <c r="J2410" s="1">
        <v>45570</v>
      </c>
      <c r="K2410" t="s">
        <v>2517</v>
      </c>
      <c r="L2410" t="s">
        <v>23</v>
      </c>
      <c r="M2410">
        <v>1340.94</v>
      </c>
    </row>
    <row r="2411" spans="1:13" x14ac:dyDescent="0.25">
      <c r="A2411">
        <v>3409</v>
      </c>
      <c r="B2411" t="s">
        <v>2418</v>
      </c>
      <c r="C2411" t="s">
        <v>20</v>
      </c>
      <c r="D2411" t="s">
        <v>84</v>
      </c>
      <c r="E2411">
        <v>-1</v>
      </c>
      <c r="F2411">
        <v>2123.17</v>
      </c>
      <c r="G2411">
        <f t="shared" si="74"/>
        <v>-2123.17</v>
      </c>
      <c r="I2411">
        <f t="shared" si="75"/>
        <v>-2123.17</v>
      </c>
      <c r="K2411" t="s">
        <v>15</v>
      </c>
      <c r="L2411" t="s">
        <v>16</v>
      </c>
      <c r="M2411">
        <v>-717.75</v>
      </c>
    </row>
    <row r="2412" spans="1:13" x14ac:dyDescent="0.25">
      <c r="A2412">
        <v>3410</v>
      </c>
      <c r="B2412" t="s">
        <v>2419</v>
      </c>
      <c r="C2412" t="s">
        <v>36</v>
      </c>
      <c r="D2412" t="s">
        <v>59</v>
      </c>
      <c r="E2412">
        <v>2</v>
      </c>
      <c r="F2412">
        <v>4732.42</v>
      </c>
      <c r="G2412">
        <f t="shared" si="74"/>
        <v>9464.84</v>
      </c>
      <c r="I2412">
        <f t="shared" si="75"/>
        <v>9464.84</v>
      </c>
      <c r="J2412" s="1">
        <v>45844</v>
      </c>
      <c r="K2412" t="s">
        <v>18</v>
      </c>
      <c r="L2412" t="s">
        <v>16</v>
      </c>
      <c r="M2412">
        <v>916.47</v>
      </c>
    </row>
    <row r="2413" spans="1:13" x14ac:dyDescent="0.25">
      <c r="A2413">
        <v>3411</v>
      </c>
      <c r="B2413" t="s">
        <v>2420</v>
      </c>
      <c r="C2413" t="s">
        <v>25</v>
      </c>
      <c r="D2413" t="s">
        <v>82</v>
      </c>
      <c r="E2413">
        <v>2</v>
      </c>
      <c r="G2413">
        <f t="shared" si="74"/>
        <v>0</v>
      </c>
      <c r="H2413" s="3">
        <v>0.57999999999999996</v>
      </c>
      <c r="I2413">
        <f t="shared" si="75"/>
        <v>0</v>
      </c>
      <c r="J2413" s="1">
        <v>45651</v>
      </c>
      <c r="K2413" t="s">
        <v>2517</v>
      </c>
      <c r="L2413" t="s">
        <v>23</v>
      </c>
      <c r="M2413">
        <v>1693.4</v>
      </c>
    </row>
    <row r="2414" spans="1:13" x14ac:dyDescent="0.25">
      <c r="A2414">
        <v>3412</v>
      </c>
      <c r="B2414" t="s">
        <v>2421</v>
      </c>
      <c r="C2414" t="s">
        <v>13</v>
      </c>
      <c r="D2414" t="s">
        <v>98</v>
      </c>
      <c r="E2414">
        <v>2</v>
      </c>
      <c r="G2414">
        <f t="shared" si="74"/>
        <v>0</v>
      </c>
      <c r="I2414">
        <f t="shared" si="75"/>
        <v>0</v>
      </c>
      <c r="J2414" s="1">
        <v>45592</v>
      </c>
      <c r="K2414" t="s">
        <v>18</v>
      </c>
      <c r="L2414" t="s">
        <v>16</v>
      </c>
      <c r="M2414">
        <v>2625.33</v>
      </c>
    </row>
    <row r="2415" spans="1:13" x14ac:dyDescent="0.25">
      <c r="A2415">
        <v>3413</v>
      </c>
      <c r="B2415" t="s">
        <v>2422</v>
      </c>
      <c r="C2415" t="s">
        <v>36</v>
      </c>
      <c r="D2415" t="s">
        <v>55</v>
      </c>
      <c r="E2415">
        <v>2</v>
      </c>
      <c r="G2415">
        <f t="shared" si="74"/>
        <v>0</v>
      </c>
      <c r="I2415">
        <f t="shared" si="75"/>
        <v>0</v>
      </c>
      <c r="K2415" t="s">
        <v>38</v>
      </c>
      <c r="L2415" t="s">
        <v>16</v>
      </c>
      <c r="M2415">
        <v>2402.84</v>
      </c>
    </row>
    <row r="2416" spans="1:13" x14ac:dyDescent="0.25">
      <c r="A2416">
        <v>3414</v>
      </c>
      <c r="B2416" t="s">
        <v>2423</v>
      </c>
      <c r="C2416" t="s">
        <v>25</v>
      </c>
      <c r="D2416" t="s">
        <v>82</v>
      </c>
      <c r="E2416">
        <v>1</v>
      </c>
      <c r="G2416">
        <f t="shared" si="74"/>
        <v>0</v>
      </c>
      <c r="I2416">
        <f t="shared" si="75"/>
        <v>0</v>
      </c>
      <c r="J2416" s="1">
        <v>45652</v>
      </c>
      <c r="K2416" t="s">
        <v>18</v>
      </c>
      <c r="L2416" t="s">
        <v>23</v>
      </c>
      <c r="M2416">
        <v>2783.42</v>
      </c>
    </row>
    <row r="2417" spans="1:13" x14ac:dyDescent="0.25">
      <c r="A2417">
        <v>3415</v>
      </c>
      <c r="B2417" t="s">
        <v>2424</v>
      </c>
      <c r="C2417" t="s">
        <v>31</v>
      </c>
      <c r="D2417" t="s">
        <v>42</v>
      </c>
      <c r="E2417">
        <v>4</v>
      </c>
      <c r="F2417">
        <v>3185.58</v>
      </c>
      <c r="G2417">
        <f t="shared" si="74"/>
        <v>12742.32</v>
      </c>
      <c r="H2417" s="3">
        <v>1.1499999999999999</v>
      </c>
      <c r="I2417">
        <f t="shared" si="75"/>
        <v>-1911.3479999999988</v>
      </c>
      <c r="J2417" s="1">
        <v>45453</v>
      </c>
      <c r="K2417" t="s">
        <v>15</v>
      </c>
      <c r="L2417" t="s">
        <v>16</v>
      </c>
      <c r="M2417">
        <v>-767.38</v>
      </c>
    </row>
    <row r="2418" spans="1:13" x14ac:dyDescent="0.25">
      <c r="A2418">
        <v>3416</v>
      </c>
      <c r="B2418" t="s">
        <v>2425</v>
      </c>
      <c r="C2418" t="s">
        <v>20</v>
      </c>
      <c r="D2418" t="s">
        <v>21</v>
      </c>
      <c r="E2418">
        <v>-1</v>
      </c>
      <c r="G2418">
        <f t="shared" si="74"/>
        <v>0</v>
      </c>
      <c r="I2418">
        <f t="shared" si="75"/>
        <v>0</v>
      </c>
      <c r="J2418" s="1">
        <v>45516</v>
      </c>
      <c r="K2418" t="s">
        <v>38</v>
      </c>
      <c r="L2418" t="s">
        <v>23</v>
      </c>
      <c r="M2418">
        <v>2344.15</v>
      </c>
    </row>
    <row r="2419" spans="1:13" x14ac:dyDescent="0.25">
      <c r="A2419">
        <v>3417</v>
      </c>
      <c r="B2419" t="s">
        <v>2426</v>
      </c>
      <c r="C2419" t="s">
        <v>13</v>
      </c>
      <c r="D2419" t="s">
        <v>47</v>
      </c>
      <c r="E2419">
        <v>2</v>
      </c>
      <c r="G2419">
        <f t="shared" si="74"/>
        <v>0</v>
      </c>
      <c r="I2419">
        <f t="shared" si="75"/>
        <v>0</v>
      </c>
      <c r="J2419" s="1">
        <v>45686</v>
      </c>
      <c r="K2419" t="s">
        <v>15</v>
      </c>
      <c r="L2419" t="s">
        <v>16</v>
      </c>
      <c r="M2419">
        <v>-938.64</v>
      </c>
    </row>
    <row r="2420" spans="1:13" x14ac:dyDescent="0.25">
      <c r="A2420">
        <v>3418</v>
      </c>
      <c r="B2420" t="s">
        <v>2427</v>
      </c>
      <c r="C2420" t="s">
        <v>13</v>
      </c>
      <c r="D2420" t="s">
        <v>14</v>
      </c>
      <c r="E2420">
        <v>6</v>
      </c>
      <c r="G2420">
        <f t="shared" si="74"/>
        <v>0</v>
      </c>
      <c r="H2420" s="3">
        <v>0.56000000000000005</v>
      </c>
      <c r="I2420">
        <f t="shared" si="75"/>
        <v>0</v>
      </c>
      <c r="K2420" t="s">
        <v>18</v>
      </c>
      <c r="L2420" t="s">
        <v>16</v>
      </c>
      <c r="M2420">
        <v>-796.3</v>
      </c>
    </row>
    <row r="2421" spans="1:13" x14ac:dyDescent="0.25">
      <c r="A2421">
        <v>3419</v>
      </c>
      <c r="B2421" t="s">
        <v>79</v>
      </c>
      <c r="C2421" t="s">
        <v>31</v>
      </c>
      <c r="D2421" t="s">
        <v>32</v>
      </c>
      <c r="E2421">
        <v>2</v>
      </c>
      <c r="G2421">
        <f t="shared" si="74"/>
        <v>0</v>
      </c>
      <c r="I2421">
        <f t="shared" si="75"/>
        <v>0</v>
      </c>
      <c r="K2421" t="s">
        <v>18</v>
      </c>
      <c r="L2421" t="s">
        <v>23</v>
      </c>
      <c r="M2421">
        <v>804.16</v>
      </c>
    </row>
    <row r="2422" spans="1:13" x14ac:dyDescent="0.25">
      <c r="A2422">
        <v>1002</v>
      </c>
      <c r="B2422" t="s">
        <v>2428</v>
      </c>
      <c r="C2422" t="s">
        <v>20</v>
      </c>
      <c r="D2422" t="s">
        <v>118</v>
      </c>
      <c r="E2422">
        <v>3</v>
      </c>
      <c r="G2422">
        <f t="shared" si="74"/>
        <v>0</v>
      </c>
      <c r="I2422">
        <f t="shared" si="75"/>
        <v>0</v>
      </c>
      <c r="J2422" s="1">
        <v>45853</v>
      </c>
      <c r="K2422" t="s">
        <v>22</v>
      </c>
      <c r="L2422" t="s">
        <v>16</v>
      </c>
      <c r="M2422">
        <v>2315.23</v>
      </c>
    </row>
    <row r="2423" spans="1:13" x14ac:dyDescent="0.25">
      <c r="A2423">
        <v>3421</v>
      </c>
      <c r="B2423" t="s">
        <v>1219</v>
      </c>
      <c r="C2423" t="s">
        <v>25</v>
      </c>
      <c r="D2423" t="s">
        <v>26</v>
      </c>
      <c r="E2423">
        <v>2</v>
      </c>
      <c r="F2423">
        <v>2933.45</v>
      </c>
      <c r="G2423">
        <f t="shared" si="74"/>
        <v>5866.9</v>
      </c>
      <c r="I2423">
        <f t="shared" si="75"/>
        <v>5866.9</v>
      </c>
      <c r="J2423" s="1">
        <v>45785</v>
      </c>
      <c r="K2423" t="s">
        <v>38</v>
      </c>
      <c r="L2423" t="s">
        <v>16</v>
      </c>
      <c r="M2423">
        <v>2339.14</v>
      </c>
    </row>
    <row r="2424" spans="1:13" x14ac:dyDescent="0.25">
      <c r="A2424">
        <v>3422</v>
      </c>
      <c r="B2424" t="s">
        <v>2429</v>
      </c>
      <c r="C2424" t="s">
        <v>28</v>
      </c>
      <c r="D2424" t="s">
        <v>137</v>
      </c>
      <c r="E2424">
        <v>6</v>
      </c>
      <c r="G2424">
        <f t="shared" si="74"/>
        <v>0</v>
      </c>
      <c r="I2424">
        <f t="shared" si="75"/>
        <v>0</v>
      </c>
      <c r="J2424" s="1">
        <v>45516</v>
      </c>
      <c r="K2424" t="s">
        <v>44</v>
      </c>
      <c r="L2424" t="s">
        <v>16</v>
      </c>
      <c r="M2424">
        <v>20.64</v>
      </c>
    </row>
    <row r="2425" spans="1:13" x14ac:dyDescent="0.25">
      <c r="A2425">
        <v>3423</v>
      </c>
      <c r="B2425" t="s">
        <v>2430</v>
      </c>
      <c r="C2425" t="s">
        <v>25</v>
      </c>
      <c r="D2425" t="s">
        <v>82</v>
      </c>
      <c r="E2425">
        <v>-2</v>
      </c>
      <c r="G2425">
        <f t="shared" si="74"/>
        <v>0</v>
      </c>
      <c r="I2425">
        <f t="shared" si="75"/>
        <v>0</v>
      </c>
      <c r="J2425" s="1">
        <v>45519</v>
      </c>
      <c r="K2425" t="s">
        <v>18</v>
      </c>
      <c r="L2425" t="s">
        <v>16</v>
      </c>
      <c r="M2425">
        <v>960.12</v>
      </c>
    </row>
    <row r="2426" spans="1:13" x14ac:dyDescent="0.25">
      <c r="A2426">
        <v>3424</v>
      </c>
      <c r="B2426" t="s">
        <v>2431</v>
      </c>
      <c r="C2426" t="s">
        <v>28</v>
      </c>
      <c r="D2426" t="s">
        <v>116</v>
      </c>
      <c r="E2426">
        <v>5</v>
      </c>
      <c r="F2426">
        <v>4754.22</v>
      </c>
      <c r="G2426">
        <f t="shared" si="74"/>
        <v>23771.100000000002</v>
      </c>
      <c r="H2426" s="3">
        <v>0.82</v>
      </c>
      <c r="I2426">
        <f t="shared" si="75"/>
        <v>4278.7980000000016</v>
      </c>
      <c r="J2426" s="1">
        <v>45794</v>
      </c>
      <c r="K2426" t="s">
        <v>2517</v>
      </c>
      <c r="L2426" t="s">
        <v>23</v>
      </c>
      <c r="M2426">
        <v>2415.19</v>
      </c>
    </row>
    <row r="2427" spans="1:13" x14ac:dyDescent="0.25">
      <c r="A2427">
        <v>3425</v>
      </c>
      <c r="B2427" t="s">
        <v>2432</v>
      </c>
      <c r="C2427" t="s">
        <v>20</v>
      </c>
      <c r="D2427" t="s">
        <v>84</v>
      </c>
      <c r="E2427">
        <v>-2</v>
      </c>
      <c r="F2427">
        <v>2942.33</v>
      </c>
      <c r="G2427">
        <f t="shared" si="74"/>
        <v>-5884.66</v>
      </c>
      <c r="H2427" s="3">
        <v>0.16</v>
      </c>
      <c r="I2427">
        <f t="shared" si="75"/>
        <v>-4943.1143999999995</v>
      </c>
      <c r="J2427" s="1">
        <v>45341</v>
      </c>
      <c r="K2427" t="s">
        <v>44</v>
      </c>
      <c r="L2427" t="s">
        <v>16</v>
      </c>
      <c r="M2427">
        <v>977.57</v>
      </c>
    </row>
    <row r="2428" spans="1:13" x14ac:dyDescent="0.25">
      <c r="A2428">
        <v>3426</v>
      </c>
      <c r="B2428" t="s">
        <v>2433</v>
      </c>
      <c r="C2428" t="s">
        <v>20</v>
      </c>
      <c r="D2428" t="s">
        <v>84</v>
      </c>
      <c r="E2428">
        <v>2</v>
      </c>
      <c r="F2428">
        <v>3441.89</v>
      </c>
      <c r="G2428">
        <f t="shared" si="74"/>
        <v>6883.78</v>
      </c>
      <c r="I2428">
        <f t="shared" si="75"/>
        <v>6883.78</v>
      </c>
      <c r="J2428" s="1">
        <v>45603</v>
      </c>
      <c r="K2428" t="s">
        <v>18</v>
      </c>
      <c r="L2428" t="s">
        <v>16</v>
      </c>
      <c r="M2428">
        <v>-872.49</v>
      </c>
    </row>
    <row r="2429" spans="1:13" x14ac:dyDescent="0.25">
      <c r="A2429">
        <v>3427</v>
      </c>
      <c r="B2429" t="s">
        <v>2434</v>
      </c>
      <c r="C2429" t="s">
        <v>28</v>
      </c>
      <c r="D2429" t="s">
        <v>29</v>
      </c>
      <c r="E2429">
        <v>2</v>
      </c>
      <c r="G2429">
        <f t="shared" si="74"/>
        <v>0</v>
      </c>
      <c r="H2429" s="3">
        <v>0.51</v>
      </c>
      <c r="I2429">
        <f t="shared" si="75"/>
        <v>0</v>
      </c>
      <c r="J2429" s="1">
        <v>45512</v>
      </c>
      <c r="K2429" t="s">
        <v>15</v>
      </c>
      <c r="L2429" t="s">
        <v>23</v>
      </c>
      <c r="M2429">
        <v>-63</v>
      </c>
    </row>
    <row r="2430" spans="1:13" x14ac:dyDescent="0.25">
      <c r="A2430">
        <v>3428</v>
      </c>
      <c r="B2430" t="s">
        <v>2435</v>
      </c>
      <c r="C2430" t="s">
        <v>20</v>
      </c>
      <c r="D2430" t="s">
        <v>21</v>
      </c>
      <c r="E2430">
        <v>3</v>
      </c>
      <c r="G2430">
        <f t="shared" si="74"/>
        <v>0</v>
      </c>
      <c r="I2430">
        <f t="shared" si="75"/>
        <v>0</v>
      </c>
      <c r="J2430" s="1">
        <v>45729</v>
      </c>
      <c r="K2430" t="s">
        <v>22</v>
      </c>
      <c r="L2430" t="s">
        <v>16</v>
      </c>
      <c r="M2430">
        <v>670.29</v>
      </c>
    </row>
    <row r="2431" spans="1:13" x14ac:dyDescent="0.25">
      <c r="A2431">
        <v>3429</v>
      </c>
      <c r="B2431" t="s">
        <v>2436</v>
      </c>
      <c r="C2431" t="s">
        <v>36</v>
      </c>
      <c r="D2431" t="s">
        <v>59</v>
      </c>
      <c r="E2431">
        <v>2</v>
      </c>
      <c r="G2431">
        <f t="shared" si="74"/>
        <v>0</v>
      </c>
      <c r="I2431">
        <f t="shared" si="75"/>
        <v>0</v>
      </c>
      <c r="J2431" s="1">
        <v>45703</v>
      </c>
      <c r="K2431" t="s">
        <v>15</v>
      </c>
      <c r="L2431" t="s">
        <v>16</v>
      </c>
      <c r="M2431">
        <v>859.23</v>
      </c>
    </row>
    <row r="2432" spans="1:13" x14ac:dyDescent="0.25">
      <c r="A2432">
        <v>3430</v>
      </c>
      <c r="B2432" t="s">
        <v>2437</v>
      </c>
      <c r="C2432" t="s">
        <v>28</v>
      </c>
      <c r="D2432" t="s">
        <v>116</v>
      </c>
      <c r="E2432">
        <v>2</v>
      </c>
      <c r="F2432">
        <v>2244.0700000000002</v>
      </c>
      <c r="G2432">
        <f t="shared" si="74"/>
        <v>4488.1400000000003</v>
      </c>
      <c r="I2432">
        <f t="shared" si="75"/>
        <v>4488.1400000000003</v>
      </c>
      <c r="K2432" t="s">
        <v>38</v>
      </c>
      <c r="L2432" t="s">
        <v>16</v>
      </c>
      <c r="M2432">
        <v>195.31</v>
      </c>
    </row>
    <row r="2433" spans="1:13" x14ac:dyDescent="0.25">
      <c r="A2433">
        <v>3431</v>
      </c>
      <c r="B2433" t="s">
        <v>2438</v>
      </c>
      <c r="C2433" t="s">
        <v>36</v>
      </c>
      <c r="D2433" t="s">
        <v>55</v>
      </c>
      <c r="E2433">
        <v>0</v>
      </c>
      <c r="G2433">
        <f t="shared" si="74"/>
        <v>0</v>
      </c>
      <c r="H2433" s="3">
        <v>0.25</v>
      </c>
      <c r="I2433">
        <f t="shared" si="75"/>
        <v>0</v>
      </c>
      <c r="J2433" s="1">
        <v>45613</v>
      </c>
      <c r="K2433" t="s">
        <v>15</v>
      </c>
      <c r="L2433" t="s">
        <v>16</v>
      </c>
      <c r="M2433">
        <v>669.94</v>
      </c>
    </row>
    <row r="2434" spans="1:13" x14ac:dyDescent="0.25">
      <c r="A2434">
        <v>3432</v>
      </c>
      <c r="B2434" t="s">
        <v>2439</v>
      </c>
      <c r="C2434" t="s">
        <v>36</v>
      </c>
      <c r="D2434" t="s">
        <v>87</v>
      </c>
      <c r="E2434">
        <v>-2</v>
      </c>
      <c r="G2434">
        <f t="shared" si="74"/>
        <v>0</v>
      </c>
      <c r="I2434">
        <f t="shared" si="75"/>
        <v>0</v>
      </c>
      <c r="J2434" s="1">
        <v>45657</v>
      </c>
      <c r="K2434" t="s">
        <v>38</v>
      </c>
      <c r="L2434" t="s">
        <v>16</v>
      </c>
      <c r="M2434">
        <v>980.18</v>
      </c>
    </row>
    <row r="2435" spans="1:13" x14ac:dyDescent="0.25">
      <c r="A2435">
        <v>3433</v>
      </c>
      <c r="B2435" t="s">
        <v>2440</v>
      </c>
      <c r="C2435" t="s">
        <v>31</v>
      </c>
      <c r="D2435" t="s">
        <v>32</v>
      </c>
      <c r="E2435">
        <v>2</v>
      </c>
      <c r="F2435">
        <v>4971.5600000000004</v>
      </c>
      <c r="G2435">
        <f t="shared" ref="G2435:G2498" si="76">F2435*E2435</f>
        <v>9943.1200000000008</v>
      </c>
      <c r="H2435" s="3">
        <v>0.87</v>
      </c>
      <c r="I2435">
        <f t="shared" ref="I2435:I2498" si="77">G2435*(1-H2435)</f>
        <v>1292.6056000000001</v>
      </c>
      <c r="J2435" s="1">
        <v>45679</v>
      </c>
      <c r="K2435" t="s">
        <v>38</v>
      </c>
      <c r="L2435" t="s">
        <v>16</v>
      </c>
      <c r="M2435">
        <v>1202.3399999999999</v>
      </c>
    </row>
    <row r="2436" spans="1:13" x14ac:dyDescent="0.25">
      <c r="A2436">
        <v>3434</v>
      </c>
      <c r="B2436" t="s">
        <v>2441</v>
      </c>
      <c r="C2436" t="s">
        <v>25</v>
      </c>
      <c r="D2436" t="s">
        <v>26</v>
      </c>
      <c r="E2436">
        <v>-1</v>
      </c>
      <c r="F2436">
        <v>636.91999999999996</v>
      </c>
      <c r="G2436">
        <f t="shared" si="76"/>
        <v>-636.91999999999996</v>
      </c>
      <c r="H2436" s="3">
        <v>0.51</v>
      </c>
      <c r="I2436">
        <f t="shared" si="77"/>
        <v>-312.0908</v>
      </c>
      <c r="J2436" s="1">
        <v>45724</v>
      </c>
      <c r="K2436" t="s">
        <v>44</v>
      </c>
      <c r="L2436" t="s">
        <v>23</v>
      </c>
      <c r="M2436">
        <v>2399.61</v>
      </c>
    </row>
    <row r="2437" spans="1:13" x14ac:dyDescent="0.25">
      <c r="A2437">
        <v>3435</v>
      </c>
      <c r="B2437" t="s">
        <v>2442</v>
      </c>
      <c r="C2437" t="s">
        <v>20</v>
      </c>
      <c r="D2437" t="s">
        <v>118</v>
      </c>
      <c r="E2437">
        <v>2</v>
      </c>
      <c r="G2437">
        <f t="shared" si="76"/>
        <v>0</v>
      </c>
      <c r="I2437">
        <f t="shared" si="77"/>
        <v>0</v>
      </c>
      <c r="J2437" s="1">
        <v>45145</v>
      </c>
      <c r="K2437" t="s">
        <v>15</v>
      </c>
      <c r="L2437" t="s">
        <v>16</v>
      </c>
      <c r="M2437">
        <v>-453.03</v>
      </c>
    </row>
    <row r="2438" spans="1:13" x14ac:dyDescent="0.25">
      <c r="A2438">
        <v>3436</v>
      </c>
      <c r="B2438" t="s">
        <v>2443</v>
      </c>
      <c r="C2438" t="s">
        <v>36</v>
      </c>
      <c r="D2438" t="s">
        <v>55</v>
      </c>
      <c r="E2438">
        <v>2</v>
      </c>
      <c r="G2438">
        <f t="shared" si="76"/>
        <v>0</v>
      </c>
      <c r="H2438" s="3">
        <v>0.91</v>
      </c>
      <c r="I2438">
        <f t="shared" si="77"/>
        <v>0</v>
      </c>
      <c r="J2438" s="1">
        <v>45532</v>
      </c>
      <c r="K2438" t="s">
        <v>38</v>
      </c>
      <c r="L2438" t="s">
        <v>23</v>
      </c>
      <c r="M2438">
        <v>791.96</v>
      </c>
    </row>
    <row r="2439" spans="1:13" x14ac:dyDescent="0.25">
      <c r="A2439">
        <v>3437</v>
      </c>
      <c r="B2439" t="s">
        <v>2444</v>
      </c>
      <c r="C2439" t="s">
        <v>31</v>
      </c>
      <c r="D2439" t="s">
        <v>32</v>
      </c>
      <c r="E2439">
        <v>2</v>
      </c>
      <c r="F2439">
        <v>987.68</v>
      </c>
      <c r="G2439">
        <f t="shared" si="76"/>
        <v>1975.36</v>
      </c>
      <c r="H2439" s="3">
        <v>1.25</v>
      </c>
      <c r="I2439">
        <f t="shared" si="77"/>
        <v>-493.84</v>
      </c>
      <c r="J2439" s="1">
        <v>45832</v>
      </c>
      <c r="K2439" t="s">
        <v>38</v>
      </c>
      <c r="L2439" t="s">
        <v>16</v>
      </c>
      <c r="M2439">
        <v>2597.1999999999998</v>
      </c>
    </row>
    <row r="2440" spans="1:13" x14ac:dyDescent="0.25">
      <c r="A2440">
        <v>1006</v>
      </c>
      <c r="B2440" t="s">
        <v>2445</v>
      </c>
      <c r="C2440" t="s">
        <v>28</v>
      </c>
      <c r="D2440" t="s">
        <v>29</v>
      </c>
      <c r="E2440">
        <v>3</v>
      </c>
      <c r="F2440">
        <v>3891.07</v>
      </c>
      <c r="G2440">
        <f t="shared" si="76"/>
        <v>11673.210000000001</v>
      </c>
      <c r="H2440" s="3">
        <v>0.2</v>
      </c>
      <c r="I2440">
        <f t="shared" si="77"/>
        <v>9338.5680000000011</v>
      </c>
      <c r="J2440" s="1">
        <v>45856</v>
      </c>
      <c r="K2440" t="s">
        <v>18</v>
      </c>
      <c r="L2440" t="s">
        <v>16</v>
      </c>
      <c r="M2440">
        <v>-861.28</v>
      </c>
    </row>
    <row r="2441" spans="1:13" x14ac:dyDescent="0.25">
      <c r="A2441">
        <v>3439</v>
      </c>
      <c r="B2441" t="s">
        <v>2446</v>
      </c>
      <c r="C2441" t="s">
        <v>25</v>
      </c>
      <c r="D2441" t="s">
        <v>62</v>
      </c>
      <c r="E2441">
        <v>-2</v>
      </c>
      <c r="F2441">
        <v>400.21</v>
      </c>
      <c r="G2441">
        <f t="shared" si="76"/>
        <v>-800.42</v>
      </c>
      <c r="I2441">
        <f t="shared" si="77"/>
        <v>-800.42</v>
      </c>
      <c r="J2441" s="1">
        <v>45831</v>
      </c>
      <c r="K2441" t="s">
        <v>38</v>
      </c>
      <c r="L2441" t="s">
        <v>16</v>
      </c>
      <c r="M2441">
        <v>914.27</v>
      </c>
    </row>
    <row r="2442" spans="1:13" x14ac:dyDescent="0.25">
      <c r="A2442">
        <v>3440</v>
      </c>
      <c r="B2442" t="s">
        <v>2447</v>
      </c>
      <c r="C2442" t="s">
        <v>31</v>
      </c>
      <c r="D2442" t="s">
        <v>42</v>
      </c>
      <c r="E2442">
        <v>2</v>
      </c>
      <c r="F2442">
        <v>1536.14</v>
      </c>
      <c r="G2442">
        <f t="shared" si="76"/>
        <v>3072.28</v>
      </c>
      <c r="H2442" s="3">
        <v>0.87</v>
      </c>
      <c r="I2442">
        <f t="shared" si="77"/>
        <v>399.39640000000003</v>
      </c>
      <c r="J2442" s="1">
        <v>45729</v>
      </c>
      <c r="K2442" t="s">
        <v>18</v>
      </c>
      <c r="L2442" t="s">
        <v>16</v>
      </c>
      <c r="M2442">
        <v>-382.45</v>
      </c>
    </row>
    <row r="2443" spans="1:13" x14ac:dyDescent="0.25">
      <c r="A2443">
        <v>3441</v>
      </c>
      <c r="B2443" t="s">
        <v>2448</v>
      </c>
      <c r="C2443" t="s">
        <v>36</v>
      </c>
      <c r="D2443" t="s">
        <v>55</v>
      </c>
      <c r="E2443">
        <v>5</v>
      </c>
      <c r="G2443">
        <f t="shared" si="76"/>
        <v>0</v>
      </c>
      <c r="H2443" s="3">
        <v>1.21</v>
      </c>
      <c r="I2443">
        <f t="shared" si="77"/>
        <v>0</v>
      </c>
      <c r="J2443" s="1">
        <v>45783</v>
      </c>
      <c r="K2443" t="s">
        <v>15</v>
      </c>
      <c r="L2443" t="s">
        <v>23</v>
      </c>
      <c r="M2443">
        <v>2953.52</v>
      </c>
    </row>
    <row r="2444" spans="1:13" x14ac:dyDescent="0.25">
      <c r="A2444">
        <v>3442</v>
      </c>
      <c r="B2444" t="s">
        <v>2449</v>
      </c>
      <c r="C2444" t="s">
        <v>31</v>
      </c>
      <c r="D2444" t="s">
        <v>42</v>
      </c>
      <c r="E2444">
        <v>0</v>
      </c>
      <c r="G2444">
        <f t="shared" si="76"/>
        <v>0</v>
      </c>
      <c r="H2444" s="3">
        <v>1.1100000000000001</v>
      </c>
      <c r="I2444">
        <f t="shared" si="77"/>
        <v>0</v>
      </c>
      <c r="J2444" s="1">
        <v>45506</v>
      </c>
      <c r="K2444" t="s">
        <v>18</v>
      </c>
      <c r="L2444" t="s">
        <v>16</v>
      </c>
      <c r="M2444">
        <v>1331.63</v>
      </c>
    </row>
    <row r="2445" spans="1:13" x14ac:dyDescent="0.25">
      <c r="A2445">
        <v>3443</v>
      </c>
      <c r="B2445" t="s">
        <v>2450</v>
      </c>
      <c r="C2445" t="s">
        <v>31</v>
      </c>
      <c r="D2445" t="s">
        <v>42</v>
      </c>
      <c r="E2445">
        <v>2</v>
      </c>
      <c r="G2445">
        <f t="shared" si="76"/>
        <v>0</v>
      </c>
      <c r="H2445" s="3">
        <v>0.37</v>
      </c>
      <c r="I2445">
        <f t="shared" si="77"/>
        <v>0</v>
      </c>
      <c r="J2445" s="1">
        <v>45813</v>
      </c>
      <c r="K2445" t="s">
        <v>15</v>
      </c>
      <c r="L2445" t="s">
        <v>16</v>
      </c>
      <c r="M2445">
        <v>2632.33</v>
      </c>
    </row>
    <row r="2446" spans="1:13" x14ac:dyDescent="0.25">
      <c r="A2446">
        <v>3444</v>
      </c>
      <c r="B2446" t="s">
        <v>2451</v>
      </c>
      <c r="C2446" t="s">
        <v>36</v>
      </c>
      <c r="D2446" t="s">
        <v>37</v>
      </c>
      <c r="E2446">
        <v>2</v>
      </c>
      <c r="F2446">
        <v>2924.37</v>
      </c>
      <c r="G2446">
        <f t="shared" si="76"/>
        <v>5848.74</v>
      </c>
      <c r="I2446">
        <f t="shared" si="77"/>
        <v>5848.74</v>
      </c>
      <c r="J2446" s="1">
        <v>45652</v>
      </c>
      <c r="K2446" t="s">
        <v>44</v>
      </c>
      <c r="L2446" t="s">
        <v>16</v>
      </c>
      <c r="M2446">
        <v>461.83</v>
      </c>
    </row>
    <row r="2447" spans="1:13" x14ac:dyDescent="0.25">
      <c r="A2447">
        <v>3445</v>
      </c>
      <c r="B2447" t="s">
        <v>2452</v>
      </c>
      <c r="C2447" t="s">
        <v>28</v>
      </c>
      <c r="D2447" t="s">
        <v>137</v>
      </c>
      <c r="E2447">
        <v>4</v>
      </c>
      <c r="F2447">
        <v>973.52</v>
      </c>
      <c r="G2447">
        <f t="shared" si="76"/>
        <v>3894.08</v>
      </c>
      <c r="I2447">
        <f t="shared" si="77"/>
        <v>3894.08</v>
      </c>
      <c r="J2447" s="1">
        <v>45514</v>
      </c>
      <c r="K2447" t="s">
        <v>2517</v>
      </c>
      <c r="L2447" t="s">
        <v>16</v>
      </c>
      <c r="M2447">
        <v>2406.66</v>
      </c>
    </row>
    <row r="2448" spans="1:13" x14ac:dyDescent="0.25">
      <c r="A2448">
        <v>3446</v>
      </c>
      <c r="B2448" t="s">
        <v>2453</v>
      </c>
      <c r="C2448" t="s">
        <v>31</v>
      </c>
      <c r="D2448" t="s">
        <v>32</v>
      </c>
      <c r="E2448">
        <v>3</v>
      </c>
      <c r="F2448">
        <v>4758.24</v>
      </c>
      <c r="G2448">
        <f t="shared" si="76"/>
        <v>14274.72</v>
      </c>
      <c r="H2448" s="3">
        <v>0.49</v>
      </c>
      <c r="I2448">
        <f t="shared" si="77"/>
        <v>7280.1071999999995</v>
      </c>
      <c r="J2448" s="1">
        <v>45733</v>
      </c>
      <c r="K2448" t="s">
        <v>22</v>
      </c>
      <c r="L2448" t="s">
        <v>16</v>
      </c>
      <c r="M2448">
        <v>2863.66</v>
      </c>
    </row>
    <row r="2449" spans="1:13" x14ac:dyDescent="0.25">
      <c r="A2449">
        <v>3447</v>
      </c>
      <c r="B2449" t="s">
        <v>2454</v>
      </c>
      <c r="C2449" t="s">
        <v>20</v>
      </c>
      <c r="D2449" t="s">
        <v>21</v>
      </c>
      <c r="E2449">
        <v>4</v>
      </c>
      <c r="F2449">
        <v>4762.62</v>
      </c>
      <c r="G2449">
        <f t="shared" si="76"/>
        <v>19050.48</v>
      </c>
      <c r="I2449">
        <f t="shared" si="77"/>
        <v>19050.48</v>
      </c>
      <c r="J2449" s="1">
        <v>45840</v>
      </c>
      <c r="K2449" t="s">
        <v>2517</v>
      </c>
      <c r="L2449" t="s">
        <v>23</v>
      </c>
      <c r="M2449">
        <v>1483.83</v>
      </c>
    </row>
    <row r="2450" spans="1:13" x14ac:dyDescent="0.25">
      <c r="A2450">
        <v>3448</v>
      </c>
      <c r="B2450" t="s">
        <v>2455</v>
      </c>
      <c r="C2450" t="s">
        <v>13</v>
      </c>
      <c r="D2450" t="s">
        <v>14</v>
      </c>
      <c r="E2450">
        <v>3</v>
      </c>
      <c r="G2450">
        <f t="shared" si="76"/>
        <v>0</v>
      </c>
      <c r="I2450">
        <f t="shared" si="77"/>
        <v>0</v>
      </c>
      <c r="J2450" s="1">
        <v>45649</v>
      </c>
      <c r="K2450" t="s">
        <v>18</v>
      </c>
      <c r="L2450" t="s">
        <v>16</v>
      </c>
      <c r="M2450">
        <v>734.88</v>
      </c>
    </row>
    <row r="2451" spans="1:13" x14ac:dyDescent="0.25">
      <c r="A2451">
        <v>3449</v>
      </c>
      <c r="B2451" t="s">
        <v>2456</v>
      </c>
      <c r="C2451" t="s">
        <v>36</v>
      </c>
      <c r="D2451" t="s">
        <v>37</v>
      </c>
      <c r="E2451">
        <v>4</v>
      </c>
      <c r="F2451">
        <v>803.79</v>
      </c>
      <c r="G2451">
        <f t="shared" si="76"/>
        <v>3215.16</v>
      </c>
      <c r="I2451">
        <f t="shared" si="77"/>
        <v>3215.16</v>
      </c>
      <c r="J2451" s="1">
        <v>45854</v>
      </c>
      <c r="K2451" t="s">
        <v>44</v>
      </c>
      <c r="L2451" t="s">
        <v>16</v>
      </c>
      <c r="M2451">
        <v>2948.6</v>
      </c>
    </row>
    <row r="2452" spans="1:13" x14ac:dyDescent="0.25">
      <c r="A2452">
        <v>3450</v>
      </c>
      <c r="B2452" t="s">
        <v>2457</v>
      </c>
      <c r="C2452" t="s">
        <v>31</v>
      </c>
      <c r="D2452" t="s">
        <v>68</v>
      </c>
      <c r="E2452">
        <v>2</v>
      </c>
      <c r="G2452">
        <f t="shared" si="76"/>
        <v>0</v>
      </c>
      <c r="H2452" s="3">
        <v>0.89</v>
      </c>
      <c r="I2452">
        <f t="shared" si="77"/>
        <v>0</v>
      </c>
      <c r="J2452" s="1">
        <v>45133</v>
      </c>
      <c r="K2452" t="s">
        <v>22</v>
      </c>
      <c r="L2452" t="s">
        <v>16</v>
      </c>
      <c r="M2452">
        <v>1339.05</v>
      </c>
    </row>
    <row r="2453" spans="1:13" x14ac:dyDescent="0.25">
      <c r="A2453">
        <v>3451</v>
      </c>
      <c r="B2453" t="s">
        <v>2458</v>
      </c>
      <c r="C2453" t="s">
        <v>31</v>
      </c>
      <c r="D2453" t="s">
        <v>78</v>
      </c>
      <c r="E2453">
        <v>-2</v>
      </c>
      <c r="F2453">
        <v>2339.36</v>
      </c>
      <c r="G2453">
        <f t="shared" si="76"/>
        <v>-4678.72</v>
      </c>
      <c r="H2453" s="3">
        <v>0.35</v>
      </c>
      <c r="I2453">
        <f t="shared" si="77"/>
        <v>-3041.1680000000001</v>
      </c>
      <c r="J2453" s="1">
        <v>45827</v>
      </c>
      <c r="K2453" t="s">
        <v>38</v>
      </c>
      <c r="L2453" t="s">
        <v>23</v>
      </c>
      <c r="M2453">
        <v>-5.05</v>
      </c>
    </row>
    <row r="2454" spans="1:13" x14ac:dyDescent="0.25">
      <c r="A2454">
        <v>3452</v>
      </c>
      <c r="B2454" t="s">
        <v>2459</v>
      </c>
      <c r="C2454" t="s">
        <v>25</v>
      </c>
      <c r="D2454" t="s">
        <v>82</v>
      </c>
      <c r="E2454">
        <v>2</v>
      </c>
      <c r="F2454">
        <v>2562.4699999999998</v>
      </c>
      <c r="G2454">
        <f t="shared" si="76"/>
        <v>5124.9399999999996</v>
      </c>
      <c r="I2454">
        <f t="shared" si="77"/>
        <v>5124.9399999999996</v>
      </c>
      <c r="J2454" s="1">
        <v>45585</v>
      </c>
      <c r="K2454" t="s">
        <v>2517</v>
      </c>
      <c r="L2454" t="s">
        <v>23</v>
      </c>
      <c r="M2454">
        <v>-883.82</v>
      </c>
    </row>
    <row r="2455" spans="1:13" x14ac:dyDescent="0.25">
      <c r="A2455">
        <v>3453</v>
      </c>
      <c r="B2455" t="s">
        <v>2460</v>
      </c>
      <c r="C2455" t="s">
        <v>28</v>
      </c>
      <c r="D2455" t="s">
        <v>116</v>
      </c>
      <c r="E2455">
        <v>2</v>
      </c>
      <c r="F2455">
        <v>4213.8500000000004</v>
      </c>
      <c r="G2455">
        <f t="shared" si="76"/>
        <v>8427.7000000000007</v>
      </c>
      <c r="I2455">
        <f t="shared" si="77"/>
        <v>8427.7000000000007</v>
      </c>
      <c r="J2455" s="1">
        <v>45795</v>
      </c>
      <c r="K2455" t="s">
        <v>15</v>
      </c>
      <c r="L2455" t="s">
        <v>16</v>
      </c>
      <c r="M2455">
        <v>-209.3</v>
      </c>
    </row>
    <row r="2456" spans="1:13" x14ac:dyDescent="0.25">
      <c r="A2456">
        <v>3454</v>
      </c>
      <c r="B2456" t="s">
        <v>2461</v>
      </c>
      <c r="C2456" t="s">
        <v>28</v>
      </c>
      <c r="D2456" t="s">
        <v>116</v>
      </c>
      <c r="E2456">
        <v>6</v>
      </c>
      <c r="F2456">
        <v>1987.62</v>
      </c>
      <c r="G2456">
        <f t="shared" si="76"/>
        <v>11925.72</v>
      </c>
      <c r="I2456">
        <f t="shared" si="77"/>
        <v>11925.72</v>
      </c>
      <c r="J2456" s="1">
        <v>45535</v>
      </c>
      <c r="K2456" t="s">
        <v>2517</v>
      </c>
      <c r="L2456" t="s">
        <v>23</v>
      </c>
      <c r="M2456">
        <v>1184.77</v>
      </c>
    </row>
    <row r="2457" spans="1:13" x14ac:dyDescent="0.25">
      <c r="A2457">
        <v>3455</v>
      </c>
      <c r="B2457" t="s">
        <v>2462</v>
      </c>
      <c r="C2457" t="s">
        <v>36</v>
      </c>
      <c r="D2457" t="s">
        <v>37</v>
      </c>
      <c r="E2457">
        <v>2</v>
      </c>
      <c r="G2457">
        <f t="shared" si="76"/>
        <v>0</v>
      </c>
      <c r="I2457">
        <f t="shared" si="77"/>
        <v>0</v>
      </c>
      <c r="K2457" t="s">
        <v>38</v>
      </c>
      <c r="L2457" t="s">
        <v>16</v>
      </c>
      <c r="M2457">
        <v>382.53</v>
      </c>
    </row>
    <row r="2458" spans="1:13" x14ac:dyDescent="0.25">
      <c r="A2458">
        <v>3456</v>
      </c>
      <c r="B2458" t="s">
        <v>2463</v>
      </c>
      <c r="C2458" t="s">
        <v>31</v>
      </c>
      <c r="D2458" t="s">
        <v>42</v>
      </c>
      <c r="E2458">
        <v>2</v>
      </c>
      <c r="G2458">
        <f t="shared" si="76"/>
        <v>0</v>
      </c>
      <c r="I2458">
        <f t="shared" si="77"/>
        <v>0</v>
      </c>
      <c r="K2458" t="s">
        <v>15</v>
      </c>
      <c r="L2458" t="s">
        <v>16</v>
      </c>
      <c r="M2458">
        <v>-695.67</v>
      </c>
    </row>
    <row r="2459" spans="1:13" x14ac:dyDescent="0.25">
      <c r="A2459">
        <v>3457</v>
      </c>
      <c r="B2459" t="s">
        <v>2464</v>
      </c>
      <c r="C2459" t="s">
        <v>28</v>
      </c>
      <c r="D2459" t="s">
        <v>137</v>
      </c>
      <c r="E2459">
        <v>2</v>
      </c>
      <c r="F2459">
        <v>983.84</v>
      </c>
      <c r="G2459">
        <f t="shared" si="76"/>
        <v>1967.68</v>
      </c>
      <c r="H2459" s="3">
        <v>0.9</v>
      </c>
      <c r="I2459">
        <f t="shared" si="77"/>
        <v>196.76799999999997</v>
      </c>
      <c r="J2459" s="1">
        <v>45727</v>
      </c>
      <c r="K2459" t="s">
        <v>15</v>
      </c>
      <c r="L2459" t="s">
        <v>16</v>
      </c>
      <c r="M2459">
        <v>254.71</v>
      </c>
    </row>
    <row r="2460" spans="1:13" x14ac:dyDescent="0.25">
      <c r="A2460">
        <v>1013</v>
      </c>
      <c r="B2460" t="s">
        <v>2465</v>
      </c>
      <c r="C2460" t="s">
        <v>25</v>
      </c>
      <c r="D2460" t="s">
        <v>62</v>
      </c>
      <c r="E2460">
        <v>6</v>
      </c>
      <c r="G2460">
        <f t="shared" si="76"/>
        <v>0</v>
      </c>
      <c r="H2460" s="3">
        <v>0.56000000000000005</v>
      </c>
      <c r="I2460">
        <f t="shared" si="77"/>
        <v>0</v>
      </c>
      <c r="J2460" s="1">
        <v>45589</v>
      </c>
      <c r="K2460" t="s">
        <v>2517</v>
      </c>
      <c r="L2460" t="s">
        <v>16</v>
      </c>
      <c r="M2460">
        <v>-270.22000000000003</v>
      </c>
    </row>
    <row r="2461" spans="1:13" x14ac:dyDescent="0.25">
      <c r="A2461">
        <v>3459</v>
      </c>
      <c r="B2461" t="s">
        <v>2466</v>
      </c>
      <c r="C2461" t="s">
        <v>31</v>
      </c>
      <c r="D2461" t="s">
        <v>42</v>
      </c>
      <c r="E2461">
        <v>2</v>
      </c>
      <c r="G2461">
        <f t="shared" si="76"/>
        <v>0</v>
      </c>
      <c r="I2461">
        <f t="shared" si="77"/>
        <v>0</v>
      </c>
      <c r="K2461" t="s">
        <v>44</v>
      </c>
      <c r="L2461" t="s">
        <v>23</v>
      </c>
      <c r="M2461">
        <v>1284.57</v>
      </c>
    </row>
    <row r="2462" spans="1:13" x14ac:dyDescent="0.25">
      <c r="A2462">
        <v>3460</v>
      </c>
      <c r="B2462" t="s">
        <v>2467</v>
      </c>
      <c r="C2462" t="s">
        <v>13</v>
      </c>
      <c r="D2462" t="s">
        <v>34</v>
      </c>
      <c r="E2462">
        <v>3</v>
      </c>
      <c r="G2462">
        <f t="shared" si="76"/>
        <v>0</v>
      </c>
      <c r="I2462">
        <f t="shared" si="77"/>
        <v>0</v>
      </c>
      <c r="K2462" t="s">
        <v>38</v>
      </c>
      <c r="L2462" t="s">
        <v>16</v>
      </c>
      <c r="M2462">
        <v>-266.63</v>
      </c>
    </row>
    <row r="2463" spans="1:13" x14ac:dyDescent="0.25">
      <c r="A2463">
        <v>3461</v>
      </c>
      <c r="B2463" t="s">
        <v>2468</v>
      </c>
      <c r="C2463" t="s">
        <v>36</v>
      </c>
      <c r="D2463" t="s">
        <v>55</v>
      </c>
      <c r="E2463">
        <v>2</v>
      </c>
      <c r="G2463">
        <f t="shared" si="76"/>
        <v>0</v>
      </c>
      <c r="I2463">
        <f t="shared" si="77"/>
        <v>0</v>
      </c>
      <c r="J2463" s="1">
        <v>45758</v>
      </c>
      <c r="K2463" t="s">
        <v>18</v>
      </c>
      <c r="L2463" t="s">
        <v>23</v>
      </c>
      <c r="M2463">
        <v>2059.2399999999998</v>
      </c>
    </row>
    <row r="2464" spans="1:13" x14ac:dyDescent="0.25">
      <c r="A2464">
        <v>3462</v>
      </c>
      <c r="B2464" t="s">
        <v>2469</v>
      </c>
      <c r="C2464" t="s">
        <v>28</v>
      </c>
      <c r="D2464" t="s">
        <v>40</v>
      </c>
      <c r="E2464">
        <v>2</v>
      </c>
      <c r="F2464">
        <v>3607.23</v>
      </c>
      <c r="G2464">
        <f t="shared" si="76"/>
        <v>7214.46</v>
      </c>
      <c r="I2464">
        <f t="shared" si="77"/>
        <v>7214.46</v>
      </c>
      <c r="J2464" s="1">
        <v>45150</v>
      </c>
      <c r="K2464" t="s">
        <v>2517</v>
      </c>
      <c r="L2464" t="s">
        <v>16</v>
      </c>
      <c r="M2464">
        <v>2531.75</v>
      </c>
    </row>
    <row r="2465" spans="1:13" x14ac:dyDescent="0.25">
      <c r="A2465">
        <v>3463</v>
      </c>
      <c r="B2465" t="s">
        <v>2470</v>
      </c>
      <c r="C2465" t="s">
        <v>28</v>
      </c>
      <c r="D2465" t="s">
        <v>40</v>
      </c>
      <c r="E2465">
        <v>6</v>
      </c>
      <c r="F2465">
        <v>1139.77</v>
      </c>
      <c r="G2465">
        <f t="shared" si="76"/>
        <v>6838.62</v>
      </c>
      <c r="I2465">
        <f t="shared" si="77"/>
        <v>6838.62</v>
      </c>
      <c r="K2465" t="s">
        <v>44</v>
      </c>
      <c r="L2465" t="s">
        <v>16</v>
      </c>
      <c r="M2465">
        <v>992.89</v>
      </c>
    </row>
    <row r="2466" spans="1:13" x14ac:dyDescent="0.25">
      <c r="A2466">
        <v>3464</v>
      </c>
      <c r="B2466" t="s">
        <v>2471</v>
      </c>
      <c r="C2466" t="s">
        <v>13</v>
      </c>
      <c r="D2466" t="s">
        <v>98</v>
      </c>
      <c r="E2466">
        <v>5</v>
      </c>
      <c r="G2466">
        <f t="shared" si="76"/>
        <v>0</v>
      </c>
      <c r="I2466">
        <f t="shared" si="77"/>
        <v>0</v>
      </c>
      <c r="K2466" t="s">
        <v>15</v>
      </c>
      <c r="L2466" t="s">
        <v>16</v>
      </c>
      <c r="M2466">
        <v>2091.3000000000002</v>
      </c>
    </row>
    <row r="2467" spans="1:13" x14ac:dyDescent="0.25">
      <c r="A2467">
        <v>3465</v>
      </c>
      <c r="B2467" t="s">
        <v>2472</v>
      </c>
      <c r="C2467" t="s">
        <v>13</v>
      </c>
      <c r="D2467" t="s">
        <v>34</v>
      </c>
      <c r="E2467">
        <v>-1</v>
      </c>
      <c r="G2467">
        <f t="shared" si="76"/>
        <v>0</v>
      </c>
      <c r="H2467" s="3">
        <v>0.7</v>
      </c>
      <c r="I2467">
        <f t="shared" si="77"/>
        <v>0</v>
      </c>
      <c r="J2467" s="1">
        <v>45542</v>
      </c>
      <c r="K2467" t="s">
        <v>2517</v>
      </c>
      <c r="L2467" t="s">
        <v>23</v>
      </c>
      <c r="M2467">
        <v>-288.95999999999998</v>
      </c>
    </row>
    <row r="2468" spans="1:13" x14ac:dyDescent="0.25">
      <c r="A2468">
        <v>3466</v>
      </c>
      <c r="B2468" t="s">
        <v>2473</v>
      </c>
      <c r="C2468" t="s">
        <v>13</v>
      </c>
      <c r="D2468" t="s">
        <v>98</v>
      </c>
      <c r="E2468">
        <v>2</v>
      </c>
      <c r="F2468">
        <v>4059.53</v>
      </c>
      <c r="G2468">
        <f t="shared" si="76"/>
        <v>8119.06</v>
      </c>
      <c r="I2468">
        <f t="shared" si="77"/>
        <v>8119.06</v>
      </c>
      <c r="J2468" s="1">
        <v>45178</v>
      </c>
      <c r="K2468" t="s">
        <v>18</v>
      </c>
      <c r="L2468" t="s">
        <v>23</v>
      </c>
      <c r="M2468">
        <v>-74.569999999999993</v>
      </c>
    </row>
    <row r="2469" spans="1:13" x14ac:dyDescent="0.25">
      <c r="A2469">
        <v>3467</v>
      </c>
      <c r="B2469" t="s">
        <v>2474</v>
      </c>
      <c r="C2469" t="s">
        <v>31</v>
      </c>
      <c r="D2469" t="s">
        <v>78</v>
      </c>
      <c r="E2469">
        <v>2</v>
      </c>
      <c r="G2469">
        <f t="shared" si="76"/>
        <v>0</v>
      </c>
      <c r="I2469">
        <f t="shared" si="77"/>
        <v>0</v>
      </c>
      <c r="J2469" s="1">
        <v>45753</v>
      </c>
      <c r="K2469" t="s">
        <v>38</v>
      </c>
      <c r="L2469" t="s">
        <v>23</v>
      </c>
      <c r="M2469">
        <v>1246.6199999999999</v>
      </c>
    </row>
    <row r="2470" spans="1:13" x14ac:dyDescent="0.25">
      <c r="A2470">
        <v>3468</v>
      </c>
      <c r="B2470" t="s">
        <v>2475</v>
      </c>
      <c r="C2470" t="s">
        <v>36</v>
      </c>
      <c r="D2470" t="s">
        <v>55</v>
      </c>
      <c r="E2470">
        <v>2</v>
      </c>
      <c r="G2470">
        <f t="shared" si="76"/>
        <v>0</v>
      </c>
      <c r="I2470">
        <f t="shared" si="77"/>
        <v>0</v>
      </c>
      <c r="K2470" t="s">
        <v>15</v>
      </c>
      <c r="L2470" t="s">
        <v>16</v>
      </c>
      <c r="M2470">
        <v>287.33</v>
      </c>
    </row>
    <row r="2471" spans="1:13" x14ac:dyDescent="0.25">
      <c r="A2471">
        <v>3469</v>
      </c>
      <c r="B2471" t="s">
        <v>2476</v>
      </c>
      <c r="C2471" t="s">
        <v>31</v>
      </c>
      <c r="D2471" t="s">
        <v>68</v>
      </c>
      <c r="E2471">
        <v>2</v>
      </c>
      <c r="F2471">
        <v>2932.58</v>
      </c>
      <c r="G2471">
        <f t="shared" si="76"/>
        <v>5865.16</v>
      </c>
      <c r="H2471" s="3">
        <v>1.26</v>
      </c>
      <c r="I2471">
        <f t="shared" si="77"/>
        <v>-1524.9416000000001</v>
      </c>
      <c r="J2471" s="1">
        <v>45629</v>
      </c>
      <c r="K2471" t="s">
        <v>38</v>
      </c>
      <c r="L2471" t="s">
        <v>23</v>
      </c>
      <c r="M2471">
        <v>333.94</v>
      </c>
    </row>
    <row r="2472" spans="1:13" x14ac:dyDescent="0.25">
      <c r="A2472">
        <v>3470</v>
      </c>
      <c r="B2472" t="s">
        <v>2477</v>
      </c>
      <c r="C2472" t="s">
        <v>28</v>
      </c>
      <c r="D2472" t="s">
        <v>29</v>
      </c>
      <c r="E2472">
        <v>2</v>
      </c>
      <c r="G2472">
        <f t="shared" si="76"/>
        <v>0</v>
      </c>
      <c r="I2472">
        <f t="shared" si="77"/>
        <v>0</v>
      </c>
      <c r="J2472" s="1">
        <v>45857</v>
      </c>
      <c r="K2472" t="s">
        <v>15</v>
      </c>
      <c r="L2472" t="s">
        <v>16</v>
      </c>
      <c r="M2472">
        <v>1387.75</v>
      </c>
    </row>
    <row r="2473" spans="1:13" x14ac:dyDescent="0.25">
      <c r="A2473">
        <v>3471</v>
      </c>
      <c r="B2473" t="s">
        <v>2478</v>
      </c>
      <c r="C2473" t="s">
        <v>20</v>
      </c>
      <c r="D2473" t="s">
        <v>84</v>
      </c>
      <c r="E2473">
        <v>6</v>
      </c>
      <c r="G2473">
        <f t="shared" si="76"/>
        <v>0</v>
      </c>
      <c r="I2473">
        <f t="shared" si="77"/>
        <v>0</v>
      </c>
      <c r="J2473" s="1">
        <v>45714</v>
      </c>
      <c r="K2473" t="s">
        <v>22</v>
      </c>
      <c r="L2473" t="s">
        <v>23</v>
      </c>
      <c r="M2473">
        <v>-673.81</v>
      </c>
    </row>
    <row r="2474" spans="1:13" x14ac:dyDescent="0.25">
      <c r="A2474">
        <v>3472</v>
      </c>
      <c r="B2474" t="s">
        <v>2479</v>
      </c>
      <c r="C2474" t="s">
        <v>36</v>
      </c>
      <c r="D2474" t="s">
        <v>37</v>
      </c>
      <c r="E2474">
        <v>2</v>
      </c>
      <c r="G2474">
        <f t="shared" si="76"/>
        <v>0</v>
      </c>
      <c r="H2474" s="3">
        <v>0.5</v>
      </c>
      <c r="I2474">
        <f t="shared" si="77"/>
        <v>0</v>
      </c>
      <c r="K2474" t="s">
        <v>22</v>
      </c>
      <c r="L2474" t="s">
        <v>16</v>
      </c>
      <c r="M2474">
        <v>-898.19</v>
      </c>
    </row>
    <row r="2475" spans="1:13" x14ac:dyDescent="0.25">
      <c r="A2475">
        <v>3473</v>
      </c>
      <c r="B2475" t="s">
        <v>2480</v>
      </c>
      <c r="C2475" t="s">
        <v>28</v>
      </c>
      <c r="D2475" t="s">
        <v>29</v>
      </c>
      <c r="E2475">
        <v>1</v>
      </c>
      <c r="G2475">
        <f t="shared" si="76"/>
        <v>0</v>
      </c>
      <c r="H2475" s="3">
        <v>0.15</v>
      </c>
      <c r="I2475">
        <f t="shared" si="77"/>
        <v>0</v>
      </c>
      <c r="J2475" s="1">
        <v>45559</v>
      </c>
      <c r="K2475" t="s">
        <v>22</v>
      </c>
      <c r="L2475" t="s">
        <v>23</v>
      </c>
      <c r="M2475">
        <v>287.25</v>
      </c>
    </row>
    <row r="2476" spans="1:13" x14ac:dyDescent="0.25">
      <c r="A2476">
        <v>3474</v>
      </c>
      <c r="B2476" t="s">
        <v>2481</v>
      </c>
      <c r="C2476" t="s">
        <v>25</v>
      </c>
      <c r="D2476" t="s">
        <v>62</v>
      </c>
      <c r="E2476">
        <v>2</v>
      </c>
      <c r="F2476">
        <v>3494.86</v>
      </c>
      <c r="G2476">
        <f t="shared" si="76"/>
        <v>6989.72</v>
      </c>
      <c r="I2476">
        <f t="shared" si="77"/>
        <v>6989.72</v>
      </c>
      <c r="K2476" t="s">
        <v>22</v>
      </c>
      <c r="L2476" t="s">
        <v>16</v>
      </c>
      <c r="M2476">
        <v>-76.849999999999994</v>
      </c>
    </row>
    <row r="2477" spans="1:13" x14ac:dyDescent="0.25">
      <c r="A2477">
        <v>3475</v>
      </c>
      <c r="B2477" t="s">
        <v>2482</v>
      </c>
      <c r="C2477" t="s">
        <v>20</v>
      </c>
      <c r="D2477" t="s">
        <v>76</v>
      </c>
      <c r="E2477">
        <v>2</v>
      </c>
      <c r="F2477">
        <v>2185.83</v>
      </c>
      <c r="G2477">
        <f t="shared" si="76"/>
        <v>4371.66</v>
      </c>
      <c r="H2477" s="3">
        <v>0.13</v>
      </c>
      <c r="I2477">
        <f t="shared" si="77"/>
        <v>3803.3442</v>
      </c>
      <c r="K2477" t="s">
        <v>22</v>
      </c>
      <c r="L2477" t="s">
        <v>23</v>
      </c>
      <c r="M2477">
        <v>714.12</v>
      </c>
    </row>
    <row r="2478" spans="1:13" x14ac:dyDescent="0.25">
      <c r="A2478">
        <v>3476</v>
      </c>
      <c r="B2478" t="s">
        <v>2483</v>
      </c>
      <c r="C2478" t="s">
        <v>36</v>
      </c>
      <c r="D2478" t="s">
        <v>55</v>
      </c>
      <c r="E2478">
        <v>2</v>
      </c>
      <c r="F2478">
        <v>4804.91</v>
      </c>
      <c r="G2478">
        <f t="shared" si="76"/>
        <v>9609.82</v>
      </c>
      <c r="I2478">
        <f t="shared" si="77"/>
        <v>9609.82</v>
      </c>
      <c r="J2478" s="1">
        <v>45519</v>
      </c>
      <c r="K2478" t="s">
        <v>15</v>
      </c>
      <c r="L2478" t="s">
        <v>16</v>
      </c>
      <c r="M2478">
        <v>407.85</v>
      </c>
    </row>
    <row r="2479" spans="1:13" x14ac:dyDescent="0.25">
      <c r="A2479">
        <v>3477</v>
      </c>
      <c r="B2479" t="s">
        <v>2484</v>
      </c>
      <c r="C2479" t="s">
        <v>36</v>
      </c>
      <c r="D2479" t="s">
        <v>59</v>
      </c>
      <c r="E2479">
        <v>2</v>
      </c>
      <c r="G2479">
        <f t="shared" si="76"/>
        <v>0</v>
      </c>
      <c r="H2479" s="3">
        <v>0.86</v>
      </c>
      <c r="I2479">
        <f t="shared" si="77"/>
        <v>0</v>
      </c>
      <c r="K2479" t="s">
        <v>22</v>
      </c>
      <c r="L2479" t="s">
        <v>16</v>
      </c>
      <c r="M2479">
        <v>292.83</v>
      </c>
    </row>
    <row r="2480" spans="1:13" x14ac:dyDescent="0.25">
      <c r="A2480">
        <v>3478</v>
      </c>
      <c r="B2480" t="s">
        <v>2485</v>
      </c>
      <c r="C2480" t="s">
        <v>20</v>
      </c>
      <c r="D2480" t="s">
        <v>84</v>
      </c>
      <c r="E2480">
        <v>2</v>
      </c>
      <c r="G2480">
        <f t="shared" si="76"/>
        <v>0</v>
      </c>
      <c r="I2480">
        <f t="shared" si="77"/>
        <v>0</v>
      </c>
      <c r="J2480" s="1">
        <v>45291</v>
      </c>
      <c r="K2480" t="s">
        <v>44</v>
      </c>
      <c r="L2480" t="s">
        <v>23</v>
      </c>
      <c r="M2480">
        <v>2602.44</v>
      </c>
    </row>
    <row r="2481" spans="1:13" x14ac:dyDescent="0.25">
      <c r="A2481">
        <v>3479</v>
      </c>
      <c r="B2481" t="s">
        <v>2486</v>
      </c>
      <c r="C2481" t="s">
        <v>20</v>
      </c>
      <c r="D2481" t="s">
        <v>118</v>
      </c>
      <c r="E2481">
        <v>2</v>
      </c>
      <c r="F2481">
        <v>2858.94</v>
      </c>
      <c r="G2481">
        <f t="shared" si="76"/>
        <v>5717.88</v>
      </c>
      <c r="H2481" s="3">
        <v>1.19</v>
      </c>
      <c r="I2481">
        <f t="shared" si="77"/>
        <v>-1086.3971999999997</v>
      </c>
      <c r="J2481" s="1">
        <v>45554</v>
      </c>
      <c r="K2481" t="s">
        <v>22</v>
      </c>
      <c r="L2481" t="s">
        <v>16</v>
      </c>
      <c r="M2481">
        <v>-262.73</v>
      </c>
    </row>
    <row r="2482" spans="1:13" x14ac:dyDescent="0.25">
      <c r="A2482">
        <v>3480</v>
      </c>
      <c r="B2482" t="s">
        <v>2487</v>
      </c>
      <c r="C2482" t="s">
        <v>25</v>
      </c>
      <c r="D2482" t="s">
        <v>51</v>
      </c>
      <c r="E2482">
        <v>2</v>
      </c>
      <c r="G2482">
        <f t="shared" si="76"/>
        <v>0</v>
      </c>
      <c r="H2482" s="3">
        <v>0.28000000000000003</v>
      </c>
      <c r="I2482">
        <f t="shared" si="77"/>
        <v>0</v>
      </c>
      <c r="K2482" t="s">
        <v>44</v>
      </c>
      <c r="L2482" t="s">
        <v>16</v>
      </c>
      <c r="M2482">
        <v>1553.3</v>
      </c>
    </row>
    <row r="2483" spans="1:13" x14ac:dyDescent="0.25">
      <c r="A2483">
        <v>3481</v>
      </c>
      <c r="B2483" t="s">
        <v>2488</v>
      </c>
      <c r="C2483" t="s">
        <v>13</v>
      </c>
      <c r="D2483" t="s">
        <v>34</v>
      </c>
      <c r="E2483">
        <v>2</v>
      </c>
      <c r="G2483">
        <f t="shared" si="76"/>
        <v>0</v>
      </c>
      <c r="I2483">
        <f t="shared" si="77"/>
        <v>0</v>
      </c>
      <c r="J2483" s="1">
        <v>45847</v>
      </c>
      <c r="K2483" t="s">
        <v>38</v>
      </c>
      <c r="L2483" t="s">
        <v>16</v>
      </c>
      <c r="M2483">
        <v>-38.119999999999997</v>
      </c>
    </row>
    <row r="2484" spans="1:13" x14ac:dyDescent="0.25">
      <c r="A2484">
        <v>3482</v>
      </c>
      <c r="B2484" t="s">
        <v>2489</v>
      </c>
      <c r="C2484" t="s">
        <v>28</v>
      </c>
      <c r="D2484" t="s">
        <v>116</v>
      </c>
      <c r="E2484">
        <v>-2</v>
      </c>
      <c r="F2484">
        <v>1169.8900000000001</v>
      </c>
      <c r="G2484">
        <f t="shared" si="76"/>
        <v>-2339.7800000000002</v>
      </c>
      <c r="I2484">
        <f t="shared" si="77"/>
        <v>-2339.7800000000002</v>
      </c>
      <c r="K2484" t="s">
        <v>44</v>
      </c>
      <c r="L2484" t="s">
        <v>16</v>
      </c>
      <c r="M2484">
        <v>161.94999999999999</v>
      </c>
    </row>
    <row r="2485" spans="1:13" x14ac:dyDescent="0.25">
      <c r="A2485">
        <v>1030</v>
      </c>
      <c r="B2485" t="s">
        <v>2490</v>
      </c>
      <c r="C2485" t="s">
        <v>31</v>
      </c>
      <c r="D2485" t="s">
        <v>78</v>
      </c>
      <c r="E2485">
        <v>3</v>
      </c>
      <c r="G2485">
        <f t="shared" si="76"/>
        <v>0</v>
      </c>
      <c r="I2485">
        <f t="shared" si="77"/>
        <v>0</v>
      </c>
      <c r="K2485" t="s">
        <v>2517</v>
      </c>
      <c r="L2485" t="s">
        <v>23</v>
      </c>
      <c r="M2485">
        <v>1528.52</v>
      </c>
    </row>
    <row r="2486" spans="1:13" x14ac:dyDescent="0.25">
      <c r="A2486">
        <v>3484</v>
      </c>
      <c r="B2486" t="s">
        <v>2491</v>
      </c>
      <c r="C2486" t="s">
        <v>31</v>
      </c>
      <c r="D2486" t="s">
        <v>78</v>
      </c>
      <c r="E2486">
        <v>2</v>
      </c>
      <c r="G2486">
        <f t="shared" si="76"/>
        <v>0</v>
      </c>
      <c r="I2486">
        <f t="shared" si="77"/>
        <v>0</v>
      </c>
      <c r="K2486" t="s">
        <v>44</v>
      </c>
      <c r="L2486" t="s">
        <v>16</v>
      </c>
      <c r="M2486">
        <v>237.05</v>
      </c>
    </row>
    <row r="2487" spans="1:13" x14ac:dyDescent="0.25">
      <c r="A2487">
        <v>3485</v>
      </c>
      <c r="B2487" t="s">
        <v>2492</v>
      </c>
      <c r="C2487" t="s">
        <v>28</v>
      </c>
      <c r="D2487" t="s">
        <v>116</v>
      </c>
      <c r="E2487">
        <v>2</v>
      </c>
      <c r="F2487">
        <v>2951.53</v>
      </c>
      <c r="G2487">
        <f t="shared" si="76"/>
        <v>5903.06</v>
      </c>
      <c r="I2487">
        <f t="shared" si="77"/>
        <v>5903.06</v>
      </c>
      <c r="J2487" s="1">
        <v>45547</v>
      </c>
      <c r="K2487" t="s">
        <v>44</v>
      </c>
      <c r="L2487" t="s">
        <v>16</v>
      </c>
      <c r="M2487">
        <v>-492.53</v>
      </c>
    </row>
    <row r="2488" spans="1:13" x14ac:dyDescent="0.25">
      <c r="A2488">
        <v>3486</v>
      </c>
      <c r="B2488" t="s">
        <v>2493</v>
      </c>
      <c r="C2488" t="s">
        <v>31</v>
      </c>
      <c r="D2488" t="s">
        <v>68</v>
      </c>
      <c r="E2488">
        <v>-2</v>
      </c>
      <c r="G2488">
        <f t="shared" si="76"/>
        <v>0</v>
      </c>
      <c r="I2488">
        <f t="shared" si="77"/>
        <v>0</v>
      </c>
      <c r="K2488" t="s">
        <v>2517</v>
      </c>
      <c r="L2488" t="s">
        <v>16</v>
      </c>
      <c r="M2488">
        <v>-439.26</v>
      </c>
    </row>
    <row r="2489" spans="1:13" x14ac:dyDescent="0.25">
      <c r="A2489">
        <v>3487</v>
      </c>
      <c r="B2489" t="s">
        <v>2494</v>
      </c>
      <c r="C2489" t="s">
        <v>31</v>
      </c>
      <c r="D2489" t="s">
        <v>32</v>
      </c>
      <c r="E2489">
        <v>5</v>
      </c>
      <c r="F2489">
        <v>1683.74</v>
      </c>
      <c r="G2489">
        <f t="shared" si="76"/>
        <v>8418.7000000000007</v>
      </c>
      <c r="H2489" s="3">
        <v>0.57999999999999996</v>
      </c>
      <c r="I2489">
        <f t="shared" si="77"/>
        <v>3535.8540000000007</v>
      </c>
      <c r="J2489" s="1">
        <v>45670</v>
      </c>
      <c r="K2489" t="s">
        <v>38</v>
      </c>
      <c r="L2489" t="s">
        <v>16</v>
      </c>
      <c r="M2489">
        <v>419.44</v>
      </c>
    </row>
    <row r="2490" spans="1:13" x14ac:dyDescent="0.25">
      <c r="A2490">
        <v>3488</v>
      </c>
      <c r="B2490" t="s">
        <v>2495</v>
      </c>
      <c r="C2490" t="s">
        <v>28</v>
      </c>
      <c r="D2490" t="s">
        <v>116</v>
      </c>
      <c r="E2490">
        <v>2</v>
      </c>
      <c r="F2490">
        <v>3029.54</v>
      </c>
      <c r="G2490">
        <f t="shared" si="76"/>
        <v>6059.08</v>
      </c>
      <c r="I2490">
        <f t="shared" si="77"/>
        <v>6059.08</v>
      </c>
      <c r="J2490" s="1">
        <v>45641</v>
      </c>
      <c r="K2490" t="s">
        <v>22</v>
      </c>
      <c r="L2490" t="s">
        <v>16</v>
      </c>
      <c r="M2490">
        <v>2537.46</v>
      </c>
    </row>
    <row r="2491" spans="1:13" x14ac:dyDescent="0.25">
      <c r="A2491">
        <v>3489</v>
      </c>
      <c r="B2491" t="s">
        <v>2496</v>
      </c>
      <c r="C2491" t="s">
        <v>20</v>
      </c>
      <c r="D2491" t="s">
        <v>76</v>
      </c>
      <c r="E2491">
        <v>2</v>
      </c>
      <c r="F2491">
        <v>599.07000000000005</v>
      </c>
      <c r="G2491">
        <f t="shared" si="76"/>
        <v>1198.1400000000001</v>
      </c>
      <c r="H2491" s="3">
        <v>0.15</v>
      </c>
      <c r="I2491">
        <f t="shared" si="77"/>
        <v>1018.4190000000001</v>
      </c>
      <c r="K2491" t="s">
        <v>15</v>
      </c>
      <c r="L2491" t="s">
        <v>23</v>
      </c>
      <c r="M2491">
        <v>1962.34</v>
      </c>
    </row>
    <row r="2492" spans="1:13" x14ac:dyDescent="0.25">
      <c r="A2492">
        <v>3490</v>
      </c>
      <c r="B2492" t="s">
        <v>2497</v>
      </c>
      <c r="C2492" t="s">
        <v>36</v>
      </c>
      <c r="D2492" t="s">
        <v>87</v>
      </c>
      <c r="E2492">
        <v>2</v>
      </c>
      <c r="F2492">
        <v>2784.76</v>
      </c>
      <c r="G2492">
        <f t="shared" si="76"/>
        <v>5569.52</v>
      </c>
      <c r="H2492" s="3">
        <v>0.86</v>
      </c>
      <c r="I2492">
        <f t="shared" si="77"/>
        <v>779.73280000000011</v>
      </c>
      <c r="J2492" s="1">
        <v>45246</v>
      </c>
      <c r="K2492" t="s">
        <v>2517</v>
      </c>
      <c r="L2492" t="s">
        <v>16</v>
      </c>
      <c r="M2492">
        <v>1373.37</v>
      </c>
    </row>
    <row r="2493" spans="1:13" x14ac:dyDescent="0.25">
      <c r="A2493">
        <v>3491</v>
      </c>
      <c r="B2493" t="s">
        <v>2498</v>
      </c>
      <c r="C2493" t="s">
        <v>13</v>
      </c>
      <c r="D2493" t="s">
        <v>34</v>
      </c>
      <c r="E2493">
        <v>2</v>
      </c>
      <c r="F2493">
        <v>4126.3900000000003</v>
      </c>
      <c r="G2493">
        <f t="shared" si="76"/>
        <v>8252.7800000000007</v>
      </c>
      <c r="I2493">
        <f t="shared" si="77"/>
        <v>8252.7800000000007</v>
      </c>
      <c r="J2493" s="1">
        <v>45621</v>
      </c>
      <c r="K2493" t="s">
        <v>22</v>
      </c>
      <c r="L2493" t="s">
        <v>23</v>
      </c>
      <c r="M2493">
        <v>638.9</v>
      </c>
    </row>
    <row r="2494" spans="1:13" x14ac:dyDescent="0.25">
      <c r="A2494">
        <v>3492</v>
      </c>
      <c r="B2494" t="s">
        <v>2499</v>
      </c>
      <c r="C2494" t="s">
        <v>13</v>
      </c>
      <c r="D2494" t="s">
        <v>98</v>
      </c>
      <c r="E2494">
        <v>2</v>
      </c>
      <c r="F2494">
        <v>3084.73</v>
      </c>
      <c r="G2494">
        <f t="shared" si="76"/>
        <v>6169.46</v>
      </c>
      <c r="H2494" s="3">
        <v>0.86</v>
      </c>
      <c r="I2494">
        <f t="shared" si="77"/>
        <v>863.72440000000006</v>
      </c>
      <c r="K2494" t="s">
        <v>22</v>
      </c>
      <c r="L2494" t="s">
        <v>16</v>
      </c>
      <c r="M2494">
        <v>2534.3200000000002</v>
      </c>
    </row>
    <row r="2495" spans="1:13" x14ac:dyDescent="0.25">
      <c r="A2495">
        <v>3493</v>
      </c>
      <c r="B2495" t="s">
        <v>2500</v>
      </c>
      <c r="C2495" t="s">
        <v>36</v>
      </c>
      <c r="D2495" t="s">
        <v>37</v>
      </c>
      <c r="E2495">
        <v>5</v>
      </c>
      <c r="F2495">
        <v>2935.56</v>
      </c>
      <c r="G2495">
        <f t="shared" si="76"/>
        <v>14677.8</v>
      </c>
      <c r="I2495">
        <f t="shared" si="77"/>
        <v>14677.8</v>
      </c>
      <c r="J2495" s="1">
        <v>45678</v>
      </c>
      <c r="K2495" t="s">
        <v>15</v>
      </c>
      <c r="L2495" t="s">
        <v>16</v>
      </c>
      <c r="M2495">
        <v>-410.86</v>
      </c>
    </row>
    <row r="2496" spans="1:13" x14ac:dyDescent="0.25">
      <c r="A2496">
        <v>3494</v>
      </c>
      <c r="B2496" t="s">
        <v>2501</v>
      </c>
      <c r="C2496" t="s">
        <v>13</v>
      </c>
      <c r="D2496" t="s">
        <v>14</v>
      </c>
      <c r="E2496">
        <v>0</v>
      </c>
      <c r="G2496">
        <f t="shared" si="76"/>
        <v>0</v>
      </c>
      <c r="I2496">
        <f t="shared" si="77"/>
        <v>0</v>
      </c>
      <c r="K2496" t="s">
        <v>18</v>
      </c>
      <c r="L2496" t="s">
        <v>16</v>
      </c>
      <c r="M2496">
        <v>-219.82</v>
      </c>
    </row>
    <row r="2497" spans="1:13" x14ac:dyDescent="0.25">
      <c r="A2497">
        <v>3495</v>
      </c>
      <c r="B2497" t="s">
        <v>2502</v>
      </c>
      <c r="C2497" t="s">
        <v>31</v>
      </c>
      <c r="D2497" t="s">
        <v>42</v>
      </c>
      <c r="E2497">
        <v>2</v>
      </c>
      <c r="F2497">
        <v>848.79</v>
      </c>
      <c r="G2497">
        <f t="shared" si="76"/>
        <v>1697.58</v>
      </c>
      <c r="I2497">
        <f t="shared" si="77"/>
        <v>1697.58</v>
      </c>
      <c r="K2497" t="s">
        <v>22</v>
      </c>
      <c r="L2497" t="s">
        <v>16</v>
      </c>
      <c r="M2497">
        <v>2259</v>
      </c>
    </row>
    <row r="2498" spans="1:13" x14ac:dyDescent="0.25">
      <c r="A2498">
        <v>3496</v>
      </c>
      <c r="B2498" t="s">
        <v>2503</v>
      </c>
      <c r="C2498" t="s">
        <v>25</v>
      </c>
      <c r="D2498" t="s">
        <v>26</v>
      </c>
      <c r="E2498">
        <v>4</v>
      </c>
      <c r="G2498">
        <f t="shared" si="76"/>
        <v>0</v>
      </c>
      <c r="I2498">
        <f t="shared" si="77"/>
        <v>0</v>
      </c>
      <c r="J2498" s="1">
        <v>45361</v>
      </c>
      <c r="K2498" t="s">
        <v>2517</v>
      </c>
      <c r="L2498" t="s">
        <v>23</v>
      </c>
      <c r="M2498">
        <v>2232.98</v>
      </c>
    </row>
    <row r="2499" spans="1:13" x14ac:dyDescent="0.25">
      <c r="A2499">
        <v>3497</v>
      </c>
      <c r="B2499" t="s">
        <v>2504</v>
      </c>
      <c r="C2499" t="s">
        <v>20</v>
      </c>
      <c r="D2499" t="s">
        <v>76</v>
      </c>
      <c r="E2499">
        <v>2</v>
      </c>
      <c r="F2499">
        <v>3389.24</v>
      </c>
      <c r="G2499">
        <f>F2499*E2499</f>
        <v>6778.48</v>
      </c>
      <c r="H2499" s="3">
        <v>1.06</v>
      </c>
      <c r="I2499">
        <f>G2499*(1-H2499)</f>
        <v>-406.70880000000034</v>
      </c>
      <c r="K2499" t="s">
        <v>18</v>
      </c>
      <c r="L2499" t="s">
        <v>16</v>
      </c>
      <c r="M2499">
        <v>1955.31</v>
      </c>
    </row>
    <row r="2500" spans="1:13" x14ac:dyDescent="0.25">
      <c r="A2500">
        <v>3498</v>
      </c>
      <c r="B2500" t="s">
        <v>2505</v>
      </c>
      <c r="C2500" t="s">
        <v>13</v>
      </c>
      <c r="D2500" t="s">
        <v>47</v>
      </c>
      <c r="E2500">
        <v>5</v>
      </c>
      <c r="F2500">
        <v>3844.19</v>
      </c>
      <c r="G2500">
        <f>F2500*E2500</f>
        <v>19220.95</v>
      </c>
      <c r="I2500">
        <f>G2500*(1-H2500)</f>
        <v>19220.95</v>
      </c>
      <c r="J2500" s="1">
        <v>45497</v>
      </c>
      <c r="K2500" t="s">
        <v>2517</v>
      </c>
      <c r="L2500" t="s">
        <v>16</v>
      </c>
      <c r="M2500">
        <v>2967</v>
      </c>
    </row>
    <row r="2501" spans="1:13" x14ac:dyDescent="0.25">
      <c r="A2501">
        <v>3499</v>
      </c>
      <c r="B2501" t="s">
        <v>2506</v>
      </c>
      <c r="C2501" t="s">
        <v>31</v>
      </c>
      <c r="D2501" t="s">
        <v>78</v>
      </c>
      <c r="E2501">
        <v>6</v>
      </c>
      <c r="F2501">
        <v>1239.75</v>
      </c>
      <c r="G2501">
        <f>F2501*E2501</f>
        <v>7438.5</v>
      </c>
      <c r="I2501">
        <f>G2501*(1-H2501)</f>
        <v>7438.5</v>
      </c>
      <c r="K2501" t="s">
        <v>22</v>
      </c>
      <c r="L2501" t="s">
        <v>16</v>
      </c>
      <c r="M2501">
        <v>715.15</v>
      </c>
    </row>
    <row r="2502" spans="1:13" x14ac:dyDescent="0.25">
      <c r="A2502" t="s">
        <v>2518</v>
      </c>
      <c r="B2502">
        <f>SUBTOTAL(109,Table5[Customer_Name])</f>
        <v>0</v>
      </c>
      <c r="C2502">
        <f>SUBTOTAL(109,Table5[Product_Category])</f>
        <v>0</v>
      </c>
      <c r="D2502">
        <f>SUBTOTAL(109,Table5[Product_Name])</f>
        <v>0</v>
      </c>
      <c r="E2502">
        <f>SUBTOTAL(109,Table5[Units_Sold])</f>
        <v>4931</v>
      </c>
      <c r="F2502">
        <f>SUBTOTAL(109,Table5[Unit_Price])</f>
        <v>3472313.0299999989</v>
      </c>
      <c r="G2502">
        <f>SUBTOTAL(109,Table5[Total_price])</f>
        <v>6865084.269999994</v>
      </c>
      <c r="H2502">
        <f>SUBTOTAL(109,Table5[Discount_%])</f>
        <v>548.84999999999968</v>
      </c>
      <c r="I2502">
        <f>SUBTOTAL(109,Table5[Sales_Amount])</f>
        <v>5446265.6370000131</v>
      </c>
      <c r="J2502">
        <f>SUBTOTAL(109,Table5[Order_Date])</f>
        <v>86399527</v>
      </c>
      <c r="K2502">
        <f>SUBTOTAL(109,Table5[City])</f>
        <v>0</v>
      </c>
      <c r="L2502">
        <f>SUBTOTAL(109,Table5[Segment])</f>
        <v>0</v>
      </c>
      <c r="M2502">
        <f>SUBTOTAL(109,Table5[Profit])</f>
        <v>2453922.5800000038</v>
      </c>
    </row>
  </sheetData>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1F26A-6FA8-4FA2-BD7E-126A3F5E577E}">
  <dimension ref="A1:W67"/>
  <sheetViews>
    <sheetView workbookViewId="0">
      <selection activeCell="F1" sqref="F1:G8"/>
    </sheetView>
  </sheetViews>
  <sheetFormatPr defaultRowHeight="15" x14ac:dyDescent="0.25"/>
  <cols>
    <col min="1" max="1" width="15" bestFit="1" customWidth="1"/>
    <col min="2" max="2" width="20.5703125" bestFit="1" customWidth="1"/>
    <col min="3" max="3" width="12.5703125" bestFit="1" customWidth="1"/>
    <col min="4" max="4" width="17.42578125" bestFit="1" customWidth="1"/>
    <col min="6" max="6" width="13.140625" bestFit="1" customWidth="1"/>
    <col min="7" max="7" width="20.5703125" bestFit="1" customWidth="1"/>
    <col min="8" max="8" width="12.5703125" bestFit="1" customWidth="1"/>
    <col min="9" max="9" width="18" bestFit="1" customWidth="1"/>
    <col min="10" max="10" width="20.5703125" bestFit="1" customWidth="1"/>
    <col min="12" max="12" width="13.7109375" bestFit="1" customWidth="1"/>
    <col min="13" max="13" width="20.5703125" bestFit="1" customWidth="1"/>
    <col min="15" max="15" width="18" bestFit="1" customWidth="1"/>
    <col min="16" max="16" width="20.5703125" bestFit="1" customWidth="1"/>
    <col min="18" max="18" width="13.28515625" bestFit="1" customWidth="1"/>
    <col min="19" max="19" width="20.5703125" bestFit="1" customWidth="1"/>
    <col min="22" max="22" width="13.140625" bestFit="1" customWidth="1"/>
    <col min="23" max="23" width="17.42578125" bestFit="1" customWidth="1"/>
  </cols>
  <sheetData>
    <row r="1" spans="1:23" x14ac:dyDescent="0.25">
      <c r="A1" s="4" t="s">
        <v>2508</v>
      </c>
      <c r="B1" t="s">
        <v>2514</v>
      </c>
      <c r="C1" t="s">
        <v>2515</v>
      </c>
      <c r="F1" s="4" t="s">
        <v>2508</v>
      </c>
      <c r="G1" t="s">
        <v>2514</v>
      </c>
      <c r="I1" s="4" t="s">
        <v>2508</v>
      </c>
      <c r="J1" t="s">
        <v>2514</v>
      </c>
      <c r="L1" s="4" t="s">
        <v>2508</v>
      </c>
      <c r="M1" t="s">
        <v>2514</v>
      </c>
      <c r="O1" s="4" t="s">
        <v>2508</v>
      </c>
      <c r="P1" t="s">
        <v>2514</v>
      </c>
      <c r="R1" s="4" t="s">
        <v>2508</v>
      </c>
      <c r="S1" t="s">
        <v>2514</v>
      </c>
      <c r="V1" s="4" t="s">
        <v>2508</v>
      </c>
      <c r="W1" t="s">
        <v>2519</v>
      </c>
    </row>
    <row r="2" spans="1:23" x14ac:dyDescent="0.25">
      <c r="A2" s="5" t="s">
        <v>28</v>
      </c>
      <c r="B2">
        <v>991269.68269999989</v>
      </c>
      <c r="C2">
        <v>421398.36999999976</v>
      </c>
      <c r="F2" s="5" t="s">
        <v>18</v>
      </c>
      <c r="G2" s="10">
        <v>1026652.0556999999</v>
      </c>
      <c r="I2" s="5" t="s">
        <v>2181</v>
      </c>
      <c r="J2" s="10">
        <v>29860.86</v>
      </c>
      <c r="L2" s="5" t="s">
        <v>82</v>
      </c>
      <c r="M2" s="10">
        <v>283341.05169999995</v>
      </c>
      <c r="O2" s="5" t="s">
        <v>2181</v>
      </c>
      <c r="P2" s="10">
        <v>29860.86</v>
      </c>
      <c r="R2" s="5" t="s">
        <v>2510</v>
      </c>
      <c r="S2" s="10">
        <v>1335899.4010000003</v>
      </c>
      <c r="V2" s="5" t="s">
        <v>28</v>
      </c>
      <c r="W2" s="10">
        <v>834</v>
      </c>
    </row>
    <row r="3" spans="1:23" x14ac:dyDescent="0.25">
      <c r="A3" s="5" t="s">
        <v>36</v>
      </c>
      <c r="B3">
        <v>1018242.0009000002</v>
      </c>
      <c r="C3">
        <v>451572.71999999986</v>
      </c>
      <c r="F3" s="5" t="s">
        <v>38</v>
      </c>
      <c r="G3" s="10">
        <v>882305.84449999977</v>
      </c>
      <c r="I3" s="5" t="s">
        <v>663</v>
      </c>
      <c r="J3" s="10">
        <v>29180.675999999996</v>
      </c>
      <c r="L3" s="5" t="s">
        <v>37</v>
      </c>
      <c r="M3" s="10">
        <v>307952.45889999991</v>
      </c>
      <c r="O3" s="5" t="s">
        <v>663</v>
      </c>
      <c r="P3" s="10">
        <v>29180.675999999996</v>
      </c>
      <c r="R3" s="5" t="s">
        <v>2511</v>
      </c>
      <c r="S3" s="10">
        <v>410386.28660000005</v>
      </c>
      <c r="V3" s="5" t="s">
        <v>36</v>
      </c>
      <c r="W3" s="10">
        <v>869</v>
      </c>
    </row>
    <row r="4" spans="1:23" x14ac:dyDescent="0.25">
      <c r="A4" s="5" t="s">
        <v>20</v>
      </c>
      <c r="B4">
        <v>763134.28159999964</v>
      </c>
      <c r="C4">
        <v>387717.3899999999</v>
      </c>
      <c r="F4" s="5" t="s">
        <v>15</v>
      </c>
      <c r="G4" s="10">
        <v>857972.71310000017</v>
      </c>
      <c r="I4" s="5" t="s">
        <v>1834</v>
      </c>
      <c r="J4" s="10">
        <v>28704</v>
      </c>
      <c r="L4" s="5" t="s">
        <v>21</v>
      </c>
      <c r="M4" s="10">
        <v>261165.83190000002</v>
      </c>
      <c r="O4" s="5" t="s">
        <v>1834</v>
      </c>
      <c r="P4" s="10">
        <v>28704</v>
      </c>
      <c r="R4" s="5" t="s">
        <v>2512</v>
      </c>
      <c r="S4" s="10">
        <v>1977751.4714000009</v>
      </c>
      <c r="V4" s="5" t="s">
        <v>20</v>
      </c>
      <c r="W4" s="10">
        <v>812</v>
      </c>
    </row>
    <row r="5" spans="1:23" x14ac:dyDescent="0.25">
      <c r="A5" s="5" t="s">
        <v>13</v>
      </c>
      <c r="B5">
        <v>960470.58460000064</v>
      </c>
      <c r="C5">
        <v>396637.42999999988</v>
      </c>
      <c r="F5" s="5" t="s">
        <v>22</v>
      </c>
      <c r="G5" s="10">
        <v>942039.20739999972</v>
      </c>
      <c r="I5" s="5" t="s">
        <v>1583</v>
      </c>
      <c r="J5" s="10">
        <v>28661.82</v>
      </c>
      <c r="L5" s="5" t="s">
        <v>98</v>
      </c>
      <c r="M5" s="10">
        <v>290091.01510000008</v>
      </c>
      <c r="O5" s="5" t="s">
        <v>1583</v>
      </c>
      <c r="P5" s="10">
        <v>28661.82</v>
      </c>
      <c r="R5" s="5" t="s">
        <v>2513</v>
      </c>
      <c r="S5" s="10">
        <v>1722228.4779999987</v>
      </c>
      <c r="V5" s="5" t="s">
        <v>13</v>
      </c>
      <c r="W5" s="10">
        <v>809</v>
      </c>
    </row>
    <row r="6" spans="1:23" x14ac:dyDescent="0.25">
      <c r="A6" s="5" t="s">
        <v>25</v>
      </c>
      <c r="B6">
        <v>878695.31680000015</v>
      </c>
      <c r="C6">
        <v>393310.49000000005</v>
      </c>
      <c r="F6" s="5" t="s">
        <v>2517</v>
      </c>
      <c r="G6" s="10">
        <v>986323.90040000028</v>
      </c>
      <c r="I6" s="5" t="s">
        <v>1214</v>
      </c>
      <c r="J6" s="10">
        <v>29728.02</v>
      </c>
      <c r="L6" s="5" t="s">
        <v>116</v>
      </c>
      <c r="M6" s="10">
        <v>370757.28019999998</v>
      </c>
      <c r="O6" s="5" t="s">
        <v>1214</v>
      </c>
      <c r="P6" s="10">
        <v>29728.02</v>
      </c>
      <c r="R6" s="5" t="s">
        <v>2509</v>
      </c>
      <c r="S6" s="10">
        <v>5446265.6370000001</v>
      </c>
      <c r="V6" s="5" t="s">
        <v>25</v>
      </c>
      <c r="W6" s="10">
        <v>798</v>
      </c>
    </row>
    <row r="7" spans="1:23" x14ac:dyDescent="0.25">
      <c r="A7" s="5" t="s">
        <v>31</v>
      </c>
      <c r="B7">
        <v>834453.77040000015</v>
      </c>
      <c r="C7">
        <v>403286.18000000011</v>
      </c>
      <c r="F7" s="5" t="s">
        <v>44</v>
      </c>
      <c r="G7" s="10">
        <v>750971.91590000049</v>
      </c>
      <c r="I7" s="5" t="s">
        <v>2509</v>
      </c>
      <c r="J7" s="10">
        <v>146135.37599999999</v>
      </c>
      <c r="L7" s="5" t="s">
        <v>2509</v>
      </c>
      <c r="M7" s="10">
        <v>1513307.6377999999</v>
      </c>
      <c r="O7" s="5" t="s">
        <v>2509</v>
      </c>
      <c r="P7" s="10">
        <v>146135.37599999999</v>
      </c>
      <c r="V7" s="5" t="s">
        <v>31</v>
      </c>
      <c r="W7" s="10">
        <v>809</v>
      </c>
    </row>
    <row r="8" spans="1:23" x14ac:dyDescent="0.25">
      <c r="A8" s="5" t="s">
        <v>2509</v>
      </c>
      <c r="B8">
        <v>5446265.6370000001</v>
      </c>
      <c r="C8">
        <v>2453922.5799999996</v>
      </c>
      <c r="F8" s="5" t="s">
        <v>2509</v>
      </c>
      <c r="G8" s="10">
        <v>5446265.6370000001</v>
      </c>
      <c r="V8" s="5" t="s">
        <v>2509</v>
      </c>
      <c r="W8" s="10">
        <v>4931</v>
      </c>
    </row>
    <row r="9" spans="1:23" x14ac:dyDescent="0.25">
      <c r="B9">
        <f>GETPIVOTDATA("Sum of Sales_Amount",$A$1)</f>
        <v>5446265.6370000001</v>
      </c>
      <c r="C9">
        <f>GETPIVOTDATA("Sum of Profit",$A$1)</f>
        <v>2453922.5799999996</v>
      </c>
      <c r="D9" s="6">
        <f>GETPIVOTDATA("Sum of Sales_Amount",$A$1)/GETPIVOTDATA("Sum of Profit",$A$1)</f>
        <v>2.2194121694743933</v>
      </c>
    </row>
    <row r="11" spans="1:23" x14ac:dyDescent="0.25">
      <c r="A11" s="4" t="s">
        <v>2508</v>
      </c>
      <c r="B11" t="s">
        <v>2514</v>
      </c>
      <c r="C11" t="s">
        <v>2515</v>
      </c>
      <c r="F11" s="4" t="s">
        <v>2508</v>
      </c>
      <c r="G11" t="s">
        <v>2514</v>
      </c>
    </row>
    <row r="12" spans="1:23" x14ac:dyDescent="0.25">
      <c r="A12" s="5" t="s">
        <v>2510</v>
      </c>
      <c r="B12" s="10">
        <v>1335899.4010000003</v>
      </c>
      <c r="C12" s="10">
        <v>597372.25999999954</v>
      </c>
      <c r="F12" s="5" t="s">
        <v>23</v>
      </c>
      <c r="G12" s="10">
        <v>1713670.9955999998</v>
      </c>
    </row>
    <row r="13" spans="1:23" x14ac:dyDescent="0.25">
      <c r="A13" s="5" t="s">
        <v>2511</v>
      </c>
      <c r="B13" s="10">
        <v>410386.28660000005</v>
      </c>
      <c r="C13" s="10">
        <v>168551.61000000002</v>
      </c>
      <c r="F13" s="5" t="s">
        <v>16</v>
      </c>
      <c r="G13" s="10">
        <v>3732594.6414000066</v>
      </c>
    </row>
    <row r="14" spans="1:23" x14ac:dyDescent="0.25">
      <c r="A14" s="5" t="s">
        <v>2512</v>
      </c>
      <c r="B14" s="10">
        <v>1977751.4714000009</v>
      </c>
      <c r="C14" s="10">
        <v>827695.49999999953</v>
      </c>
      <c r="F14" s="5" t="s">
        <v>2509</v>
      </c>
      <c r="G14" s="10">
        <v>5446265.6370000066</v>
      </c>
    </row>
    <row r="15" spans="1:23" x14ac:dyDescent="0.25">
      <c r="A15" s="5" t="s">
        <v>2513</v>
      </c>
      <c r="B15" s="10">
        <v>1722228.4779999987</v>
      </c>
      <c r="C15" s="10">
        <v>860303.20999999961</v>
      </c>
    </row>
    <row r="16" spans="1:23" x14ac:dyDescent="0.25">
      <c r="A16" s="5" t="s">
        <v>2509</v>
      </c>
      <c r="B16" s="10">
        <v>5446265.6370000001</v>
      </c>
      <c r="C16" s="10">
        <v>2453922.5799999987</v>
      </c>
    </row>
    <row r="18" spans="1:2" x14ac:dyDescent="0.25">
      <c r="A18" s="4" t="s">
        <v>2508</v>
      </c>
      <c r="B18" t="s">
        <v>2519</v>
      </c>
    </row>
    <row r="19" spans="1:2" x14ac:dyDescent="0.25">
      <c r="A19" s="5" t="s">
        <v>28</v>
      </c>
      <c r="B19" s="10">
        <v>834</v>
      </c>
    </row>
    <row r="20" spans="1:2" x14ac:dyDescent="0.25">
      <c r="A20" s="5" t="s">
        <v>36</v>
      </c>
      <c r="B20" s="10">
        <v>869</v>
      </c>
    </row>
    <row r="21" spans="1:2" x14ac:dyDescent="0.25">
      <c r="A21" s="5" t="s">
        <v>20</v>
      </c>
      <c r="B21" s="10">
        <v>812</v>
      </c>
    </row>
    <row r="22" spans="1:2" x14ac:dyDescent="0.25">
      <c r="A22" s="5" t="s">
        <v>13</v>
      </c>
      <c r="B22" s="10">
        <v>809</v>
      </c>
    </row>
    <row r="23" spans="1:2" x14ac:dyDescent="0.25">
      <c r="A23" s="5" t="s">
        <v>25</v>
      </c>
      <c r="B23" s="10">
        <v>798</v>
      </c>
    </row>
    <row r="24" spans="1:2" x14ac:dyDescent="0.25">
      <c r="A24" s="5" t="s">
        <v>31</v>
      </c>
      <c r="B24" s="10">
        <v>809</v>
      </c>
    </row>
    <row r="25" spans="1:2" x14ac:dyDescent="0.25">
      <c r="A25" s="5" t="s">
        <v>2509</v>
      </c>
      <c r="B25" s="10">
        <v>4931</v>
      </c>
    </row>
    <row r="26" spans="1:2" x14ac:dyDescent="0.25">
      <c r="B26">
        <f>GETPIVOTDATA("Units_Sold",$A$18)</f>
        <v>4931</v>
      </c>
    </row>
    <row r="28" spans="1:2" x14ac:dyDescent="0.25">
      <c r="A28" s="4" t="s">
        <v>2508</v>
      </c>
      <c r="B28" t="s">
        <v>2514</v>
      </c>
    </row>
    <row r="29" spans="1:2" x14ac:dyDescent="0.25">
      <c r="A29" s="5" t="s">
        <v>28</v>
      </c>
      <c r="B29" s="10">
        <v>991269.68269999989</v>
      </c>
    </row>
    <row r="30" spans="1:2" x14ac:dyDescent="0.25">
      <c r="A30" s="5" t="s">
        <v>36</v>
      </c>
      <c r="B30" s="10">
        <v>1018242.0009000002</v>
      </c>
    </row>
    <row r="31" spans="1:2" x14ac:dyDescent="0.25">
      <c r="A31" s="5" t="s">
        <v>20</v>
      </c>
      <c r="B31" s="10">
        <v>763134.28159999964</v>
      </c>
    </row>
    <row r="32" spans="1:2" x14ac:dyDescent="0.25">
      <c r="A32" s="5" t="s">
        <v>13</v>
      </c>
      <c r="B32" s="10">
        <v>960470.58460000064</v>
      </c>
    </row>
    <row r="33" spans="1:4" x14ac:dyDescent="0.25">
      <c r="A33" s="5" t="s">
        <v>25</v>
      </c>
      <c r="B33" s="10">
        <v>878695.31680000015</v>
      </c>
    </row>
    <row r="34" spans="1:4" x14ac:dyDescent="0.25">
      <c r="A34" s="5" t="s">
        <v>31</v>
      </c>
      <c r="B34" s="10">
        <v>834453.77040000015</v>
      </c>
    </row>
    <row r="35" spans="1:4" x14ac:dyDescent="0.25">
      <c r="A35" s="5" t="s">
        <v>2509</v>
      </c>
      <c r="B35" s="10">
        <v>5446265.6370000001</v>
      </c>
    </row>
    <row r="36" spans="1:4" x14ac:dyDescent="0.25">
      <c r="B36">
        <f>GETPIVOTDATA("Sales_Amount",$A$28)</f>
        <v>5446265.6370000001</v>
      </c>
    </row>
    <row r="38" spans="1:4" x14ac:dyDescent="0.25">
      <c r="A38" s="4" t="s">
        <v>2508</v>
      </c>
      <c r="B38" t="s">
        <v>2514</v>
      </c>
      <c r="C38" t="s">
        <v>2515</v>
      </c>
      <c r="D38" t="s">
        <v>2519</v>
      </c>
    </row>
    <row r="39" spans="1:4" x14ac:dyDescent="0.25">
      <c r="A39" s="5" t="s">
        <v>2510</v>
      </c>
      <c r="B39" s="10"/>
      <c r="C39" s="10"/>
      <c r="D39" s="10"/>
    </row>
    <row r="40" spans="1:4" x14ac:dyDescent="0.25">
      <c r="A40" s="8" t="s">
        <v>28</v>
      </c>
      <c r="B40" s="10">
        <v>205284.93370000002</v>
      </c>
      <c r="C40" s="10">
        <v>112976.89000000003</v>
      </c>
      <c r="D40" s="10">
        <v>217</v>
      </c>
    </row>
    <row r="41" spans="1:4" x14ac:dyDescent="0.25">
      <c r="A41" s="8" t="s">
        <v>36</v>
      </c>
      <c r="B41" s="10">
        <v>196380.32939999996</v>
      </c>
      <c r="C41" s="10">
        <v>107778.77999999998</v>
      </c>
      <c r="D41" s="10">
        <v>230</v>
      </c>
    </row>
    <row r="42" spans="1:4" x14ac:dyDescent="0.25">
      <c r="A42" s="8" t="s">
        <v>20</v>
      </c>
      <c r="B42" s="10">
        <v>175166.10969999997</v>
      </c>
      <c r="C42" s="10">
        <v>99230.06</v>
      </c>
      <c r="D42" s="10">
        <v>196</v>
      </c>
    </row>
    <row r="43" spans="1:4" x14ac:dyDescent="0.25">
      <c r="A43" s="8" t="s">
        <v>13</v>
      </c>
      <c r="B43" s="10">
        <v>290821.70569999993</v>
      </c>
      <c r="C43" s="10">
        <v>97700.689999999988</v>
      </c>
      <c r="D43" s="10">
        <v>222</v>
      </c>
    </row>
    <row r="44" spans="1:4" x14ac:dyDescent="0.25">
      <c r="A44" s="8" t="s">
        <v>25</v>
      </c>
      <c r="B44" s="10">
        <v>227199.6856</v>
      </c>
      <c r="C44" s="10">
        <v>72312.490000000005</v>
      </c>
      <c r="D44" s="10">
        <v>196</v>
      </c>
    </row>
    <row r="45" spans="1:4" x14ac:dyDescent="0.25">
      <c r="A45" s="8" t="s">
        <v>31</v>
      </c>
      <c r="B45" s="10">
        <v>241046.63689999998</v>
      </c>
      <c r="C45" s="10">
        <v>107373.35000000005</v>
      </c>
      <c r="D45" s="10">
        <v>202</v>
      </c>
    </row>
    <row r="46" spans="1:4" x14ac:dyDescent="0.25">
      <c r="A46" s="5" t="s">
        <v>2511</v>
      </c>
      <c r="B46" s="10"/>
      <c r="C46" s="10"/>
      <c r="D46" s="10"/>
    </row>
    <row r="47" spans="1:4" x14ac:dyDescent="0.25">
      <c r="A47" s="8" t="s">
        <v>28</v>
      </c>
      <c r="B47" s="10">
        <v>34048.037600000011</v>
      </c>
      <c r="C47" s="10">
        <v>34243.980000000003</v>
      </c>
      <c r="D47" s="10">
        <v>41</v>
      </c>
    </row>
    <row r="48" spans="1:4" x14ac:dyDescent="0.25">
      <c r="A48" s="8" t="s">
        <v>36</v>
      </c>
      <c r="B48" s="10">
        <v>123611.78360000002</v>
      </c>
      <c r="C48" s="10">
        <v>40488.93</v>
      </c>
      <c r="D48" s="10">
        <v>54</v>
      </c>
    </row>
    <row r="49" spans="1:4" x14ac:dyDescent="0.25">
      <c r="A49" s="8" t="s">
        <v>20</v>
      </c>
      <c r="B49" s="10">
        <v>46374.835200000001</v>
      </c>
      <c r="C49" s="10">
        <v>21860.570000000003</v>
      </c>
      <c r="D49" s="10">
        <v>40</v>
      </c>
    </row>
    <row r="50" spans="1:4" x14ac:dyDescent="0.25">
      <c r="A50" s="8" t="s">
        <v>13</v>
      </c>
      <c r="B50" s="10">
        <v>29182.284200000002</v>
      </c>
      <c r="C50" s="10">
        <v>14127.92</v>
      </c>
      <c r="D50" s="10">
        <v>22</v>
      </c>
    </row>
    <row r="51" spans="1:4" x14ac:dyDescent="0.25">
      <c r="A51" s="8" t="s">
        <v>25</v>
      </c>
      <c r="B51" s="10">
        <v>77995.558799999999</v>
      </c>
      <c r="C51" s="10">
        <v>39162.730000000003</v>
      </c>
      <c r="D51" s="10">
        <v>55</v>
      </c>
    </row>
    <row r="52" spans="1:4" x14ac:dyDescent="0.25">
      <c r="A52" s="8" t="s">
        <v>31</v>
      </c>
      <c r="B52" s="10">
        <v>99173.787200000006</v>
      </c>
      <c r="C52" s="10">
        <v>18667.479999999996</v>
      </c>
      <c r="D52" s="10">
        <v>42</v>
      </c>
    </row>
    <row r="53" spans="1:4" x14ac:dyDescent="0.25">
      <c r="A53" s="5" t="s">
        <v>2512</v>
      </c>
      <c r="B53" s="10"/>
      <c r="C53" s="10"/>
      <c r="D53" s="10"/>
    </row>
    <row r="54" spans="1:4" x14ac:dyDescent="0.25">
      <c r="A54" s="8" t="s">
        <v>28</v>
      </c>
      <c r="B54" s="10">
        <v>402569.55200000008</v>
      </c>
      <c r="C54" s="10">
        <v>132534.74</v>
      </c>
      <c r="D54" s="10">
        <v>319</v>
      </c>
    </row>
    <row r="55" spans="1:4" x14ac:dyDescent="0.25">
      <c r="A55" s="8" t="s">
        <v>36</v>
      </c>
      <c r="B55" s="10">
        <v>394360.33179999987</v>
      </c>
      <c r="C55" s="10">
        <v>132702.46000000002</v>
      </c>
      <c r="D55" s="10">
        <v>259</v>
      </c>
    </row>
    <row r="56" spans="1:4" x14ac:dyDescent="0.25">
      <c r="A56" s="8" t="s">
        <v>20</v>
      </c>
      <c r="B56" s="10">
        <v>237309.89709999994</v>
      </c>
      <c r="C56" s="10">
        <v>134669.84000000003</v>
      </c>
      <c r="D56" s="10">
        <v>287</v>
      </c>
    </row>
    <row r="57" spans="1:4" x14ac:dyDescent="0.25">
      <c r="A57" s="8" t="s">
        <v>13</v>
      </c>
      <c r="B57" s="10">
        <v>333791.17790000001</v>
      </c>
      <c r="C57" s="10">
        <v>134227.90000000002</v>
      </c>
      <c r="D57" s="10">
        <v>243</v>
      </c>
    </row>
    <row r="58" spans="1:4" x14ac:dyDescent="0.25">
      <c r="A58" s="8" t="s">
        <v>25</v>
      </c>
      <c r="B58" s="10">
        <v>324352.68369999999</v>
      </c>
      <c r="C58" s="10">
        <v>143595.76999999996</v>
      </c>
      <c r="D58" s="10">
        <v>305</v>
      </c>
    </row>
    <row r="59" spans="1:4" x14ac:dyDescent="0.25">
      <c r="A59" s="8" t="s">
        <v>31</v>
      </c>
      <c r="B59" s="10">
        <v>285367.82889999996</v>
      </c>
      <c r="C59" s="10">
        <v>149964.78999999998</v>
      </c>
      <c r="D59" s="10">
        <v>305</v>
      </c>
    </row>
    <row r="60" spans="1:4" x14ac:dyDescent="0.25">
      <c r="A60" s="5" t="s">
        <v>2513</v>
      </c>
      <c r="B60" s="10"/>
      <c r="C60" s="10"/>
      <c r="D60" s="10"/>
    </row>
    <row r="61" spans="1:4" x14ac:dyDescent="0.25">
      <c r="A61" s="8" t="s">
        <v>28</v>
      </c>
      <c r="B61" s="10">
        <v>349367.1594</v>
      </c>
      <c r="C61" s="10">
        <v>141642.75999999998</v>
      </c>
      <c r="D61" s="10">
        <v>257</v>
      </c>
    </row>
    <row r="62" spans="1:4" x14ac:dyDescent="0.25">
      <c r="A62" s="8" t="s">
        <v>36</v>
      </c>
      <c r="B62" s="10">
        <v>303889.55609999999</v>
      </c>
      <c r="C62" s="10">
        <v>170602.55000000005</v>
      </c>
      <c r="D62" s="10">
        <v>326</v>
      </c>
    </row>
    <row r="63" spans="1:4" x14ac:dyDescent="0.25">
      <c r="A63" s="8" t="s">
        <v>20</v>
      </c>
      <c r="B63" s="10">
        <v>304283.43959999993</v>
      </c>
      <c r="C63" s="10">
        <v>131956.92000000001</v>
      </c>
      <c r="D63" s="10">
        <v>289</v>
      </c>
    </row>
    <row r="64" spans="1:4" x14ac:dyDescent="0.25">
      <c r="A64" s="8" t="s">
        <v>13</v>
      </c>
      <c r="B64" s="10">
        <v>306675.41680000001</v>
      </c>
      <c r="C64" s="10">
        <v>150580.92000000001</v>
      </c>
      <c r="D64" s="10">
        <v>322</v>
      </c>
    </row>
    <row r="65" spans="1:4" x14ac:dyDescent="0.25">
      <c r="A65" s="8" t="s">
        <v>25</v>
      </c>
      <c r="B65" s="10">
        <v>249147.38869999995</v>
      </c>
      <c r="C65" s="10">
        <v>138239.5</v>
      </c>
      <c r="D65" s="10">
        <v>242</v>
      </c>
    </row>
    <row r="66" spans="1:4" x14ac:dyDescent="0.25">
      <c r="A66" s="8" t="s">
        <v>31</v>
      </c>
      <c r="B66" s="10">
        <v>208865.51739999995</v>
      </c>
      <c r="C66" s="10">
        <v>127280.56000000003</v>
      </c>
      <c r="D66" s="10">
        <v>260</v>
      </c>
    </row>
    <row r="67" spans="1:4" x14ac:dyDescent="0.25">
      <c r="A67" s="5" t="s">
        <v>2509</v>
      </c>
      <c r="B67" s="10">
        <v>5446265.6369999992</v>
      </c>
      <c r="C67" s="10">
        <v>2453922.58</v>
      </c>
      <c r="D67" s="10">
        <v>4931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F30A2-2602-4D18-B02D-38E54A6FA634}">
  <dimension ref="G9"/>
  <sheetViews>
    <sheetView showGridLines="0" showRowColHeaders="0" tabSelected="1" workbookViewId="0">
      <selection activeCell="D20" sqref="D20"/>
    </sheetView>
  </sheetViews>
  <sheetFormatPr defaultRowHeight="15" x14ac:dyDescent="0.25"/>
  <cols>
    <col min="9" max="9" width="13.140625" bestFit="1" customWidth="1"/>
    <col min="10" max="10" width="27.42578125" bestFit="1" customWidth="1"/>
    <col min="11" max="11" width="13.140625" bestFit="1" customWidth="1"/>
    <col min="12" max="12" width="27.42578125" bestFit="1" customWidth="1"/>
  </cols>
  <sheetData>
    <row r="9" spans="7:7" x14ac:dyDescent="0.25">
      <c r="G9" s="7"/>
    </row>
  </sheetData>
  <pageMargins left="0.7" right="0.7" top="0.75" bottom="0.75" header="0.3" footer="0.3"/>
  <pageSetup paperSize="3" orientation="landscape" r:id="rId1"/>
  <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B9C60-5996-427C-A72F-18FAD3E086A3}">
  <dimension ref="A1:H8"/>
  <sheetViews>
    <sheetView workbookViewId="0">
      <selection sqref="A1:E6"/>
    </sheetView>
  </sheetViews>
  <sheetFormatPr defaultRowHeight="15" x14ac:dyDescent="0.25"/>
  <cols>
    <col min="1" max="1" width="13.28515625" bestFit="1" customWidth="1"/>
    <col min="2" max="2" width="17.42578125" bestFit="1" customWidth="1"/>
    <col min="3" max="3" width="20.5703125" bestFit="1" customWidth="1"/>
    <col min="4" max="4" width="12.5703125" bestFit="1" customWidth="1"/>
    <col min="5" max="5" width="18.140625" bestFit="1" customWidth="1"/>
    <col min="6" max="7" width="13.140625" bestFit="1" customWidth="1"/>
    <col min="8" max="8" width="18.140625" bestFit="1" customWidth="1"/>
  </cols>
  <sheetData>
    <row r="1" spans="1:8" x14ac:dyDescent="0.25">
      <c r="A1" s="4" t="s">
        <v>2508</v>
      </c>
      <c r="B1" t="s">
        <v>2519</v>
      </c>
      <c r="C1" t="s">
        <v>2514</v>
      </c>
      <c r="D1" t="s">
        <v>2515</v>
      </c>
      <c r="E1" s="10" t="s">
        <v>2520</v>
      </c>
      <c r="G1" s="4" t="s">
        <v>2508</v>
      </c>
      <c r="H1" s="10" t="s">
        <v>2520</v>
      </c>
    </row>
    <row r="2" spans="1:8" x14ac:dyDescent="0.25">
      <c r="A2" s="5" t="s">
        <v>2510</v>
      </c>
      <c r="B2" s="10">
        <v>1263</v>
      </c>
      <c r="C2" s="10">
        <v>1335899.4010000003</v>
      </c>
      <c r="D2" s="10">
        <v>597372.25999999954</v>
      </c>
      <c r="E2" s="10">
        <v>136.30999999999997</v>
      </c>
      <c r="G2" s="5" t="s">
        <v>28</v>
      </c>
      <c r="H2" s="10">
        <v>94.259999999999948</v>
      </c>
    </row>
    <row r="3" spans="1:8" x14ac:dyDescent="0.25">
      <c r="A3" s="5" t="s">
        <v>2511</v>
      </c>
      <c r="B3" s="10">
        <v>254</v>
      </c>
      <c r="C3" s="10">
        <v>410386.28660000005</v>
      </c>
      <c r="D3" s="10">
        <v>168551.61000000002</v>
      </c>
      <c r="E3" s="10">
        <v>32.930000000000007</v>
      </c>
      <c r="G3" s="5" t="s">
        <v>36</v>
      </c>
      <c r="H3" s="10">
        <v>95.700000000000045</v>
      </c>
    </row>
    <row r="4" spans="1:8" x14ac:dyDescent="0.25">
      <c r="A4" s="5" t="s">
        <v>2512</v>
      </c>
      <c r="B4" s="10">
        <v>1718</v>
      </c>
      <c r="C4" s="10">
        <v>1977751.4714000009</v>
      </c>
      <c r="D4" s="10">
        <v>827695.49999999953</v>
      </c>
      <c r="E4" s="10">
        <v>185.91000000000011</v>
      </c>
      <c r="G4" s="5" t="s">
        <v>20</v>
      </c>
      <c r="H4" s="10">
        <v>91.20999999999998</v>
      </c>
    </row>
    <row r="5" spans="1:8" x14ac:dyDescent="0.25">
      <c r="A5" s="5" t="s">
        <v>2513</v>
      </c>
      <c r="B5" s="10">
        <v>1696</v>
      </c>
      <c r="C5" s="10">
        <v>1722228.4779999987</v>
      </c>
      <c r="D5" s="10">
        <v>860303.20999999961</v>
      </c>
      <c r="E5" s="10">
        <v>193.70000000000005</v>
      </c>
      <c r="G5" s="5" t="s">
        <v>13</v>
      </c>
      <c r="H5" s="10">
        <v>86.17</v>
      </c>
    </row>
    <row r="6" spans="1:8" x14ac:dyDescent="0.25">
      <c r="A6" s="5" t="s">
        <v>2509</v>
      </c>
      <c r="B6" s="10">
        <v>4931</v>
      </c>
      <c r="C6" s="10">
        <v>5446265.6370000001</v>
      </c>
      <c r="D6" s="10">
        <v>2453922.5799999987</v>
      </c>
      <c r="E6" s="10">
        <v>548.85000000000014</v>
      </c>
      <c r="G6" s="5" t="s">
        <v>25</v>
      </c>
      <c r="H6" s="10">
        <v>90.76</v>
      </c>
    </row>
    <row r="7" spans="1:8" x14ac:dyDescent="0.25">
      <c r="B7">
        <f>GETPIVOTDATA("Sum of Units_Sold",$A$1)</f>
        <v>4931</v>
      </c>
      <c r="C7" s="9">
        <f>GETPIVOTDATA("Sum of Sales_Amount",$A$1)</f>
        <v>5446265.6370000001</v>
      </c>
      <c r="D7" s="9">
        <f>GETPIVOTDATA("Sum of Profit",$A$1)</f>
        <v>2453922.5799999987</v>
      </c>
      <c r="G7" s="5" t="s">
        <v>31</v>
      </c>
      <c r="H7" s="10">
        <v>90.750000000000028</v>
      </c>
    </row>
    <row r="8" spans="1:8" x14ac:dyDescent="0.25">
      <c r="D8" s="6">
        <f>C7/D7</f>
        <v>2.2194121694743942</v>
      </c>
      <c r="G8" s="5" t="s">
        <v>2509</v>
      </c>
      <c r="H8" s="10">
        <v>548.85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Sheet2</vt:lpstr>
      <vt:lpstr>Sheet3</vt:lpstr>
      <vt:lpstr>Sheet4</vt:lpstr>
      <vt:lpstr>Sheet3!Print_Area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bhakti walimbe</dc:creator>
  <cp:lastModifiedBy>bhakti walimbe</cp:lastModifiedBy>
  <cp:lastPrinted>2026-02-17T05:39:11Z</cp:lastPrinted>
  <dcterms:created xsi:type="dcterms:W3CDTF">2026-02-14T12:42:29Z</dcterms:created>
  <dcterms:modified xsi:type="dcterms:W3CDTF">2026-02-23T09:25:53Z</dcterms:modified>
</cp:coreProperties>
</file>